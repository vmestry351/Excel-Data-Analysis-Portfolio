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Orders Data" sheetId="3" state="visible" r:id="rId5"/>
    <sheet name="City x Status" sheetId="4" state="visible" r:id="rId6"/>
  </sheets>
  <definedNames>
    <definedName function="false" hidden="true" localSheetId="2" name="_xlnm._FilterDatabase" vbProcedure="false">'Orders Data'!$A$1:$N$161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<sst xmlns="http://schemas.openxmlformats.org/spreadsheetml/2006/main" count="1293" uniqueCount="395">
  <si>
    <t xml:space="preserve">Café Sales Analysis</t>
  </si>
  <si>
    <t xml:space="preserve">Excel data-analysis project: cleaning, summarising and reporting on 160 café orders across 5 Indian cities (March 2026).</t>
  </si>
  <si>
    <t xml:space="preserve">1. PROJECT OVERVIEW</t>
  </si>
  <si>
    <t xml:space="preserve">Business questions</t>
  </si>
  <si>
    <t xml:space="preserve">Which city earns the most? How much money is lost to cancelled and refunded orders? Which payment method do customers prefer?</t>
  </si>
  <si>
    <t xml:space="preserve">Dataset</t>
  </si>
  <si>
    <t xml:space="preserve">160 unique orders (170 raw rows, 10 duplicates removed), 1–30 Mar 2026. Cities: Bengaluru, Chennai, Delhi, Mumbai, Pune. Amounts in rupees (₹).</t>
  </si>
  <si>
    <t xml:space="preserve">Tools / skills</t>
  </si>
  <si>
    <t xml:space="preserve">Microsoft Excel: TRIM/PROPER cleaning, IF logic, SUMIFS, COUNTIFS, RANK, INDEX/MATCH, dynamic text, conditional formatting, charts.</t>
  </si>
  <si>
    <t xml:space="preserve">2. WORKBOOK GUIDE</t>
  </si>
  <si>
    <t xml:space="preserve">Summary</t>
  </si>
  <si>
    <t xml:space="preserve">Key numbers, plain-English findings, recommendation, 4 charts and the tables behind them.</t>
  </si>
  <si>
    <t xml:space="preserve">Orders Data</t>
  </si>
  <si>
    <t xml:space="preserve">160 cleaned orders. Blue headers = recorded data, green = formula columns, grey (P:R) = original messy entries, red rows = invalid orders.</t>
  </si>
  <si>
    <t xml:space="preserve">City x Status</t>
  </si>
  <si>
    <t xml:space="preserve">Formula-based pivot: sales by city and order status (reconciles to the Summary total).</t>
  </si>
  <si>
    <t xml:space="preserve">3. WORKFLOW FOLLOWED</t>
  </si>
  <si>
    <t xml:space="preserve">1. Understand</t>
  </si>
  <si>
    <t xml:space="preserve">One row = one order. Order Status shows whether money was actually kept.</t>
  </si>
  <si>
    <t xml:space="preserve">2. Clean</t>
  </si>
  <si>
    <t xml:space="preserve">Removed 10 duplicate Order IDs; fixed spacing/capitalisation in City, Customer, Status with TRIM(PROPER()); flagged 21 orders with missing/invalid Quantity or Price.</t>
  </si>
  <si>
    <t xml:space="preserve">3. Transform</t>
  </si>
  <si>
    <t xml:space="preserve">Added Sales Value (Qty × Price), Order Size, Counted as a Sale?, Data Issue columns.</t>
  </si>
  <si>
    <t xml:space="preserve">4. Summarise</t>
  </si>
  <si>
    <t xml:space="preserve">SUMIFS/COUNTIFS tables by city, status, category and payment method, with check cells that must reconcile.</t>
  </si>
  <si>
    <t xml:space="preserve">5. Visualise</t>
  </si>
  <si>
    <t xml:space="preserve">Bar and pie charts on the Summary sheet.</t>
  </si>
  <si>
    <t xml:space="preserve">6. Report</t>
  </si>
  <si>
    <t xml:space="preserve">Findings and a recommendation for the manager.</t>
  </si>
  <si>
    <t xml:space="preserve">4. DATA DICTIONARY (Orders Data)</t>
  </si>
  <si>
    <t xml:space="preserve">Order ID</t>
  </si>
  <si>
    <t xml:space="preserve">Unique order number (ORD2001–ORD2160).</t>
  </si>
  <si>
    <t xml:space="preserve">Date</t>
  </si>
  <si>
    <t xml:space="preserve">Order date.</t>
  </si>
  <si>
    <t xml:space="preserve">Customer</t>
  </si>
  <si>
    <t xml:space="preserve">Cleaned customer name (formula).</t>
  </si>
  <si>
    <t xml:space="preserve">Product / Category</t>
  </si>
  <si>
    <t xml:space="preserve">Item sold; Beverage, Bakery or Food.</t>
  </si>
  <si>
    <t xml:space="preserve">Quantity / Price (₹)</t>
  </si>
  <si>
    <t xml:space="preserve">Units ordered and unit price.</t>
  </si>
  <si>
    <t xml:space="preserve">Payment Method</t>
  </si>
  <si>
    <t xml:space="preserve">Card, Cash or UPI.</t>
  </si>
  <si>
    <t xml:space="preserve">City / Order Status</t>
  </si>
  <si>
    <t xml:space="preserve">Cleaned by formula from the raw entries in columns Q and R.</t>
  </si>
  <si>
    <t xml:space="preserve">Sales Value (₹)</t>
  </si>
  <si>
    <t xml:space="preserve">Quantity × Price; 0 when the row has a data issue.</t>
  </si>
  <si>
    <t xml:space="preserve">Order Size</t>
  </si>
  <si>
    <t xml:space="preserve">Bulk (3+ items) or Regular.</t>
  </si>
  <si>
    <t xml:space="preserve">Counted as a Sale?</t>
  </si>
  <si>
    <t xml:space="preserve">Yes only when status is Completed.</t>
  </si>
  <si>
    <t xml:space="preserve">Data Issue</t>
  </si>
  <si>
    <t xml:space="preserve">Quantity missing / Quantity invalid / Price missing; blank when clean.</t>
  </si>
  <si>
    <t xml:space="preserve">P:R</t>
  </si>
  <si>
    <t xml:space="preserve">Original uncleaned Customer, City and Status, kept for audit.</t>
  </si>
  <si>
    <t xml:space="preserve">5. KEY FINDINGS</t>
  </si>
  <si>
    <t xml:space="preserve">Total sales / kept</t>
  </si>
  <si>
    <t xml:space="preserve">₹46,500 total; ₹32,990 kept from Completed orders; ₹13,510 (29%) lost to cancelled and refunded orders.</t>
  </si>
  <si>
    <t xml:space="preserve">Completion rate</t>
  </si>
  <si>
    <t xml:space="preserve">70.6% of orders completed (20 cancelled, 27 refunded). Average completed order ≈ ₹330.</t>
  </si>
  <si>
    <t xml:space="preserve">Best city</t>
  </si>
  <si>
    <t xml:space="preserve">Pune keeps the most sales (₹8,450) and loses the smallest share (15%). Mumbai leads on total sales (₹10,980) but ranks #2 after losses.</t>
  </si>
  <si>
    <t xml:space="preserve">Weak spot</t>
  </si>
  <si>
    <t xml:space="preserve">Chennai loses 58% of its sales to cancelled/refunded orders vs 29% overall.</t>
  </si>
  <si>
    <t xml:space="preserve">Payments / Category</t>
  </si>
  <si>
    <t xml:space="preserve">UPI has the highest sales (₹16,210), but usage across Card, Cash and UPI is fairly even. Beverages bring 67% of kept sales.</t>
  </si>
  <si>
    <t xml:space="preserve">Recommendation</t>
  </si>
  <si>
    <t xml:space="preserve">Investigate why Chennai orders fail (payment, delivery, stock) and confirm orders at checkout; replicate Pune’s practices in other cities.</t>
  </si>
  <si>
    <t xml:space="preserve">6. NOTES</t>
  </si>
  <si>
    <t xml:space="preserve">Live formulas</t>
  </si>
  <si>
    <t xml:space="preserve">All results are formulas on Orders Data; edit the data and everything updates. Findings text above is a snapshot of the current data.</t>
  </si>
  <si>
    <t xml:space="preserve">Assumptions</t>
  </si>
  <si>
    <t xml:space="preserve">Revenue = Quantity × Price on valid rows only; invalid rows count as ₹0 but remain in the data.</t>
  </si>
  <si>
    <t xml:space="preserve">This report answers three questions: Which city earns the most? How much money is lost to cancelled and refunded orders? Which payment method do customers prefer?</t>
  </si>
  <si>
    <t xml:space="preserve">KEY NUMBERS</t>
  </si>
  <si>
    <t xml:space="preserve">Total orders</t>
  </si>
  <si>
    <t xml:space="preserve">Total sales</t>
  </si>
  <si>
    <t xml:space="preserve">Sales kept</t>
  </si>
  <si>
    <t xml:space="preserve">Sales lost</t>
  </si>
  <si>
    <t xml:space="preserve">Avg. completed order</t>
  </si>
  <si>
    <t xml:space="preserve">unique orders after cleaning</t>
  </si>
  <si>
    <t xml:space="preserve">if every order is counted</t>
  </si>
  <si>
    <t xml:space="preserve">from Completed orders only</t>
  </si>
  <si>
    <t xml:space="preserve">of orders were completed</t>
  </si>
  <si>
    <t xml:space="preserve">to cancelled and refunded orders</t>
  </si>
  <si>
    <t xml:space="preserve">typical value of one sale</t>
  </si>
  <si>
    <t xml:space="preserve">WHAT THE DATA TELLS US (in plain English)</t>
  </si>
  <si>
    <t xml:space="preserve">OUR RECOMMENDATION</t>
  </si>
  <si>
    <t xml:space="preserve">Focus on Chennai first. More than half of its sales (58%) are lost to cancelled or refunded orders, far above the 29% average, so fixing this is the biggest opportunity. Find out why Chennai orders fail (payment problems, delivery delays or stock issues) and confirm orders at checkout. Then copy what works in Pune, which keeps the largest share of its sales, in the other cities. (Based on the figures in this workbook; update the wording if the data changes.)</t>
  </si>
  <si>
    <t xml:space="preserve">CHARTS</t>
  </si>
  <si>
    <t xml:space="preserve">THE NUMBERS BEHIND THE CHARTS</t>
  </si>
  <si>
    <t xml:space="preserve">Sales by city</t>
  </si>
  <si>
    <t xml:space="preserve">Orders by status</t>
  </si>
  <si>
    <t xml:space="preserve">City</t>
  </si>
  <si>
    <t xml:space="preserve">Total sales (all orders)</t>
  </si>
  <si>
    <t xml:space="preserve">Sales kept (Completed only)</t>
  </si>
  <si>
    <t xml:space="preserve">Sales lost (Cancelled + Refunded)</t>
  </si>
  <si>
    <t xml:space="preserve">% of sales lost</t>
  </si>
  <si>
    <t xml:space="preserve">Rank (1 = best kept sales)</t>
  </si>
  <si>
    <t xml:space="preserve">Order status</t>
  </si>
  <si>
    <t xml:space="preserve">Orders</t>
  </si>
  <si>
    <t xml:space="preserve">% of orders</t>
  </si>
  <si>
    <t xml:space="preserve">Sales value</t>
  </si>
  <si>
    <t xml:space="preserve">Bengaluru</t>
  </si>
  <si>
    <t xml:space="preserve">Completed</t>
  </si>
  <si>
    <t xml:space="preserve">Chennai</t>
  </si>
  <si>
    <t xml:space="preserve">Cancelled</t>
  </si>
  <si>
    <t xml:space="preserve">Delhi</t>
  </si>
  <si>
    <t xml:space="preserve">Refunded</t>
  </si>
  <si>
    <t xml:space="preserve">Mumbai</t>
  </si>
  <si>
    <t xml:space="preserve">Total</t>
  </si>
  <si>
    <t xml:space="preserve">Pune</t>
  </si>
  <si>
    <t xml:space="preserve">Sales by product category</t>
  </si>
  <si>
    <t xml:space="preserve">Payment methods</t>
  </si>
  <si>
    <t xml:space="preserve">Category</t>
  </si>
  <si>
    <t xml:space="preserve">% of sales kept</t>
  </si>
  <si>
    <t xml:space="preserve">Payment method</t>
  </si>
  <si>
    <t xml:space="preserve">Valid orders</t>
  </si>
  <si>
    <t xml:space="preserve">Average per order</t>
  </si>
  <si>
    <t xml:space="preserve">Beverage</t>
  </si>
  <si>
    <t xml:space="preserve">Card</t>
  </si>
  <si>
    <t xml:space="preserve">Bakery</t>
  </si>
  <si>
    <t xml:space="preserve">Cash</t>
  </si>
  <si>
    <t xml:space="preserve">Food</t>
  </si>
  <si>
    <t xml:space="preserve">UPI</t>
  </si>
  <si>
    <t xml:space="preserve">"Valid orders" leaves out orders with a missing or invalid quantity or price.</t>
  </si>
  <si>
    <t xml:space="preserve">HOW THE DATA WAS CLEANED AND HOW TO READ IT</t>
  </si>
  <si>
    <t xml:space="preserve">•  10 duplicate orders were removed (170 rows became 160 unique orders).</t>
  </si>
  <si>
    <t xml:space="preserve">•  City, customer and status had spelling, spacing and capital-letter mistakes (for example " mumbai", "DELHI ", "refunded "). These were fixed with formulas. The original entries are kept in the grey columns on the Orders Data sheet.</t>
  </si>
  <si>
    <t xml:space="preserve">•  Sales value = Quantity × Price. "Completed" orders are sales the café kept. "Cancelled" and "Refunded" orders are money that did not stay with the café.</t>
  </si>
  <si>
    <t xml:space="preserve">•  The sheet "City x Status" shows the same sales split by city and status, like a pivot table, but it updates automatically.</t>
  </si>
  <si>
    <t xml:space="preserve">Product</t>
  </si>
  <si>
    <t xml:space="preserve">Quantity</t>
  </si>
  <si>
    <t xml:space="preserve">Price (₹)</t>
  </si>
  <si>
    <t xml:space="preserve">Order Status</t>
  </si>
  <si>
    <t xml:space="preserve">Customer (as entered)</t>
  </si>
  <si>
    <t xml:space="preserve">City (as entered)</t>
  </si>
  <si>
    <t xml:space="preserve">Status (as entered)</t>
  </si>
  <si>
    <t xml:space="preserve">HOW TO READ THIS SHEET</t>
  </si>
  <si>
    <t xml:space="preserve">ORD2001</t>
  </si>
  <si>
    <t xml:space="preserve">Muffin</t>
  </si>
  <si>
    <t xml:space="preserve">Aditya Joshi</t>
  </si>
  <si>
    <t xml:space="preserve"> Chennai</t>
  </si>
  <si>
    <t xml:space="preserve">refunded</t>
  </si>
  <si>
    <t xml:space="preserve">Blue headers = data as recorded by the café.</t>
  </si>
  <si>
    <t xml:space="preserve">ORD2002</t>
  </si>
  <si>
    <t xml:space="preserve">rohit sharma</t>
  </si>
  <si>
    <t xml:space="preserve">mumbai</t>
  </si>
  <si>
    <t xml:space="preserve">cancelled</t>
  </si>
  <si>
    <t xml:space="preserve">Green headers = cleaned or calculated by formula.</t>
  </si>
  <si>
    <t xml:space="preserve">ORD2003</t>
  </si>
  <si>
    <t xml:space="preserve">Espresso</t>
  </si>
  <si>
    <t xml:space="preserve">Naina Bose</t>
  </si>
  <si>
    <t xml:space="preserve">Grey columns (P:R) = the original messy entries, kept for reference.</t>
  </si>
  <si>
    <t xml:space="preserve">ORD2004</t>
  </si>
  <si>
    <t xml:space="preserve">Sandwich</t>
  </si>
  <si>
    <t xml:space="preserve">Ira Menon</t>
  </si>
  <si>
    <t xml:space="preserve">Bengaluru  </t>
  </si>
  <si>
    <t xml:space="preserve">Red rows = orders with a missing or invalid quantity/price (counted as ₹0 sales).</t>
  </si>
  <si>
    <t xml:space="preserve">ORD2005</t>
  </si>
  <si>
    <t xml:space="preserve">Latte</t>
  </si>
  <si>
    <t xml:space="preserve">Om Prakash</t>
  </si>
  <si>
    <t xml:space="preserve">ORD2006</t>
  </si>
  <si>
    <t xml:space="preserve">Trisha Reddy</t>
  </si>
  <si>
    <t xml:space="preserve">ORD2007</t>
  </si>
  <si>
    <t xml:space="preserve">Iced Tea</t>
  </si>
  <si>
    <t xml:space="preserve">  Simran Kaur</t>
  </si>
  <si>
    <t xml:space="preserve">Delhi  </t>
  </si>
  <si>
    <t xml:space="preserve">ORD2008</t>
  </si>
  <si>
    <t xml:space="preserve">Kunal Verma</t>
  </si>
  <si>
    <t xml:space="preserve"> Bengaluru</t>
  </si>
  <si>
    <t xml:space="preserve">Completed </t>
  </si>
  <si>
    <t xml:space="preserve">ORD2009</t>
  </si>
  <si>
    <t xml:space="preserve">Croissant</t>
  </si>
  <si>
    <t xml:space="preserve">Ananya Iyer</t>
  </si>
  <si>
    <t xml:space="preserve"> Mumbai</t>
  </si>
  <si>
    <t xml:space="preserve">ORD2010</t>
  </si>
  <si>
    <t xml:space="preserve">ORD2011</t>
  </si>
  <si>
    <t xml:space="preserve">  Meher Dutta</t>
  </si>
  <si>
    <t xml:space="preserve">pune</t>
  </si>
  <si>
    <t xml:space="preserve">ORD2012</t>
  </si>
  <si>
    <t xml:space="preserve">Cold Brew</t>
  </si>
  <si>
    <t xml:space="preserve">Ritika Shah   </t>
  </si>
  <si>
    <t xml:space="preserve">ORD2013</t>
  </si>
  <si>
    <t xml:space="preserve">Fahad Khan   </t>
  </si>
  <si>
    <t xml:space="preserve">Refunded </t>
  </si>
  <si>
    <t xml:space="preserve">ORD2014</t>
  </si>
  <si>
    <t xml:space="preserve">simran kaur</t>
  </si>
  <si>
    <t xml:space="preserve">REFUNDED</t>
  </si>
  <si>
    <t xml:space="preserve">ORD2015</t>
  </si>
  <si>
    <t xml:space="preserve">Om Prakash   </t>
  </si>
  <si>
    <t xml:space="preserve">MUMBAI</t>
  </si>
  <si>
    <t xml:space="preserve">ORD2016</t>
  </si>
  <si>
    <t xml:space="preserve">Cappuccino</t>
  </si>
  <si>
    <t xml:space="preserve">  Ira Menon</t>
  </si>
  <si>
    <t xml:space="preserve">PUNE</t>
  </si>
  <si>
    <t xml:space="preserve">ORD2017</t>
  </si>
  <si>
    <t xml:space="preserve">ORD2018</t>
  </si>
  <si>
    <t xml:space="preserve">bengaluru</t>
  </si>
  <si>
    <t xml:space="preserve">ORD2019</t>
  </si>
  <si>
    <t xml:space="preserve">delhi</t>
  </si>
  <si>
    <t xml:space="preserve">Cancelled </t>
  </si>
  <si>
    <t xml:space="preserve">ORD2020</t>
  </si>
  <si>
    <t xml:space="preserve">Brownie</t>
  </si>
  <si>
    <t xml:space="preserve">  Devansh Rao</t>
  </si>
  <si>
    <t xml:space="preserve">ORD2021</t>
  </si>
  <si>
    <t xml:space="preserve">DELHI</t>
  </si>
  <si>
    <t xml:space="preserve">completed</t>
  </si>
  <si>
    <t xml:space="preserve">ORD2022</t>
  </si>
  <si>
    <t xml:space="preserve">naina bose</t>
  </si>
  <si>
    <t xml:space="preserve">COMPLETED</t>
  </si>
  <si>
    <t xml:space="preserve">ORD2023</t>
  </si>
  <si>
    <t xml:space="preserve">Rohit Sharma</t>
  </si>
  <si>
    <t xml:space="preserve">ORD2024</t>
  </si>
  <si>
    <t xml:space="preserve">Simran Kaur</t>
  </si>
  <si>
    <t xml:space="preserve">ORD2025</t>
  </si>
  <si>
    <t xml:space="preserve">Pune  </t>
  </si>
  <si>
    <t xml:space="preserve">ORD2026</t>
  </si>
  <si>
    <t xml:space="preserve">ORD2027</t>
  </si>
  <si>
    <t xml:space="preserve">ORD2028</t>
  </si>
  <si>
    <t xml:space="preserve">  Kunal Verma</t>
  </si>
  <si>
    <t xml:space="preserve">ORD2030</t>
  </si>
  <si>
    <t xml:space="preserve">  Sahil Kapoor</t>
  </si>
  <si>
    <t xml:space="preserve">ORD2031</t>
  </si>
  <si>
    <t xml:space="preserve">Ritika Shah</t>
  </si>
  <si>
    <t xml:space="preserve">ORD2032</t>
  </si>
  <si>
    <t xml:space="preserve">ORD2033</t>
  </si>
  <si>
    <t xml:space="preserve">ORD2034</t>
  </si>
  <si>
    <t xml:space="preserve">  Tushar Gill</t>
  </si>
  <si>
    <t xml:space="preserve">ORD2035</t>
  </si>
  <si>
    <t xml:space="preserve">ORD2036</t>
  </si>
  <si>
    <t xml:space="preserve">CHENNAI</t>
  </si>
  <si>
    <t xml:space="preserve">ORD2037</t>
  </si>
  <si>
    <t xml:space="preserve">Tushar Gill</t>
  </si>
  <si>
    <t xml:space="preserve">ORD2038</t>
  </si>
  <si>
    <t xml:space="preserve">Devansh Rao</t>
  </si>
  <si>
    <t xml:space="preserve">ORD2039</t>
  </si>
  <si>
    <t xml:space="preserve">Sahil Kapoor   </t>
  </si>
  <si>
    <t xml:space="preserve">ORD2040</t>
  </si>
  <si>
    <t xml:space="preserve">Hot Chocolate</t>
  </si>
  <si>
    <t xml:space="preserve">ORD2041</t>
  </si>
  <si>
    <t xml:space="preserve">ORD2042</t>
  </si>
  <si>
    <t xml:space="preserve">ORD2043</t>
  </si>
  <si>
    <t xml:space="preserve">ORD2044</t>
  </si>
  <si>
    <t xml:space="preserve">ORD2045</t>
  </si>
  <si>
    <t xml:space="preserve">ORD2046</t>
  </si>
  <si>
    <t xml:space="preserve">  Aditya Joshi</t>
  </si>
  <si>
    <t xml:space="preserve">ORD2047</t>
  </si>
  <si>
    <t xml:space="preserve">Lavanya Nair</t>
  </si>
  <si>
    <t xml:space="preserve">ORD2048</t>
  </si>
  <si>
    <t xml:space="preserve">Ira Menon   </t>
  </si>
  <si>
    <t xml:space="preserve">ORD2049</t>
  </si>
  <si>
    <t xml:space="preserve">Meher Dutta</t>
  </si>
  <si>
    <t xml:space="preserve">ORD2050</t>
  </si>
  <si>
    <t xml:space="preserve">ORD2051</t>
  </si>
  <si>
    <t xml:space="preserve">ORD2052</t>
  </si>
  <si>
    <t xml:space="preserve">ORD2053</t>
  </si>
  <si>
    <t xml:space="preserve">fahad khan</t>
  </si>
  <si>
    <t xml:space="preserve">ORD2054</t>
  </si>
  <si>
    <t xml:space="preserve">ORD2055</t>
  </si>
  <si>
    <t xml:space="preserve">ORD2056</t>
  </si>
  <si>
    <t xml:space="preserve">Tushar Gill   </t>
  </si>
  <si>
    <t xml:space="preserve">ORD2057</t>
  </si>
  <si>
    <t xml:space="preserve">ira menon</t>
  </si>
  <si>
    <t xml:space="preserve">ORD2058</t>
  </si>
  <si>
    <t xml:space="preserve">chennai</t>
  </si>
  <si>
    <t xml:space="preserve">ORD2059</t>
  </si>
  <si>
    <t xml:space="preserve">ORD2060</t>
  </si>
  <si>
    <t xml:space="preserve">ORD2061</t>
  </si>
  <si>
    <t xml:space="preserve">ORD2062</t>
  </si>
  <si>
    <t xml:space="preserve">ORD2063</t>
  </si>
  <si>
    <t xml:space="preserve"> Delhi</t>
  </si>
  <si>
    <t xml:space="preserve">ORD2064</t>
  </si>
  <si>
    <t xml:space="preserve">ORD2065</t>
  </si>
  <si>
    <t xml:space="preserve">ORD2066</t>
  </si>
  <si>
    <t xml:space="preserve">ORD2067</t>
  </si>
  <si>
    <t xml:space="preserve">ritika shah</t>
  </si>
  <si>
    <t xml:space="preserve">ORD2068</t>
  </si>
  <si>
    <t xml:space="preserve">ORD2069</t>
  </si>
  <si>
    <t xml:space="preserve">ORD2070</t>
  </si>
  <si>
    <t xml:space="preserve">ORD2071</t>
  </si>
  <si>
    <t xml:space="preserve">ORD2072</t>
  </si>
  <si>
    <t xml:space="preserve">ORD2073</t>
  </si>
  <si>
    <t xml:space="preserve">ORD2074</t>
  </si>
  <si>
    <t xml:space="preserve">  Ritika Shah</t>
  </si>
  <si>
    <t xml:space="preserve">ORD2075</t>
  </si>
  <si>
    <t xml:space="preserve">CANCELLED</t>
  </si>
  <si>
    <t xml:space="preserve">ORD2076</t>
  </si>
  <si>
    <t xml:space="preserve">ORD2078</t>
  </si>
  <si>
    <t xml:space="preserve">ananya iyer</t>
  </si>
  <si>
    <t xml:space="preserve">ORD2079</t>
  </si>
  <si>
    <t xml:space="preserve">Fahad Khan</t>
  </si>
  <si>
    <t xml:space="preserve">ORD2080</t>
  </si>
  <si>
    <t xml:space="preserve">ORD2082</t>
  </si>
  <si>
    <t xml:space="preserve">ORD2083</t>
  </si>
  <si>
    <t xml:space="preserve">  Rohit Sharma</t>
  </si>
  <si>
    <t xml:space="preserve">ORD2084</t>
  </si>
  <si>
    <t xml:space="preserve">ORD2085</t>
  </si>
  <si>
    <t xml:space="preserve"> Pune</t>
  </si>
  <si>
    <t xml:space="preserve">ORD2086</t>
  </si>
  <si>
    <t xml:space="preserve">ORD2087</t>
  </si>
  <si>
    <t xml:space="preserve">  Om Prakash</t>
  </si>
  <si>
    <t xml:space="preserve">ORD2088</t>
  </si>
  <si>
    <t xml:space="preserve">ORD2089</t>
  </si>
  <si>
    <t xml:space="preserve">ORD2090</t>
  </si>
  <si>
    <t xml:space="preserve">Ananya Iyer   </t>
  </si>
  <si>
    <t xml:space="preserve">ORD2091</t>
  </si>
  <si>
    <t xml:space="preserve">ORD2092</t>
  </si>
  <si>
    <t xml:space="preserve">Simran Kaur   </t>
  </si>
  <si>
    <t xml:space="preserve">ORD2094</t>
  </si>
  <si>
    <t xml:space="preserve">ORD2095</t>
  </si>
  <si>
    <t xml:space="preserve">Devansh Rao   </t>
  </si>
  <si>
    <t xml:space="preserve">ORD2096</t>
  </si>
  <si>
    <t xml:space="preserve">  Fahad Khan</t>
  </si>
  <si>
    <t xml:space="preserve">ORD2097</t>
  </si>
  <si>
    <t xml:space="preserve">ORD2099</t>
  </si>
  <si>
    <t xml:space="preserve">ORD2100</t>
  </si>
  <si>
    <t xml:space="preserve">ORD2101</t>
  </si>
  <si>
    <t xml:space="preserve">ORD2102</t>
  </si>
  <si>
    <t xml:space="preserve">ORD2103</t>
  </si>
  <si>
    <t xml:space="preserve">ORD2104</t>
  </si>
  <si>
    <t xml:space="preserve">ORD2105</t>
  </si>
  <si>
    <t xml:space="preserve">ORD2106</t>
  </si>
  <si>
    <t xml:space="preserve">ORD2107</t>
  </si>
  <si>
    <t xml:space="preserve">ORD2108</t>
  </si>
  <si>
    <t xml:space="preserve">ORD2109</t>
  </si>
  <si>
    <t xml:space="preserve">ORD2110</t>
  </si>
  <si>
    <t xml:space="preserve">ORD2111</t>
  </si>
  <si>
    <t xml:space="preserve">ORD2112</t>
  </si>
  <si>
    <t xml:space="preserve">ORD2113</t>
  </si>
  <si>
    <t xml:space="preserve">devansh rao</t>
  </si>
  <si>
    <t xml:space="preserve">ORD2114</t>
  </si>
  <si>
    <t xml:space="preserve">Sahil Kapoor</t>
  </si>
  <si>
    <t xml:space="preserve">ORD2115</t>
  </si>
  <si>
    <t xml:space="preserve">ORD2116</t>
  </si>
  <si>
    <t xml:space="preserve">  Trisha Reddy</t>
  </si>
  <si>
    <t xml:space="preserve">ORD2117</t>
  </si>
  <si>
    <t xml:space="preserve">Rohit Sharma   </t>
  </si>
  <si>
    <t xml:space="preserve">ORD2118</t>
  </si>
  <si>
    <t xml:space="preserve">ORD2119</t>
  </si>
  <si>
    <t xml:space="preserve">ORD2120</t>
  </si>
  <si>
    <t xml:space="preserve">ORD2122</t>
  </si>
  <si>
    <t xml:space="preserve">ORD2123</t>
  </si>
  <si>
    <t xml:space="preserve">Mumbai  </t>
  </si>
  <si>
    <t xml:space="preserve">ORD2124</t>
  </si>
  <si>
    <t xml:space="preserve">ORD2125</t>
  </si>
  <si>
    <t xml:space="preserve">ORD2126</t>
  </si>
  <si>
    <t xml:space="preserve">Lavanya Nair   </t>
  </si>
  <si>
    <t xml:space="preserve">ORD2127</t>
  </si>
  <si>
    <t xml:space="preserve">ORD2128</t>
  </si>
  <si>
    <t xml:space="preserve">aditya joshi</t>
  </si>
  <si>
    <t xml:space="preserve">BENGALURU</t>
  </si>
  <si>
    <t xml:space="preserve">ORD2129</t>
  </si>
  <si>
    <t xml:space="preserve">ORD2130</t>
  </si>
  <si>
    <t xml:space="preserve">tushar gill</t>
  </si>
  <si>
    <t xml:space="preserve">ORD2131</t>
  </si>
  <si>
    <t xml:space="preserve">ORD2132</t>
  </si>
  <si>
    <t xml:space="preserve">ORD2134</t>
  </si>
  <si>
    <t xml:space="preserve">ORD2135</t>
  </si>
  <si>
    <t xml:space="preserve">ORD2136</t>
  </si>
  <si>
    <t xml:space="preserve">ORD2137</t>
  </si>
  <si>
    <t xml:space="preserve">ORD2138</t>
  </si>
  <si>
    <t xml:space="preserve">ORD2139</t>
  </si>
  <si>
    <t xml:space="preserve">ORD2141</t>
  </si>
  <si>
    <t xml:space="preserve">ORD2142</t>
  </si>
  <si>
    <t xml:space="preserve">ORD2143</t>
  </si>
  <si>
    <t xml:space="preserve">Kunal Verma   </t>
  </si>
  <si>
    <t xml:space="preserve">ORD2144</t>
  </si>
  <si>
    <t xml:space="preserve">ORD2145</t>
  </si>
  <si>
    <t xml:space="preserve">ORD2146</t>
  </si>
  <si>
    <t xml:space="preserve">ORD2147</t>
  </si>
  <si>
    <t xml:space="preserve">ORD2148</t>
  </si>
  <si>
    <t xml:space="preserve">ORD2150</t>
  </si>
  <si>
    <t xml:space="preserve">ORD2151</t>
  </si>
  <si>
    <t xml:space="preserve">sahil kapoor</t>
  </si>
  <si>
    <t xml:space="preserve">ORD2152</t>
  </si>
  <si>
    <t xml:space="preserve">ORD2153</t>
  </si>
  <si>
    <t xml:space="preserve">ORD2154</t>
  </si>
  <si>
    <t xml:space="preserve">ORD2155</t>
  </si>
  <si>
    <t xml:space="preserve">ORD2156</t>
  </si>
  <si>
    <t xml:space="preserve">ORD2157</t>
  </si>
  <si>
    <t xml:space="preserve">ORD2158</t>
  </si>
  <si>
    <t xml:space="preserve">ORD2159</t>
  </si>
  <si>
    <t xml:space="preserve">ORD2160</t>
  </si>
  <si>
    <t xml:space="preserve">ORD2162</t>
  </si>
  <si>
    <t xml:space="preserve">ORD2163</t>
  </si>
  <si>
    <t xml:space="preserve">ORD2164</t>
  </si>
  <si>
    <t xml:space="preserve">ORD2165</t>
  </si>
  <si>
    <t xml:space="preserve">ORD2166</t>
  </si>
  <si>
    <t xml:space="preserve">ORD2167</t>
  </si>
  <si>
    <t xml:space="preserve">ORD2168</t>
  </si>
  <si>
    <t xml:space="preserve">ORD2169</t>
  </si>
  <si>
    <t xml:space="preserve">ORD2170</t>
  </si>
  <si>
    <t xml:space="preserve">Sales by City and Order Status</t>
  </si>
  <si>
    <t xml:space="preserve">Sales value in rupees (₹). Works like a pivot table, but every number is a formula, so it updates automatically.</t>
  </si>
  <si>
    <t xml:space="preserve">Grand total</t>
  </si>
</sst>
</file>

<file path=xl/styles.xml><?xml version="1.0" encoding="utf-8"?>
<styleSheet xmlns="http://schemas.openxmlformats.org/spreadsheetml/2006/main">
  <numFmts count="7">
    <numFmt numFmtId="164" formatCode="General"/>
    <numFmt numFmtId="165" formatCode="0"/>
    <numFmt numFmtId="166" formatCode="\₹#,##0"/>
    <numFmt numFmtId="167" formatCode="0.0%"/>
    <numFmt numFmtId="168" formatCode="General"/>
    <numFmt numFmtId="169" formatCode="dd\-mmm\-yyyy"/>
    <numFmt numFmtId="170" formatCode="#,##0"/>
  </numFmts>
  <fonts count="31">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i val="true"/>
      <sz val="10"/>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b val="true"/>
      <sz val="24"/>
      <color rgb="FFFFFFFF"/>
      <name val="Arial"/>
      <family val="0"/>
      <charset val="1"/>
    </font>
    <font>
      <sz val="11"/>
      <color rgb="FFFFFFFF"/>
      <name val="Arial"/>
      <family val="0"/>
      <charset val="1"/>
    </font>
    <font>
      <i val="true"/>
      <sz val="10"/>
      <color rgb="FF404040"/>
      <name val="Arial"/>
      <family val="0"/>
      <charset val="1"/>
    </font>
    <font>
      <b val="true"/>
      <sz val="12"/>
      <color rgb="FFFFFFFF"/>
      <name val="Arial"/>
      <family val="0"/>
      <charset val="1"/>
    </font>
    <font>
      <b val="true"/>
      <sz val="10"/>
      <color rgb="FF595959"/>
      <name val="Arial"/>
      <family val="0"/>
      <charset val="1"/>
    </font>
    <font>
      <b val="true"/>
      <sz val="20"/>
      <color rgb="FF1F3864"/>
      <name val="Arial"/>
      <family val="0"/>
      <charset val="1"/>
    </font>
    <font>
      <b val="true"/>
      <sz val="20"/>
      <color rgb="FF375623"/>
      <name val="Arial"/>
      <family val="0"/>
      <charset val="1"/>
    </font>
    <font>
      <b val="true"/>
      <sz val="20"/>
      <color rgb="FFC00000"/>
      <name val="Arial"/>
      <family val="0"/>
      <charset val="1"/>
    </font>
    <font>
      <i val="true"/>
      <sz val="8"/>
      <color rgb="FF7F7F7F"/>
      <name val="Arial"/>
      <family val="0"/>
      <charset val="1"/>
    </font>
    <font>
      <sz val="11"/>
      <name val="Arial"/>
      <family val="0"/>
      <charset val="1"/>
    </font>
    <font>
      <b val="true"/>
      <sz val="11"/>
      <color rgb="FF1F3864"/>
      <name val="Arial"/>
      <family val="0"/>
      <charset val="1"/>
    </font>
    <font>
      <b val="true"/>
      <sz val="10"/>
      <color rgb="FFFFFFFF"/>
      <name val="Arial"/>
      <family val="0"/>
      <charset val="1"/>
    </font>
    <font>
      <i val="true"/>
      <sz val="9"/>
      <color rgb="FF7F7F7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1F3864"/>
      <name val="Arial"/>
      <family val="0"/>
      <charset val="1"/>
    </font>
    <font>
      <sz val="10"/>
      <color rgb="FF595959"/>
      <name val="Arial"/>
      <family val="0"/>
      <charset val="1"/>
    </font>
    <font>
      <sz val="10"/>
      <color rgb="FF404040"/>
      <name val="Arial"/>
      <family val="0"/>
      <charset val="1"/>
    </font>
    <font>
      <b val="true"/>
      <sz val="16"/>
      <color rgb="FF1F3864"/>
      <name val="Arial"/>
      <family val="0"/>
      <charset val="1"/>
    </font>
    <font>
      <i val="true"/>
      <sz val="10"/>
      <color rgb="FF7F7F7F"/>
      <name val="Arial"/>
      <family val="0"/>
      <charset val="1"/>
    </font>
    <font>
      <b val="true"/>
      <sz val="11"/>
      <name val="Arial"/>
      <family val="0"/>
      <charset val="1"/>
    </font>
  </fonts>
  <fills count="9">
    <fill>
      <patternFill patternType="none"/>
    </fill>
    <fill>
      <patternFill patternType="gray125"/>
    </fill>
    <fill>
      <patternFill patternType="solid">
        <fgColor rgb="FF1F3864"/>
        <bgColor rgb="FF404040"/>
      </patternFill>
    </fill>
    <fill>
      <patternFill patternType="solid">
        <fgColor rgb="FF2F5597"/>
        <bgColor rgb="FF1F3864"/>
      </patternFill>
    </fill>
    <fill>
      <patternFill patternType="solid">
        <fgColor rgb="FFEAF1FB"/>
        <bgColor rgb="FFF7F9FC"/>
      </patternFill>
    </fill>
    <fill>
      <patternFill patternType="solid">
        <fgColor rgb="FFF7F9FC"/>
        <bgColor rgb="FFFFFFFF"/>
      </patternFill>
    </fill>
    <fill>
      <patternFill patternType="solid">
        <fgColor rgb="FFFFF2CC"/>
        <bgColor rgb="FFF7F9FC"/>
      </patternFill>
    </fill>
    <fill>
      <patternFill patternType="solid">
        <fgColor rgb="FF375623"/>
        <bgColor rgb="FF404040"/>
      </patternFill>
    </fill>
    <fill>
      <patternFill patternType="solid">
        <fgColor rgb="FF595959"/>
        <bgColor rgb="FF40404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general" vertical="center" textRotation="0" wrapText="false" indent="1" shrinkToFit="false"/>
      <protection locked="true" hidden="false"/>
    </xf>
    <xf numFmtId="164" fontId="10" fillId="2" borderId="0" xfId="0" applyFont="true" applyBorder="true" applyAlignment="true" applyProtection="false">
      <alignment horizontal="general" vertical="center" textRotation="0" wrapText="false" indent="1" shrinkToFit="false"/>
      <protection locked="true" hidden="false"/>
    </xf>
    <xf numFmtId="164" fontId="11" fillId="0" borderId="0" xfId="0" applyFont="true" applyBorder="true" applyAlignment="true" applyProtection="false">
      <alignment horizontal="general" vertical="center" textRotation="0" wrapText="true" indent="1" shrinkToFit="false"/>
      <protection locked="true" hidden="false"/>
    </xf>
    <xf numFmtId="164" fontId="12" fillId="3" borderId="0" xfId="0" applyFont="true" applyBorder="true" applyAlignment="true" applyProtection="false">
      <alignment horizontal="general" vertical="center" textRotation="0" wrapText="false" indent="1"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5" fontId="14" fillId="4" borderId="1" xfId="0" applyFont="true" applyBorder="true" applyAlignment="true" applyProtection="false">
      <alignment horizontal="center" vertical="center" textRotation="0" wrapText="false" indent="0" shrinkToFit="false"/>
      <protection locked="true" hidden="false"/>
    </xf>
    <xf numFmtId="166" fontId="14" fillId="4" borderId="1" xfId="0" applyFont="true" applyBorder="true" applyAlignment="true" applyProtection="false">
      <alignment horizontal="center" vertical="center" textRotation="0" wrapText="false" indent="0" shrinkToFit="false"/>
      <protection locked="true" hidden="false"/>
    </xf>
    <xf numFmtId="166" fontId="15" fillId="4" borderId="1" xfId="0" applyFont="true" applyBorder="true" applyAlignment="true" applyProtection="false">
      <alignment horizontal="center" vertical="center" textRotation="0" wrapText="false" indent="0" shrinkToFit="false"/>
      <protection locked="true" hidden="false"/>
    </xf>
    <xf numFmtId="167" fontId="15" fillId="4" borderId="1" xfId="0" applyFont="true" applyBorder="true" applyAlignment="true" applyProtection="false">
      <alignment horizontal="center" vertical="center" textRotation="0" wrapText="false" indent="0" shrinkToFit="false"/>
      <protection locked="true" hidden="false"/>
    </xf>
    <xf numFmtId="166" fontId="16" fillId="4" borderId="1" xfId="0" applyFont="true" applyBorder="true" applyAlignment="true" applyProtection="false">
      <alignment horizontal="center" vertical="center" textRotation="0" wrapText="fals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18" fillId="5" borderId="0" xfId="0" applyFont="true" applyBorder="true" applyAlignment="true" applyProtection="false">
      <alignment horizontal="general" vertical="center" textRotation="0" wrapText="true" indent="1" shrinkToFit="false"/>
      <protection locked="true" hidden="false"/>
    </xf>
    <xf numFmtId="164" fontId="18" fillId="6" borderId="1" xfId="0" applyFont="true" applyBorder="true" applyAlignment="true" applyProtection="false">
      <alignment horizontal="general" vertical="top" textRotation="0" wrapText="true" indent="1"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center" textRotation="0" wrapText="true" indent="1"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70"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true" applyProtection="false">
      <alignment horizontal="general" vertical="bottom" textRotation="0" wrapText="false" indent="0" shrinkToFit="false"/>
      <protection locked="true" hidden="false"/>
    </xf>
    <xf numFmtId="166" fontId="30"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b val="1"/>
      </font>
      <fill>
        <patternFill>
          <bgColor rgb="FFC6E0B4"/>
        </patternFill>
      </fill>
    </dxf>
    <dxf>
      <fill>
        <patternFill patternType="solid">
          <fgColor rgb="FF2F5597"/>
          <bgColor rgb="FF000000"/>
        </patternFill>
      </fill>
    </dxf>
    <dxf>
      <fill>
        <patternFill patternType="solid">
          <fgColor rgb="FFFFC7CE"/>
          <bgColor rgb="FF000000"/>
        </patternFill>
      </fill>
    </dxf>
    <dxf>
      <fill>
        <patternFill patternType="solid">
          <bgColor rgb="FF000000"/>
        </patternFill>
      </fill>
    </dxf>
    <dxf>
      <fill>
        <patternFill patternType="solid">
          <fgColor rgb="FFFFFFFF"/>
          <bgColor rgb="FF000000"/>
        </patternFill>
      </fill>
    </dxf>
    <dxf>
      <fill>
        <patternFill patternType="solid">
          <fgColor rgb="FF375623"/>
          <bgColor rgb="FF000000"/>
        </patternFill>
      </fill>
    </dxf>
    <dxf>
      <fill>
        <patternFill>
          <bgColor rgb="FFFFC7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C0504D"/>
      <rgbColor rgb="FFFFF2CC"/>
      <rgbColor rgb="FFEAF1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7F9FC"/>
      <rgbColor rgb="FFC6E0B4"/>
      <rgbColor rgb="FFFFFF99"/>
      <rgbColor rgb="FF99CCFF"/>
      <rgbColor rgb="FFFF99CC"/>
      <rgbColor rgb="FFCC99FF"/>
      <rgbColor rgb="FFFFC7CE"/>
      <rgbColor rgb="FF4F81BD"/>
      <rgbColor rgb="FF33CCCC"/>
      <rgbColor rgb="FF9BBB59"/>
      <rgbColor rgb="FFFFCC00"/>
      <rgbColor rgb="FFFF9900"/>
      <rgbColor rgb="FFFF6600"/>
      <rgbColor rgb="FF595959"/>
      <rgbColor rgb="FF878787"/>
      <rgbColor rgb="FF1F3864"/>
      <rgbColor rgb="FF339966"/>
      <rgbColor rgb="FF003300"/>
      <rgbColor rgb="FF375623"/>
      <rgbColor rgb="FF993300"/>
      <rgbColor rgb="FF993366"/>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Sales by city: total vs. sales kept</a:t>
            </a:r>
          </a:p>
        </c:rich>
      </c:tx>
      <c:overlay val="0"/>
      <c:spPr>
        <a:noFill/>
        <a:ln w="0">
          <a:noFill/>
        </a:ln>
      </c:spPr>
    </c:title>
    <c:autoTitleDeleted val="0"/>
    <c:plotArea>
      <c:barChart>
        <c:barDir val="col"/>
        <c:grouping val="clustered"/>
        <c:varyColors val="0"/>
        <c:ser>
          <c:idx val="0"/>
          <c:order val="0"/>
          <c:tx>
            <c:strRef>
              <c:f>Summary!B63</c:f>
              <c:strCache>
                <c:ptCount val="1"/>
                <c:pt idx="0">
                  <c:v>Total sales (all orders)</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Summary!$A$64:$A$68</c:f>
              <c:strCache>
                <c:ptCount val="5"/>
                <c:pt idx="0">
                  <c:v>Bengaluru</c:v>
                </c:pt>
                <c:pt idx="1">
                  <c:v>Chennai</c:v>
                </c:pt>
                <c:pt idx="2">
                  <c:v>Delhi</c:v>
                </c:pt>
                <c:pt idx="3">
                  <c:v>Mumbai</c:v>
                </c:pt>
                <c:pt idx="4">
                  <c:v>Pune</c:v>
                </c:pt>
              </c:strCache>
            </c:strRef>
          </c:cat>
          <c:val>
            <c:numRef>
              <c:f>Summary!$B$64:$B$68</c:f>
              <c:numCache>
                <c:formatCode>\₹#,##0</c:formatCode>
                <c:ptCount val="5"/>
                <c:pt idx="0">
                  <c:v>10100</c:v>
                </c:pt>
                <c:pt idx="1">
                  <c:v>6220</c:v>
                </c:pt>
                <c:pt idx="2">
                  <c:v>9290</c:v>
                </c:pt>
                <c:pt idx="3">
                  <c:v>10980</c:v>
                </c:pt>
                <c:pt idx="4">
                  <c:v>9910</c:v>
                </c:pt>
              </c:numCache>
            </c:numRef>
          </c:val>
        </c:ser>
        <c:ser>
          <c:idx val="1"/>
          <c:order val="1"/>
          <c:tx>
            <c:strRef>
              <c:f>Summary!C63</c:f>
              <c:strCache>
                <c:ptCount val="1"/>
                <c:pt idx="0">
                  <c:v>Sales kept (Completed only)</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Summary!$A$64:$A$68</c:f>
              <c:strCache>
                <c:ptCount val="5"/>
                <c:pt idx="0">
                  <c:v>Bengaluru</c:v>
                </c:pt>
                <c:pt idx="1">
                  <c:v>Chennai</c:v>
                </c:pt>
                <c:pt idx="2">
                  <c:v>Delhi</c:v>
                </c:pt>
                <c:pt idx="3">
                  <c:v>Mumbai</c:v>
                </c:pt>
                <c:pt idx="4">
                  <c:v>Pune</c:v>
                </c:pt>
              </c:strCache>
            </c:strRef>
          </c:cat>
          <c:val>
            <c:numRef>
              <c:f>Summary!$C$64:$C$68</c:f>
              <c:numCache>
                <c:formatCode>\₹#,##0</c:formatCode>
                <c:ptCount val="5"/>
                <c:pt idx="0">
                  <c:v>7280</c:v>
                </c:pt>
                <c:pt idx="1">
                  <c:v>2600</c:v>
                </c:pt>
                <c:pt idx="2">
                  <c:v>6830</c:v>
                </c:pt>
                <c:pt idx="3">
                  <c:v>7830</c:v>
                </c:pt>
                <c:pt idx="4">
                  <c:v>8450</c:v>
                </c:pt>
              </c:numCache>
            </c:numRef>
          </c:val>
        </c:ser>
        <c:gapWidth val="150"/>
        <c:overlap val="0"/>
        <c:axId val="3439184"/>
        <c:axId val="52191523"/>
      </c:barChart>
      <c:catAx>
        <c:axId val="343918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City</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191523"/>
        <c:crosses val="autoZero"/>
        <c:auto val="1"/>
        <c:lblAlgn val="ctr"/>
        <c:lblOffset val="100"/>
        <c:noMultiLvlLbl val="0"/>
      </c:catAx>
      <c:valAx>
        <c:axId val="5219152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Sales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3918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Share of orders by payment method</a:t>
            </a:r>
          </a:p>
        </c:rich>
      </c:tx>
      <c:overlay val="0"/>
      <c:spPr>
        <a:noFill/>
        <a:ln w="0">
          <a:noFill/>
        </a:ln>
      </c:spPr>
    </c:title>
    <c:autoTitleDeleted val="0"/>
    <c:plotArea>
      <c:pieChart>
        <c:varyColors val="1"/>
        <c:ser>
          <c:idx val="0"/>
          <c:order val="0"/>
          <c:tx>
            <c:strRef>
              <c:f>Summary!I72</c:f>
              <c:strCache>
                <c:ptCount val="1"/>
                <c:pt idx="0">
                  <c:v>Valid orders</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showLeaderLines val="0"/>
          </c:dLbls>
          <c:cat>
            <c:strRef>
              <c:f>Summary!$H$73:$H$75</c:f>
              <c:strCache>
                <c:ptCount val="3"/>
                <c:pt idx="0">
                  <c:v>Card</c:v>
                </c:pt>
                <c:pt idx="1">
                  <c:v>Cash</c:v>
                </c:pt>
                <c:pt idx="2">
                  <c:v>UPI</c:v>
                </c:pt>
              </c:strCache>
            </c:strRef>
          </c:cat>
          <c:val>
            <c:numRef>
              <c:f>Summary!$I$73:$I$75</c:f>
              <c:numCache>
                <c:formatCode>0</c:formatCode>
                <c:ptCount val="3"/>
                <c:pt idx="0">
                  <c:v>47</c:v>
                </c:pt>
                <c:pt idx="1">
                  <c:v>42</c:v>
                </c:pt>
                <c:pt idx="2">
                  <c:v>50</c:v>
                </c:pt>
              </c:numCache>
            </c:numRef>
          </c:val>
        </c:ser>
        <c:firstSliceAng val="0"/>
      </c:pieChart>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Orders by status</a:t>
            </a:r>
          </a:p>
        </c:rich>
      </c:tx>
      <c:overlay val="0"/>
      <c:spPr>
        <a:noFill/>
        <a:ln w="0">
          <a:noFill/>
        </a:ln>
      </c:spPr>
    </c:title>
    <c:autoTitleDeleted val="0"/>
    <c:plotArea>
      <c:barChart>
        <c:barDir val="col"/>
        <c:grouping val="clustered"/>
        <c:varyColors val="0"/>
        <c:ser>
          <c:idx val="0"/>
          <c:order val="0"/>
          <c:tx>
            <c:strRef>
              <c:f>Summary!I63</c:f>
              <c:strCache>
                <c:ptCount val="1"/>
                <c:pt idx="0">
                  <c:v>Orders</c:v>
                </c:pt>
              </c:strCache>
            </c:strRef>
          </c:tx>
          <c:spPr>
            <a:solidFill>
              <a:srgbClr val="4f81bd"/>
            </a:solidFill>
            <a:ln w="0">
              <a:no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Summary!$H$64:$H$66</c:f>
              <c:strCache>
                <c:ptCount val="3"/>
                <c:pt idx="0">
                  <c:v>Completed</c:v>
                </c:pt>
                <c:pt idx="1">
                  <c:v>Cancelled</c:v>
                </c:pt>
                <c:pt idx="2">
                  <c:v>Refunded</c:v>
                </c:pt>
              </c:strCache>
            </c:strRef>
          </c:cat>
          <c:val>
            <c:numRef>
              <c:f>Summary!$I$64:$I$66</c:f>
              <c:numCache>
                <c:formatCode>0</c:formatCode>
                <c:ptCount val="3"/>
                <c:pt idx="0">
                  <c:v>113</c:v>
                </c:pt>
                <c:pt idx="1">
                  <c:v>20</c:v>
                </c:pt>
                <c:pt idx="2">
                  <c:v>27</c:v>
                </c:pt>
              </c:numCache>
            </c:numRef>
          </c:val>
        </c:ser>
        <c:gapWidth val="150"/>
        <c:overlap val="0"/>
        <c:axId val="58324103"/>
        <c:axId val="57289882"/>
      </c:barChart>
      <c:catAx>
        <c:axId val="5832410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Order status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289882"/>
        <c:crosses val="autoZero"/>
        <c:auto val="1"/>
        <c:lblAlgn val="ctr"/>
        <c:lblOffset val="100"/>
        <c:noMultiLvlLbl val="0"/>
      </c:catAx>
      <c:valAx>
        <c:axId val="5728988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orders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32410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Sales by product category</a:t>
            </a:r>
          </a:p>
        </c:rich>
      </c:tx>
      <c:overlay val="0"/>
      <c:spPr>
        <a:noFill/>
        <a:ln w="0">
          <a:noFill/>
        </a:ln>
      </c:spPr>
    </c:title>
    <c:autoTitleDeleted val="0"/>
    <c:plotArea>
      <c:barChart>
        <c:barDir val="col"/>
        <c:grouping val="clustered"/>
        <c:varyColors val="0"/>
        <c:ser>
          <c:idx val="0"/>
          <c:order val="0"/>
          <c:tx>
            <c:strRef>
              <c:f>Summary!B72</c:f>
              <c:strCache>
                <c:ptCount val="1"/>
                <c:pt idx="0">
                  <c:v>Total sales (all orders)</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Summary!$A$73:$A$75</c:f>
              <c:strCache>
                <c:ptCount val="3"/>
                <c:pt idx="0">
                  <c:v>Beverage</c:v>
                </c:pt>
                <c:pt idx="1">
                  <c:v>Bakery</c:v>
                </c:pt>
                <c:pt idx="2">
                  <c:v>Food</c:v>
                </c:pt>
              </c:strCache>
            </c:strRef>
          </c:cat>
          <c:val>
            <c:numRef>
              <c:f>Summary!$B$73:$B$75</c:f>
              <c:numCache>
                <c:formatCode>\₹#,##0</c:formatCode>
                <c:ptCount val="3"/>
                <c:pt idx="0">
                  <c:v>31160</c:v>
                </c:pt>
                <c:pt idx="1">
                  <c:v>8740</c:v>
                </c:pt>
                <c:pt idx="2">
                  <c:v>6600</c:v>
                </c:pt>
              </c:numCache>
            </c:numRef>
          </c:val>
        </c:ser>
        <c:ser>
          <c:idx val="1"/>
          <c:order val="1"/>
          <c:tx>
            <c:strRef>
              <c:f>Summary!C72</c:f>
              <c:strCache>
                <c:ptCount val="1"/>
                <c:pt idx="0">
                  <c:v>Sales kept (Completed only)</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Summary!$A$73:$A$75</c:f>
              <c:strCache>
                <c:ptCount val="3"/>
                <c:pt idx="0">
                  <c:v>Beverage</c:v>
                </c:pt>
                <c:pt idx="1">
                  <c:v>Bakery</c:v>
                </c:pt>
                <c:pt idx="2">
                  <c:v>Food</c:v>
                </c:pt>
              </c:strCache>
            </c:strRef>
          </c:cat>
          <c:val>
            <c:numRef>
              <c:f>Summary!$C$73:$C$75</c:f>
              <c:numCache>
                <c:formatCode>\₹#,##0</c:formatCode>
                <c:ptCount val="3"/>
                <c:pt idx="0">
                  <c:v>22020</c:v>
                </c:pt>
                <c:pt idx="1">
                  <c:v>5910</c:v>
                </c:pt>
                <c:pt idx="2">
                  <c:v>5060</c:v>
                </c:pt>
              </c:numCache>
            </c:numRef>
          </c:val>
        </c:ser>
        <c:gapWidth val="150"/>
        <c:overlap val="0"/>
        <c:axId val="18689305"/>
        <c:axId val="53492066"/>
      </c:barChart>
      <c:catAx>
        <c:axId val="1868930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Product category</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492066"/>
        <c:crosses val="autoZero"/>
        <c:auto val="1"/>
        <c:lblAlgn val="ctr"/>
        <c:lblOffset val="100"/>
        <c:noMultiLvlLbl val="0"/>
      </c:catAx>
      <c:valAx>
        <c:axId val="5349206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Sales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68930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23</xdr:row>
      <xdr:rowOff>0</xdr:rowOff>
    </xdr:from>
    <xdr:to>
      <xdr:col>6</xdr:col>
      <xdr:colOff>198000</xdr:colOff>
      <xdr:row>39</xdr:row>
      <xdr:rowOff>11160</xdr:rowOff>
    </xdr:to>
    <xdr:graphicFrame>
      <xdr:nvGraphicFramePr>
        <xdr:cNvPr id="0" name="Chart 1"/>
        <xdr:cNvGraphicFramePr/>
      </xdr:nvGraphicFramePr>
      <xdr:xfrm>
        <a:off x="0" y="7248600"/>
        <a:ext cx="6118920" cy="305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23</xdr:row>
      <xdr:rowOff>0</xdr:rowOff>
    </xdr:from>
    <xdr:to>
      <xdr:col>11</xdr:col>
      <xdr:colOff>645120</xdr:colOff>
      <xdr:row>39</xdr:row>
      <xdr:rowOff>11160</xdr:rowOff>
    </xdr:to>
    <xdr:graphicFrame>
      <xdr:nvGraphicFramePr>
        <xdr:cNvPr id="1" name="Chart 2"/>
        <xdr:cNvGraphicFramePr/>
      </xdr:nvGraphicFramePr>
      <xdr:xfrm>
        <a:off x="5920920" y="7248600"/>
        <a:ext cx="5578920" cy="305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41</xdr:row>
      <xdr:rowOff>0</xdr:rowOff>
    </xdr:from>
    <xdr:to>
      <xdr:col>6</xdr:col>
      <xdr:colOff>198000</xdr:colOff>
      <xdr:row>57</xdr:row>
      <xdr:rowOff>11160</xdr:rowOff>
    </xdr:to>
    <xdr:graphicFrame>
      <xdr:nvGraphicFramePr>
        <xdr:cNvPr id="2" name="Chart 3"/>
        <xdr:cNvGraphicFramePr/>
      </xdr:nvGraphicFramePr>
      <xdr:xfrm>
        <a:off x="0" y="10677600"/>
        <a:ext cx="6118920" cy="30589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41</xdr:row>
      <xdr:rowOff>0</xdr:rowOff>
    </xdr:from>
    <xdr:to>
      <xdr:col>11</xdr:col>
      <xdr:colOff>645120</xdr:colOff>
      <xdr:row>57</xdr:row>
      <xdr:rowOff>11160</xdr:rowOff>
    </xdr:to>
    <xdr:graphicFrame>
      <xdr:nvGraphicFramePr>
        <xdr:cNvPr id="3" name="Chart 4"/>
        <xdr:cNvGraphicFramePr/>
      </xdr:nvGraphicFramePr>
      <xdr:xfrm>
        <a:off x="5920920" y="10677600"/>
        <a:ext cx="5578920" cy="30589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5"/>
  </cols>
  <sheetData>
    <row r="1" customFormat="false" ht="22.0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23.85" hidden="false" customHeight="false" outlineLevel="0" collapsed="false">
      <c r="A5" s="5" t="s">
        <v>3</v>
      </c>
      <c r="B5" s="6" t="s">
        <v>4</v>
      </c>
    </row>
    <row r="6" customFormat="false" ht="23.85" hidden="false" customHeight="false" outlineLevel="0" collapsed="false">
      <c r="A6" s="5" t="s">
        <v>5</v>
      </c>
      <c r="B6" s="6" t="s">
        <v>6</v>
      </c>
    </row>
    <row r="7" customFormat="false" ht="23.85" hidden="false" customHeight="false" outlineLevel="0" collapsed="false">
      <c r="A7" s="5" t="s">
        <v>7</v>
      </c>
      <c r="B7" s="6" t="s">
        <v>8</v>
      </c>
    </row>
    <row r="9" customFormat="false" ht="15" hidden="false" customHeight="false" outlineLevel="0" collapsed="false">
      <c r="A9" s="3" t="s">
        <v>9</v>
      </c>
      <c r="B9" s="4"/>
    </row>
    <row r="10" customFormat="false" ht="15" hidden="false" customHeight="false" outlineLevel="0" collapsed="false">
      <c r="A10" s="5" t="s">
        <v>10</v>
      </c>
      <c r="B10" s="6" t="s">
        <v>11</v>
      </c>
    </row>
    <row r="11" customFormat="false" ht="23.85" hidden="false" customHeight="false" outlineLevel="0" collapsed="false">
      <c r="A11" s="5" t="s">
        <v>12</v>
      </c>
      <c r="B11" s="6" t="s">
        <v>13</v>
      </c>
    </row>
    <row r="12" customFormat="false" ht="15" hidden="false" customHeight="false" outlineLevel="0" collapsed="false">
      <c r="A12" s="5" t="s">
        <v>14</v>
      </c>
      <c r="B12" s="6" t="s">
        <v>15</v>
      </c>
    </row>
    <row r="14" customFormat="false" ht="15" hidden="false" customHeight="false" outlineLevel="0" collapsed="false">
      <c r="A14" s="3" t="s">
        <v>16</v>
      </c>
      <c r="B14" s="4"/>
    </row>
    <row r="15" customFormat="false" ht="15" hidden="false" customHeight="false" outlineLevel="0" collapsed="false">
      <c r="A15" s="5" t="s">
        <v>17</v>
      </c>
      <c r="B15" s="6" t="s">
        <v>18</v>
      </c>
    </row>
    <row r="16" customFormat="false" ht="23.85" hidden="false" customHeight="false" outlineLevel="0" collapsed="false">
      <c r="A16" s="5" t="s">
        <v>19</v>
      </c>
      <c r="B16" s="6" t="s">
        <v>20</v>
      </c>
    </row>
    <row r="17" customFormat="false" ht="15" hidden="false" customHeight="false" outlineLevel="0" collapsed="false">
      <c r="A17" s="5" t="s">
        <v>21</v>
      </c>
      <c r="B17" s="6" t="s">
        <v>22</v>
      </c>
    </row>
    <row r="18" customFormat="false" ht="15" hidden="false" customHeight="false" outlineLevel="0" collapsed="false">
      <c r="A18" s="5" t="s">
        <v>23</v>
      </c>
      <c r="B18" s="6" t="s">
        <v>24</v>
      </c>
    </row>
    <row r="19" customFormat="false" ht="15" hidden="false" customHeight="false" outlineLevel="0" collapsed="false">
      <c r="A19" s="5" t="s">
        <v>25</v>
      </c>
      <c r="B19" s="6" t="s">
        <v>26</v>
      </c>
    </row>
    <row r="20" customFormat="false" ht="15" hidden="false" customHeight="false" outlineLevel="0" collapsed="false">
      <c r="A20" s="5" t="s">
        <v>27</v>
      </c>
      <c r="B20" s="6" t="s">
        <v>28</v>
      </c>
    </row>
    <row r="22" customFormat="false" ht="15" hidden="false" customHeight="false" outlineLevel="0" collapsed="false">
      <c r="A22" s="3" t="s">
        <v>29</v>
      </c>
      <c r="B22" s="4"/>
    </row>
    <row r="23" customFormat="false" ht="15" hidden="false" customHeight="false" outlineLevel="0" collapsed="false">
      <c r="A23" s="5" t="s">
        <v>30</v>
      </c>
      <c r="B23" s="6" t="s">
        <v>31</v>
      </c>
    </row>
    <row r="24" customFormat="false" ht="15" hidden="false" customHeight="false" outlineLevel="0" collapsed="false">
      <c r="A24" s="5" t="s">
        <v>32</v>
      </c>
      <c r="B24" s="6" t="s">
        <v>33</v>
      </c>
    </row>
    <row r="25" customFormat="false" ht="15" hidden="false" customHeight="false" outlineLevel="0" collapsed="false">
      <c r="A25" s="5" t="s">
        <v>34</v>
      </c>
      <c r="B25" s="6" t="s">
        <v>35</v>
      </c>
    </row>
    <row r="26" customFormat="false" ht="15" hidden="false" customHeight="false" outlineLevel="0" collapsed="false">
      <c r="A26" s="5" t="s">
        <v>36</v>
      </c>
      <c r="B26" s="6" t="s">
        <v>37</v>
      </c>
    </row>
    <row r="27" customFormat="false" ht="15" hidden="false" customHeight="false" outlineLevel="0" collapsed="false">
      <c r="A27" s="5" t="s">
        <v>38</v>
      </c>
      <c r="B27" s="6" t="s">
        <v>39</v>
      </c>
    </row>
    <row r="28" customFormat="false" ht="15" hidden="false" customHeight="false" outlineLevel="0" collapsed="false">
      <c r="A28" s="5" t="s">
        <v>40</v>
      </c>
      <c r="B28" s="6" t="s">
        <v>41</v>
      </c>
    </row>
    <row r="29" customFormat="false" ht="15" hidden="false" customHeight="false" outlineLevel="0" collapsed="false">
      <c r="A29" s="5" t="s">
        <v>42</v>
      </c>
      <c r="B29" s="6" t="s">
        <v>43</v>
      </c>
    </row>
    <row r="30" customFormat="false" ht="15" hidden="false" customHeight="false" outlineLevel="0" collapsed="false">
      <c r="A30" s="5" t="s">
        <v>44</v>
      </c>
      <c r="B30" s="6" t="s">
        <v>45</v>
      </c>
    </row>
    <row r="31" customFormat="false" ht="15" hidden="false" customHeight="false" outlineLevel="0" collapsed="false">
      <c r="A31" s="5" t="s">
        <v>46</v>
      </c>
      <c r="B31" s="6" t="s">
        <v>47</v>
      </c>
    </row>
    <row r="32" customFormat="false" ht="15" hidden="false" customHeight="false" outlineLevel="0" collapsed="false">
      <c r="A32" s="5" t="s">
        <v>48</v>
      </c>
      <c r="B32" s="6" t="s">
        <v>49</v>
      </c>
    </row>
    <row r="33" customFormat="false" ht="15" hidden="false" customHeight="false" outlineLevel="0" collapsed="false">
      <c r="A33" s="5" t="s">
        <v>50</v>
      </c>
      <c r="B33" s="6" t="s">
        <v>51</v>
      </c>
    </row>
    <row r="34" customFormat="false" ht="15" hidden="false" customHeight="false" outlineLevel="0" collapsed="false">
      <c r="A34" s="5" t="s">
        <v>52</v>
      </c>
      <c r="B34" s="6" t="s">
        <v>53</v>
      </c>
    </row>
    <row r="36" customFormat="false" ht="15" hidden="false" customHeight="false" outlineLevel="0" collapsed="false">
      <c r="A36" s="3" t="s">
        <v>54</v>
      </c>
      <c r="B36" s="4"/>
    </row>
    <row r="37" customFormat="false" ht="15" hidden="false" customHeight="false" outlineLevel="0" collapsed="false">
      <c r="A37" s="5" t="s">
        <v>55</v>
      </c>
      <c r="B37" s="6" t="s">
        <v>56</v>
      </c>
    </row>
    <row r="38" customFormat="false" ht="15" hidden="false" customHeight="false" outlineLevel="0" collapsed="false">
      <c r="A38" s="5" t="s">
        <v>57</v>
      </c>
      <c r="B38" s="6" t="s">
        <v>58</v>
      </c>
    </row>
    <row r="39" customFormat="false" ht="23.85" hidden="false" customHeight="false" outlineLevel="0" collapsed="false">
      <c r="A39" s="5" t="s">
        <v>59</v>
      </c>
      <c r="B39" s="6" t="s">
        <v>60</v>
      </c>
    </row>
    <row r="40" customFormat="false" ht="15" hidden="false" customHeight="false" outlineLevel="0" collapsed="false">
      <c r="A40" s="5" t="s">
        <v>61</v>
      </c>
      <c r="B40" s="6" t="s">
        <v>62</v>
      </c>
    </row>
    <row r="41" customFormat="false" ht="23.85" hidden="false" customHeight="false" outlineLevel="0" collapsed="false">
      <c r="A41" s="5" t="s">
        <v>63</v>
      </c>
      <c r="B41" s="6" t="s">
        <v>64</v>
      </c>
    </row>
    <row r="42" customFormat="false" ht="23.85" hidden="false" customHeight="false" outlineLevel="0" collapsed="false">
      <c r="A42" s="5" t="s">
        <v>65</v>
      </c>
      <c r="B42" s="6" t="s">
        <v>66</v>
      </c>
    </row>
    <row r="44" customFormat="false" ht="15" hidden="false" customHeight="false" outlineLevel="0" collapsed="false">
      <c r="A44" s="3" t="s">
        <v>67</v>
      </c>
      <c r="B44" s="4"/>
    </row>
    <row r="45" customFormat="false" ht="23.85" hidden="false" customHeight="false" outlineLevel="0" collapsed="false">
      <c r="A45" s="6" t="s">
        <v>68</v>
      </c>
      <c r="B45" s="6" t="s">
        <v>69</v>
      </c>
    </row>
    <row r="46" customFormat="false" ht="15" hidden="false" customHeight="false" outlineLevel="0" collapsed="false">
      <c r="A46" s="6" t="s">
        <v>70</v>
      </c>
      <c r="B46" s="6"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L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7" width="14"/>
  </cols>
  <sheetData>
    <row r="1" customFormat="false" ht="43.5" hidden="false" customHeight="true" outlineLevel="0" collapsed="false">
      <c r="A1" s="8" t="s">
        <v>0</v>
      </c>
      <c r="B1" s="8"/>
      <c r="C1" s="8"/>
      <c r="D1" s="8"/>
      <c r="E1" s="8"/>
      <c r="F1" s="8"/>
      <c r="G1" s="8"/>
      <c r="H1" s="8"/>
      <c r="I1" s="8"/>
      <c r="J1" s="8"/>
      <c r="K1" s="8"/>
      <c r="L1" s="8"/>
    </row>
    <row r="2" customFormat="false" ht="21.75" hidden="false" customHeight="true" outlineLevel="0" collapsed="false">
      <c r="A2" s="9" t="str">
        <f aca="false">"Orders placed "&amp;TEXT(MIN('Orders Data'!$B$2:$B$161),"d mmm yyyy")&amp;" to "&amp;TEXT(MAX('Orders Data'!$B$2:$B$161),"d mmm yyyy")&amp;"   |   "&amp;COUNTA('Orders Data'!$A$2:$A$161)&amp;" orders   |   5 cities   |   all amounts in rupees (₹)"</f>
        <v>Orders placed 1 Mar 2026 to 30 Mar 2026   |   160 orders   |   5 cities   |   all amounts in rupees (₹)</v>
      </c>
      <c r="B2" s="9"/>
      <c r="C2" s="9"/>
      <c r="D2" s="9"/>
      <c r="E2" s="9"/>
      <c r="F2" s="9"/>
      <c r="G2" s="9"/>
      <c r="H2" s="9"/>
      <c r="I2" s="9"/>
      <c r="J2" s="9"/>
      <c r="K2" s="9"/>
      <c r="L2" s="9"/>
    </row>
    <row r="3" customFormat="false" ht="30" hidden="false" customHeight="true" outlineLevel="0" collapsed="false">
      <c r="A3" s="10" t="s">
        <v>72</v>
      </c>
      <c r="B3" s="10"/>
      <c r="C3" s="10"/>
      <c r="D3" s="10"/>
      <c r="E3" s="10"/>
      <c r="F3" s="10"/>
      <c r="G3" s="10"/>
      <c r="H3" s="10"/>
      <c r="I3" s="10"/>
      <c r="J3" s="10"/>
      <c r="K3" s="10"/>
      <c r="L3" s="10"/>
    </row>
    <row r="4" customFormat="false" ht="21.75" hidden="false" customHeight="true" outlineLevel="0" collapsed="false">
      <c r="A4" s="11" t="s">
        <v>73</v>
      </c>
      <c r="B4" s="11"/>
      <c r="C4" s="11"/>
      <c r="D4" s="11"/>
      <c r="E4" s="11"/>
      <c r="F4" s="11"/>
      <c r="G4" s="11"/>
      <c r="H4" s="11"/>
      <c r="I4" s="11"/>
      <c r="J4" s="11"/>
      <c r="K4" s="11"/>
      <c r="L4" s="11"/>
    </row>
    <row r="5" customFormat="false" ht="19.5" hidden="false" customHeight="true" outlineLevel="0" collapsed="false">
      <c r="A5" s="12" t="s">
        <v>74</v>
      </c>
      <c r="B5" s="12"/>
      <c r="C5" s="12" t="s">
        <v>75</v>
      </c>
      <c r="D5" s="12"/>
      <c r="E5" s="12" t="s">
        <v>76</v>
      </c>
      <c r="F5" s="12"/>
      <c r="G5" s="12" t="s">
        <v>57</v>
      </c>
      <c r="H5" s="12"/>
      <c r="I5" s="12" t="s">
        <v>77</v>
      </c>
      <c r="J5" s="12"/>
      <c r="K5" s="12" t="s">
        <v>78</v>
      </c>
      <c r="L5" s="12"/>
    </row>
    <row r="6" customFormat="false" ht="36" hidden="false" customHeight="true" outlineLevel="0" collapsed="false">
      <c r="A6" s="13" t="n">
        <f aca="false">COUNTA('Orders Data'!$A$2:$A$161)</f>
        <v>160</v>
      </c>
      <c r="B6" s="13"/>
      <c r="C6" s="14" t="n">
        <f aca="false">SUM('Orders Data'!$K$2:$K$161)</f>
        <v>46500</v>
      </c>
      <c r="D6" s="14"/>
      <c r="E6" s="15" t="n">
        <f aca="false">SUMIFS('Orders Data'!$K$2:$K$161,'Orders Data'!$J$2:$J$161,"Completed")</f>
        <v>32990</v>
      </c>
      <c r="F6" s="15"/>
      <c r="G6" s="16" t="n">
        <f aca="false">COUNTIFS('Orders Data'!$J$2:$J$161,"Completed")/A6</f>
        <v>0.70625</v>
      </c>
      <c r="H6" s="16"/>
      <c r="I6" s="17" t="n">
        <f aca="false">C6-E6</f>
        <v>13510</v>
      </c>
      <c r="J6" s="17"/>
      <c r="K6" s="14" t="n">
        <f aca="false">E6/COUNTIFS('Orders Data'!$J$2:$J$161,"Completed",'Orders Data'!$N$2:$N$161,"")</f>
        <v>329.9</v>
      </c>
      <c r="L6" s="14"/>
    </row>
    <row r="7" customFormat="false" ht="25.5" hidden="false" customHeight="true" outlineLevel="0" collapsed="false">
      <c r="A7" s="18" t="s">
        <v>79</v>
      </c>
      <c r="B7" s="18"/>
      <c r="C7" s="18" t="s">
        <v>80</v>
      </c>
      <c r="D7" s="18"/>
      <c r="E7" s="18" t="s">
        <v>81</v>
      </c>
      <c r="F7" s="18"/>
      <c r="G7" s="18" t="s">
        <v>82</v>
      </c>
      <c r="H7" s="18"/>
      <c r="I7" s="18" t="s">
        <v>83</v>
      </c>
      <c r="J7" s="18"/>
      <c r="K7" s="18" t="s">
        <v>84</v>
      </c>
      <c r="L7" s="18"/>
    </row>
    <row r="9" customFormat="false" ht="21.75" hidden="false" customHeight="true" outlineLevel="0" collapsed="false">
      <c r="A9" s="11" t="s">
        <v>85</v>
      </c>
      <c r="B9" s="11"/>
      <c r="C9" s="11"/>
      <c r="D9" s="11"/>
      <c r="E9" s="11"/>
      <c r="F9" s="11"/>
      <c r="G9" s="11"/>
      <c r="H9" s="11"/>
      <c r="I9" s="11"/>
      <c r="J9" s="11"/>
      <c r="K9" s="11"/>
      <c r="L9" s="11"/>
    </row>
    <row r="10" customFormat="false" ht="30" hidden="false" customHeight="true" outlineLevel="0" collapsed="false">
      <c r="A10" s="19" t="str">
        <f aca="false">"1.  "&amp;INDEX($A$64:$A$68,MATCH(MAX($C$64:$C$68),$C$64:$C$68,0))&amp;" is the best-performing city: it kept the most sales from completed orders (₹"&amp;TEXT(MAX($C$64:$C$68),"#,##0")&amp;")."</f>
        <v>1.  Pune is the best-performing city: it kept the most sales from completed orders (₹8,450).</v>
      </c>
      <c r="B10" s="19"/>
      <c r="C10" s="19"/>
      <c r="D10" s="19"/>
      <c r="E10" s="19"/>
      <c r="F10" s="19"/>
      <c r="G10" s="19"/>
      <c r="H10" s="19"/>
      <c r="I10" s="19"/>
      <c r="J10" s="19"/>
      <c r="K10" s="19"/>
      <c r="L10" s="19"/>
    </row>
    <row r="11" customFormat="false" ht="30" hidden="false" customHeight="true" outlineLevel="0" collapsed="false">
      <c r="A11" s="19" t="str">
        <f aca="false">"2.  "&amp;INDEX($A$64:$A$68,MATCH(MAX($B$64:$B$68),$B$64:$B$68,0))&amp;" has the highest total sales if every order is counted (₹"&amp;TEXT(MAX($B$64:$B$68),"#,##0")&amp;"), but it ranks #"&amp;INDEX($F$64:$F$68,MATCH(MAX($B$64:$B$68),$B$64:$B$68,0))&amp;" once cancelled and refunded orders are removed."</f>
        <v>2.  Mumbai has the highest total sales if every order is counted (₹10,980), but it ranks #2 once cancelled and refunded orders are removed.</v>
      </c>
      <c r="B11" s="19"/>
      <c r="C11" s="19"/>
      <c r="D11" s="19"/>
      <c r="E11" s="19"/>
      <c r="F11" s="19"/>
      <c r="G11" s="19"/>
      <c r="H11" s="19"/>
      <c r="I11" s="19"/>
      <c r="J11" s="19"/>
      <c r="K11" s="19"/>
      <c r="L11" s="19"/>
    </row>
    <row r="12" customFormat="false" ht="30" hidden="false" customHeight="true" outlineLevel="0" collapsed="false">
      <c r="A12" s="19" t="str">
        <f aca="false">"3.  "&amp;INDEX($A$64:$A$68,MATCH(MAX($E$64:$E$68),$E$64:$E$68,0))&amp;" is the weak spot: "&amp;TEXT(MAX($E$64:$E$68),"0%")&amp;" of its sales (₹"&amp;TEXT(INDEX($D$64:$D$68,MATCH(MAX($E$64:$E$68),$E$64:$E$68,0)),"#,##0")&amp;") come from cancelled or refunded orders, compared with "&amp;TEXT($E$69,"0%")&amp;" for the whole business."</f>
        <v>3.  Chennai is the weak spot: 58% of its sales (₹3,620) come from cancelled or refunded orders, compared with 29% for the whole business.</v>
      </c>
      <c r="B12" s="19"/>
      <c r="C12" s="19"/>
      <c r="D12" s="19"/>
      <c r="E12" s="19"/>
      <c r="F12" s="19"/>
      <c r="G12" s="19"/>
      <c r="H12" s="19"/>
      <c r="I12" s="19"/>
      <c r="J12" s="19"/>
      <c r="K12" s="19"/>
      <c r="L12" s="19"/>
    </row>
    <row r="13" customFormat="false" ht="30" hidden="false" customHeight="true" outlineLevel="0" collapsed="false">
      <c r="A13" s="19" t="str">
        <f aca="false">"4.  Overall, "&amp;TEXT($G$6,"0%")&amp;" of orders were completed; "&amp;$I$65&amp;" were cancelled and "&amp;$I$66&amp;" were refunded."</f>
        <v>4.  Overall, 71% of orders were completed; 20 were cancelled and 27 were refunded.</v>
      </c>
      <c r="B13" s="19"/>
      <c r="C13" s="19"/>
      <c r="D13" s="19"/>
      <c r="E13" s="19"/>
      <c r="F13" s="19"/>
      <c r="G13" s="19"/>
      <c r="H13" s="19"/>
      <c r="I13" s="19"/>
      <c r="J13" s="19"/>
      <c r="K13" s="19"/>
      <c r="L13" s="19"/>
    </row>
    <row r="14" customFormat="false" ht="30" hidden="false" customHeight="true" outlineLevel="0" collapsed="false">
      <c r="A14" s="19" t="str">
        <f aca="false">"5.  "&amp;INDEX($H$73:$H$75,MATCH(MAX($I$73:$I$75),$I$73:$I$75,0))&amp;" is the most-used payment method ("&amp;TEXT(MAX($I$73:$I$75)/$I$76,"0%")&amp;" of valid orders), but Card, Cash and UPI are used fairly evenly."</f>
        <v>5.  UPI is the most-used payment method (36% of valid orders), but Card, Cash and UPI are used fairly evenly.</v>
      </c>
      <c r="B14" s="19"/>
      <c r="C14" s="19"/>
      <c r="D14" s="19"/>
      <c r="E14" s="19"/>
      <c r="F14" s="19"/>
      <c r="G14" s="19"/>
      <c r="H14" s="19"/>
      <c r="I14" s="19"/>
      <c r="J14" s="19"/>
      <c r="K14" s="19"/>
      <c r="L14" s="19"/>
    </row>
    <row r="15" customFormat="false" ht="30" hidden="false" customHeight="true" outlineLevel="0" collapsed="false">
      <c r="A15" s="19" t="str">
        <f aca="false">"6.  "&amp;INDEX($A$73:$A$75,MATCH(MAX($C$73:$C$75),$C$73:$C$75,0))&amp;" products bring in the most kept sales (₹"&amp;TEXT(MAX($C$73:$C$75),"#,##0")&amp;", "&amp;TEXT(MAX($C$73:$C$75)/$C$76,"0%")&amp;" of the total)."</f>
        <v>6.  Beverage products bring in the most kept sales (₹22,020, 67% of the total).</v>
      </c>
      <c r="B15" s="19"/>
      <c r="C15" s="19"/>
      <c r="D15" s="19"/>
      <c r="E15" s="19"/>
      <c r="F15" s="19"/>
      <c r="G15" s="19"/>
      <c r="H15" s="19"/>
      <c r="I15" s="19"/>
      <c r="J15" s="19"/>
      <c r="K15" s="19"/>
      <c r="L15" s="19"/>
    </row>
    <row r="17" customFormat="false" ht="21.75" hidden="false" customHeight="true" outlineLevel="0" collapsed="false">
      <c r="A17" s="11" t="s">
        <v>86</v>
      </c>
      <c r="B17" s="11"/>
      <c r="C17" s="11"/>
      <c r="D17" s="11"/>
      <c r="E17" s="11"/>
      <c r="F17" s="11"/>
      <c r="G17" s="11"/>
      <c r="H17" s="11"/>
      <c r="I17" s="11"/>
      <c r="J17" s="11"/>
      <c r="K17" s="11"/>
      <c r="L17" s="11"/>
    </row>
    <row r="18" customFormat="false" ht="19.5" hidden="false" customHeight="true" outlineLevel="0" collapsed="false">
      <c r="A18" s="20" t="s">
        <v>87</v>
      </c>
      <c r="B18" s="20"/>
      <c r="C18" s="20"/>
      <c r="D18" s="20"/>
      <c r="E18" s="20"/>
      <c r="F18" s="20"/>
      <c r="G18" s="20"/>
      <c r="H18" s="20"/>
      <c r="I18" s="20"/>
      <c r="J18" s="20"/>
      <c r="K18" s="20"/>
      <c r="L18" s="20"/>
    </row>
    <row r="19" customFormat="false" ht="19.5" hidden="false" customHeight="true" outlineLevel="0" collapsed="false">
      <c r="A19" s="20"/>
      <c r="B19" s="20"/>
      <c r="C19" s="20"/>
      <c r="D19" s="20"/>
      <c r="E19" s="20"/>
      <c r="F19" s="20"/>
      <c r="G19" s="20"/>
      <c r="H19" s="20"/>
      <c r="I19" s="20"/>
      <c r="J19" s="20"/>
      <c r="K19" s="20"/>
      <c r="L19" s="20"/>
    </row>
    <row r="20" customFormat="false" ht="19.5" hidden="false" customHeight="true" outlineLevel="0" collapsed="false">
      <c r="A20" s="20"/>
      <c r="B20" s="20"/>
      <c r="C20" s="20"/>
      <c r="D20" s="20"/>
      <c r="E20" s="20"/>
      <c r="F20" s="20"/>
      <c r="G20" s="20"/>
      <c r="H20" s="20"/>
      <c r="I20" s="20"/>
      <c r="J20" s="20"/>
      <c r="K20" s="20"/>
      <c r="L20" s="20"/>
    </row>
    <row r="21" customFormat="false" ht="19.5" hidden="false" customHeight="true" outlineLevel="0" collapsed="false">
      <c r="A21" s="20"/>
      <c r="B21" s="20"/>
      <c r="C21" s="20"/>
      <c r="D21" s="20"/>
      <c r="E21" s="20"/>
      <c r="F21" s="20"/>
      <c r="G21" s="20"/>
      <c r="H21" s="20"/>
      <c r="I21" s="20"/>
      <c r="J21" s="20"/>
      <c r="K21" s="20"/>
      <c r="L21" s="20"/>
    </row>
    <row r="22" customFormat="false" ht="19.5" hidden="false" customHeight="true" outlineLevel="0" collapsed="false">
      <c r="A22" s="20"/>
      <c r="B22" s="20"/>
      <c r="C22" s="20"/>
      <c r="D22" s="20"/>
      <c r="E22" s="20"/>
      <c r="F22" s="20"/>
      <c r="G22" s="20"/>
      <c r="H22" s="20"/>
      <c r="I22" s="20"/>
      <c r="J22" s="20"/>
      <c r="K22" s="20"/>
      <c r="L22" s="20"/>
    </row>
    <row r="23" customFormat="false" ht="21.75" hidden="false" customHeight="true" outlineLevel="0" collapsed="false">
      <c r="A23" s="11" t="s">
        <v>88</v>
      </c>
      <c r="B23" s="11"/>
      <c r="C23" s="11"/>
      <c r="D23" s="11"/>
      <c r="E23" s="11"/>
      <c r="F23" s="11"/>
      <c r="G23" s="11"/>
      <c r="H23" s="11"/>
      <c r="I23" s="11"/>
      <c r="J23" s="11"/>
      <c r="K23" s="11"/>
      <c r="L23" s="11"/>
    </row>
    <row r="60" customFormat="false" ht="21.75" hidden="false" customHeight="true" outlineLevel="0" collapsed="false">
      <c r="A60" s="11" t="s">
        <v>89</v>
      </c>
      <c r="B60" s="11"/>
      <c r="C60" s="11"/>
      <c r="D60" s="11"/>
      <c r="E60" s="11"/>
      <c r="F60" s="11"/>
      <c r="G60" s="11"/>
      <c r="H60" s="11"/>
      <c r="I60" s="11"/>
      <c r="J60" s="11"/>
      <c r="K60" s="11"/>
      <c r="L60" s="11"/>
    </row>
    <row r="62" customFormat="false" ht="15" hidden="false" customHeight="true" outlineLevel="0" collapsed="false">
      <c r="A62" s="21" t="s">
        <v>90</v>
      </c>
      <c r="H62" s="21" t="s">
        <v>91</v>
      </c>
    </row>
    <row r="63" customFormat="false" ht="43.5" hidden="false" customHeight="true" outlineLevel="0" collapsed="false">
      <c r="A63" s="22" t="s">
        <v>92</v>
      </c>
      <c r="B63" s="22" t="s">
        <v>93</v>
      </c>
      <c r="C63" s="22" t="s">
        <v>94</v>
      </c>
      <c r="D63" s="22" t="s">
        <v>95</v>
      </c>
      <c r="E63" s="22" t="s">
        <v>96</v>
      </c>
      <c r="F63" s="22" t="s">
        <v>97</v>
      </c>
      <c r="H63" s="22" t="s">
        <v>98</v>
      </c>
      <c r="I63" s="22" t="s">
        <v>99</v>
      </c>
      <c r="J63" s="22" t="s">
        <v>100</v>
      </c>
      <c r="K63" s="22" t="s">
        <v>101</v>
      </c>
    </row>
    <row r="64" customFormat="false" ht="15" hidden="false" customHeight="true" outlineLevel="0" collapsed="false">
      <c r="A64" s="23" t="s">
        <v>102</v>
      </c>
      <c r="B64" s="24" t="n">
        <f aca="false">SUMIFS('Orders Data'!$K$2:$K$161,'Orders Data'!$I$2:$I$161,A64)</f>
        <v>10100</v>
      </c>
      <c r="C64" s="24" t="n">
        <f aca="false">SUMIFS('Orders Data'!$K$2:$K$161,'Orders Data'!$I$2:$I$161,A64,'Orders Data'!$J$2:$J$161,"Completed")</f>
        <v>7280</v>
      </c>
      <c r="D64" s="24" t="n">
        <f aca="false">B64-C64</f>
        <v>2820</v>
      </c>
      <c r="E64" s="25" t="n">
        <f aca="false">IF(B64=0,0,D64/B64)</f>
        <v>0.279207920792079</v>
      </c>
      <c r="F64" s="26" t="n">
        <f aca="false">RANK(C64,$C$64:$C$68)</f>
        <v>3</v>
      </c>
      <c r="H64" s="23" t="s">
        <v>103</v>
      </c>
      <c r="I64" s="27" t="n">
        <f aca="false">COUNTIFS('Orders Data'!$J$2:$J$161,H64)</f>
        <v>113</v>
      </c>
      <c r="J64" s="25" t="n">
        <f aca="false">I64/$A$6</f>
        <v>0.70625</v>
      </c>
      <c r="K64" s="24" t="n">
        <f aca="false">SUMIFS('Orders Data'!$K$2:$K$161,'Orders Data'!$J$2:$J$161,H64)</f>
        <v>32990</v>
      </c>
    </row>
    <row r="65" customFormat="false" ht="15" hidden="false" customHeight="true" outlineLevel="0" collapsed="false">
      <c r="A65" s="23" t="s">
        <v>104</v>
      </c>
      <c r="B65" s="24" t="n">
        <f aca="false">SUMIFS('Orders Data'!$K$2:$K$161,'Orders Data'!$I$2:$I$161,A65)</f>
        <v>6220</v>
      </c>
      <c r="C65" s="24" t="n">
        <f aca="false">SUMIFS('Orders Data'!$K$2:$K$161,'Orders Data'!$I$2:$I$161,A65,'Orders Data'!$J$2:$J$161,"Completed")</f>
        <v>2600</v>
      </c>
      <c r="D65" s="24" t="n">
        <f aca="false">B65-C65</f>
        <v>3620</v>
      </c>
      <c r="E65" s="25" t="n">
        <f aca="false">IF(B65=0,0,D65/B65)</f>
        <v>0.581993569131833</v>
      </c>
      <c r="F65" s="26" t="n">
        <f aca="false">RANK(C65,$C$64:$C$68)</f>
        <v>5</v>
      </c>
      <c r="H65" s="23" t="s">
        <v>105</v>
      </c>
      <c r="I65" s="27" t="n">
        <f aca="false">COUNTIFS('Orders Data'!$J$2:$J$161,H65)</f>
        <v>20</v>
      </c>
      <c r="J65" s="25" t="n">
        <f aca="false">I65/$A$6</f>
        <v>0.125</v>
      </c>
      <c r="K65" s="24" t="n">
        <f aca="false">SUMIFS('Orders Data'!$K$2:$K$161,'Orders Data'!$J$2:$J$161,H65)</f>
        <v>6410</v>
      </c>
    </row>
    <row r="66" customFormat="false" ht="15" hidden="false" customHeight="true" outlineLevel="0" collapsed="false">
      <c r="A66" s="23" t="s">
        <v>106</v>
      </c>
      <c r="B66" s="24" t="n">
        <f aca="false">SUMIFS('Orders Data'!$K$2:$K$161,'Orders Data'!$I$2:$I$161,A66)</f>
        <v>9290</v>
      </c>
      <c r="C66" s="24" t="n">
        <f aca="false">SUMIFS('Orders Data'!$K$2:$K$161,'Orders Data'!$I$2:$I$161,A66,'Orders Data'!$J$2:$J$161,"Completed")</f>
        <v>6830</v>
      </c>
      <c r="D66" s="24" t="n">
        <f aca="false">B66-C66</f>
        <v>2460</v>
      </c>
      <c r="E66" s="25" t="n">
        <f aca="false">IF(B66=0,0,D66/B66)</f>
        <v>0.264800861141012</v>
      </c>
      <c r="F66" s="26" t="n">
        <f aca="false">RANK(C66,$C$64:$C$68)</f>
        <v>4</v>
      </c>
      <c r="H66" s="23" t="s">
        <v>107</v>
      </c>
      <c r="I66" s="27" t="n">
        <f aca="false">COUNTIFS('Orders Data'!$J$2:$J$161,H66)</f>
        <v>27</v>
      </c>
      <c r="J66" s="25" t="n">
        <f aca="false">I66/$A$6</f>
        <v>0.16875</v>
      </c>
      <c r="K66" s="24" t="n">
        <f aca="false">SUMIFS('Orders Data'!$K$2:$K$161,'Orders Data'!$J$2:$J$161,H66)</f>
        <v>7100</v>
      </c>
    </row>
    <row r="67" customFormat="false" ht="15" hidden="false" customHeight="true" outlineLevel="0" collapsed="false">
      <c r="A67" s="23" t="s">
        <v>108</v>
      </c>
      <c r="B67" s="24" t="n">
        <f aca="false">SUMIFS('Orders Data'!$K$2:$K$161,'Orders Data'!$I$2:$I$161,A67)</f>
        <v>10980</v>
      </c>
      <c r="C67" s="24" t="n">
        <f aca="false">SUMIFS('Orders Data'!$K$2:$K$161,'Orders Data'!$I$2:$I$161,A67,'Orders Data'!$J$2:$J$161,"Completed")</f>
        <v>7830</v>
      </c>
      <c r="D67" s="24" t="n">
        <f aca="false">B67-C67</f>
        <v>3150</v>
      </c>
      <c r="E67" s="25" t="n">
        <f aca="false">IF(B67=0,0,D67/B67)</f>
        <v>0.286885245901639</v>
      </c>
      <c r="F67" s="26" t="n">
        <f aca="false">RANK(C67,$C$64:$C$68)</f>
        <v>2</v>
      </c>
      <c r="H67" s="28" t="s">
        <v>109</v>
      </c>
      <c r="I67" s="29" t="n">
        <f aca="false">SUM(I64:I66)</f>
        <v>160</v>
      </c>
      <c r="J67" s="30" t="n">
        <f aca="false">SUM(J64:J66)</f>
        <v>1</v>
      </c>
      <c r="K67" s="31" t="n">
        <f aca="false">SUM(K64:K66)</f>
        <v>46500</v>
      </c>
    </row>
    <row r="68" customFormat="false" ht="15" hidden="false" customHeight="true" outlineLevel="0" collapsed="false">
      <c r="A68" s="23" t="s">
        <v>110</v>
      </c>
      <c r="B68" s="24" t="n">
        <f aca="false">SUMIFS('Orders Data'!$K$2:$K$161,'Orders Data'!$I$2:$I$161,A68)</f>
        <v>9910</v>
      </c>
      <c r="C68" s="24" t="n">
        <f aca="false">SUMIFS('Orders Data'!$K$2:$K$161,'Orders Data'!$I$2:$I$161,A68,'Orders Data'!$J$2:$J$161,"Completed")</f>
        <v>8450</v>
      </c>
      <c r="D68" s="24" t="n">
        <f aca="false">B68-C68</f>
        <v>1460</v>
      </c>
      <c r="E68" s="25" t="n">
        <f aca="false">IF(B68=0,0,D68/B68)</f>
        <v>0.147325933400605</v>
      </c>
      <c r="F68" s="26" t="n">
        <f aca="false">RANK(C68,$C$64:$C$68)</f>
        <v>1</v>
      </c>
    </row>
    <row r="69" customFormat="false" ht="15" hidden="false" customHeight="true" outlineLevel="0" collapsed="false">
      <c r="A69" s="28" t="s">
        <v>109</v>
      </c>
      <c r="B69" s="31" t="n">
        <f aca="false">SUM(B64:B68)</f>
        <v>46500</v>
      </c>
      <c r="C69" s="31" t="n">
        <f aca="false">SUM(C64:C68)</f>
        <v>32990</v>
      </c>
      <c r="D69" s="31" t="n">
        <f aca="false">SUM(D64:D68)</f>
        <v>13510</v>
      </c>
      <c r="E69" s="30" t="n">
        <f aca="false">IF(B69=0,0,D69/B69)</f>
        <v>0.290537634408602</v>
      </c>
      <c r="F69" s="23"/>
    </row>
    <row r="70" customFormat="false" ht="15" hidden="false" customHeight="true" outlineLevel="0" collapsed="false">
      <c r="A70" s="32" t="str">
        <f aca="false">IF(AND(B69=$C$6,C69=$E$6),"✔ Totals match the Key Numbers above","✘ Totals do not match - check the data")</f>
        <v>✔ Totals match the Key Numbers above</v>
      </c>
    </row>
    <row r="71" customFormat="false" ht="15" hidden="false" customHeight="true" outlineLevel="0" collapsed="false">
      <c r="A71" s="21" t="s">
        <v>111</v>
      </c>
      <c r="H71" s="21" t="s">
        <v>112</v>
      </c>
    </row>
    <row r="72" customFormat="false" ht="31.5" hidden="false" customHeight="true" outlineLevel="0" collapsed="false">
      <c r="A72" s="22" t="s">
        <v>113</v>
      </c>
      <c r="B72" s="22" t="s">
        <v>93</v>
      </c>
      <c r="C72" s="22" t="s">
        <v>94</v>
      </c>
      <c r="D72" s="22" t="s">
        <v>114</v>
      </c>
      <c r="H72" s="22" t="s">
        <v>115</v>
      </c>
      <c r="I72" s="22" t="s">
        <v>116</v>
      </c>
      <c r="J72" s="22" t="s">
        <v>101</v>
      </c>
      <c r="K72" s="22" t="s">
        <v>117</v>
      </c>
    </row>
    <row r="73" customFormat="false" ht="15" hidden="false" customHeight="true" outlineLevel="0" collapsed="false">
      <c r="A73" s="23" t="s">
        <v>118</v>
      </c>
      <c r="B73" s="24" t="n">
        <f aca="false">SUMIFS('Orders Data'!$K$2:$K$161,'Orders Data'!$E$2:$E$161,A73)</f>
        <v>31160</v>
      </c>
      <c r="C73" s="24" t="n">
        <f aca="false">SUMIFS('Orders Data'!$K$2:$K$161,'Orders Data'!$E$2:$E$161,A73,'Orders Data'!$J$2:$J$161,"Completed")</f>
        <v>22020</v>
      </c>
      <c r="D73" s="25" t="n">
        <f aca="false">IF(B73=0,0,C73/B73)</f>
        <v>0.706675224646983</v>
      </c>
      <c r="H73" s="23" t="s">
        <v>119</v>
      </c>
      <c r="I73" s="27" t="n">
        <f aca="false">COUNTIFS('Orders Data'!$H$2:$H$161,H73,'Orders Data'!$N$2:$N$161,"")</f>
        <v>47</v>
      </c>
      <c r="J73" s="24" t="n">
        <f aca="false">SUMIFS('Orders Data'!$K$2:$K$161,'Orders Data'!$H$2:$H$161,H73)</f>
        <v>14440</v>
      </c>
      <c r="K73" s="24" t="n">
        <f aca="false">IF(I73=0,0,J73/I73)</f>
        <v>307.234042553192</v>
      </c>
    </row>
    <row r="74" customFormat="false" ht="15" hidden="false" customHeight="true" outlineLevel="0" collapsed="false">
      <c r="A74" s="23" t="s">
        <v>120</v>
      </c>
      <c r="B74" s="24" t="n">
        <f aca="false">SUMIFS('Orders Data'!$K$2:$K$161,'Orders Data'!$E$2:$E$161,A74)</f>
        <v>8740</v>
      </c>
      <c r="C74" s="24" t="n">
        <f aca="false">SUMIFS('Orders Data'!$K$2:$K$161,'Orders Data'!$E$2:$E$161,A74,'Orders Data'!$J$2:$J$161,"Completed")</f>
        <v>5910</v>
      </c>
      <c r="D74" s="25" t="n">
        <f aca="false">IF(B74=0,0,C74/B74)</f>
        <v>0.676201372997712</v>
      </c>
      <c r="H74" s="23" t="s">
        <v>121</v>
      </c>
      <c r="I74" s="27" t="n">
        <f aca="false">COUNTIFS('Orders Data'!$H$2:$H$161,H74,'Orders Data'!$N$2:$N$161,"")</f>
        <v>42</v>
      </c>
      <c r="J74" s="24" t="n">
        <f aca="false">SUMIFS('Orders Data'!$K$2:$K$161,'Orders Data'!$H$2:$H$161,H74)</f>
        <v>15850</v>
      </c>
      <c r="K74" s="24" t="n">
        <f aca="false">IF(I74=0,0,J74/I74)</f>
        <v>377.380952380952</v>
      </c>
    </row>
    <row r="75" customFormat="false" ht="15" hidden="false" customHeight="true" outlineLevel="0" collapsed="false">
      <c r="A75" s="23" t="s">
        <v>122</v>
      </c>
      <c r="B75" s="24" t="n">
        <f aca="false">SUMIFS('Orders Data'!$K$2:$K$161,'Orders Data'!$E$2:$E$161,A75)</f>
        <v>6600</v>
      </c>
      <c r="C75" s="24" t="n">
        <f aca="false">SUMIFS('Orders Data'!$K$2:$K$161,'Orders Data'!$E$2:$E$161,A75,'Orders Data'!$J$2:$J$161,"Completed")</f>
        <v>5060</v>
      </c>
      <c r="D75" s="25" t="n">
        <f aca="false">IF(B75=0,0,C75/B75)</f>
        <v>0.766666666666667</v>
      </c>
      <c r="H75" s="23" t="s">
        <v>123</v>
      </c>
      <c r="I75" s="27" t="n">
        <f aca="false">COUNTIFS('Orders Data'!$H$2:$H$161,H75,'Orders Data'!$N$2:$N$161,"")</f>
        <v>50</v>
      </c>
      <c r="J75" s="24" t="n">
        <f aca="false">SUMIFS('Orders Data'!$K$2:$K$161,'Orders Data'!$H$2:$H$161,H75)</f>
        <v>16210</v>
      </c>
      <c r="K75" s="24" t="n">
        <f aca="false">IF(I75=0,0,J75/I75)</f>
        <v>324.2</v>
      </c>
    </row>
    <row r="76" customFormat="false" ht="15" hidden="false" customHeight="true" outlineLevel="0" collapsed="false">
      <c r="A76" s="28" t="s">
        <v>109</v>
      </c>
      <c r="B76" s="31" t="n">
        <f aca="false">SUM(B73:B75)</f>
        <v>46500</v>
      </c>
      <c r="C76" s="31" t="n">
        <f aca="false">SUM(C73:C75)</f>
        <v>32990</v>
      </c>
      <c r="D76" s="30" t="n">
        <f aca="false">IF(B76=0,0,C76/B76)</f>
        <v>0.709462365591398</v>
      </c>
      <c r="H76" s="28" t="s">
        <v>109</v>
      </c>
      <c r="I76" s="29" t="n">
        <f aca="false">SUM(I73:I75)</f>
        <v>139</v>
      </c>
      <c r="J76" s="31" t="n">
        <f aca="false">SUM(J73:J75)</f>
        <v>46500</v>
      </c>
      <c r="K76" s="23"/>
    </row>
    <row r="77" customFormat="false" ht="15" hidden="false" customHeight="true" outlineLevel="0" collapsed="false">
      <c r="H77" s="32" t="s">
        <v>124</v>
      </c>
    </row>
    <row r="79" customFormat="false" ht="21.75" hidden="false" customHeight="true" outlineLevel="0" collapsed="false">
      <c r="A79" s="11" t="s">
        <v>125</v>
      </c>
      <c r="B79" s="11"/>
      <c r="C79" s="11"/>
      <c r="D79" s="11"/>
      <c r="E79" s="11"/>
      <c r="F79" s="11"/>
      <c r="G79" s="11"/>
      <c r="H79" s="11"/>
      <c r="I79" s="11"/>
      <c r="J79" s="11"/>
      <c r="K79" s="11"/>
      <c r="L79" s="11"/>
    </row>
    <row r="80" customFormat="false" ht="30" hidden="false" customHeight="true" outlineLevel="0" collapsed="false">
      <c r="A80" s="33" t="s">
        <v>126</v>
      </c>
      <c r="B80" s="33"/>
      <c r="C80" s="33"/>
      <c r="D80" s="33"/>
      <c r="E80" s="33"/>
      <c r="F80" s="33"/>
      <c r="G80" s="33"/>
      <c r="H80" s="33"/>
      <c r="I80" s="33"/>
      <c r="J80" s="33"/>
      <c r="K80" s="33"/>
      <c r="L80" s="33"/>
    </row>
    <row r="81" customFormat="false" ht="30" hidden="false" customHeight="true" outlineLevel="0" collapsed="false">
      <c r="A81" s="33" t="s">
        <v>127</v>
      </c>
      <c r="B81" s="33"/>
      <c r="C81" s="33"/>
      <c r="D81" s="33"/>
      <c r="E81" s="33"/>
      <c r="F81" s="33"/>
      <c r="G81" s="33"/>
      <c r="H81" s="33"/>
      <c r="I81" s="33"/>
      <c r="J81" s="33"/>
      <c r="K81" s="33"/>
      <c r="L81" s="33"/>
    </row>
    <row r="82" customFormat="false" ht="30" hidden="false" customHeight="true" outlineLevel="0" collapsed="false">
      <c r="A82" s="33" t="str">
        <f aca="false">"•  "&amp;COUNTIF('Orders Data'!$N$2:$N$161,"?*")&amp;" orders had a missing or invalid quantity or price. They stay in the data but count as ₹0 sales and are highlighted red on the Orders Data sheet."</f>
        <v>•  21 orders had a missing or invalid quantity or price. They stay in the data but count as ₹0 sales and are highlighted red on the Orders Data sheet.</v>
      </c>
      <c r="B82" s="33"/>
      <c r="C82" s="33"/>
      <c r="D82" s="33"/>
      <c r="E82" s="33"/>
      <c r="F82" s="33"/>
      <c r="G82" s="33"/>
      <c r="H82" s="33"/>
      <c r="I82" s="33"/>
      <c r="J82" s="33"/>
      <c r="K82" s="33"/>
      <c r="L82" s="33"/>
    </row>
    <row r="83" customFormat="false" ht="30" hidden="false" customHeight="true" outlineLevel="0" collapsed="false">
      <c r="A83" s="33" t="s">
        <v>128</v>
      </c>
      <c r="B83" s="33"/>
      <c r="C83" s="33"/>
      <c r="D83" s="33"/>
      <c r="E83" s="33"/>
      <c r="F83" s="33"/>
      <c r="G83" s="33"/>
      <c r="H83" s="33"/>
      <c r="I83" s="33"/>
      <c r="J83" s="33"/>
      <c r="K83" s="33"/>
      <c r="L83" s="33"/>
    </row>
    <row r="84" customFormat="false" ht="30" hidden="false" customHeight="true" outlineLevel="0" collapsed="false">
      <c r="A84" s="33" t="s">
        <v>129</v>
      </c>
      <c r="B84" s="33"/>
      <c r="C84" s="33"/>
      <c r="D84" s="33"/>
      <c r="E84" s="33"/>
      <c r="F84" s="33"/>
      <c r="G84" s="33"/>
      <c r="H84" s="33"/>
      <c r="I84" s="33"/>
      <c r="J84" s="33"/>
      <c r="K84" s="33"/>
      <c r="L84" s="33"/>
    </row>
  </sheetData>
  <mergeCells count="39">
    <mergeCell ref="A1:L1"/>
    <mergeCell ref="A2:L2"/>
    <mergeCell ref="A3:L3"/>
    <mergeCell ref="A4:L4"/>
    <mergeCell ref="A5:B5"/>
    <mergeCell ref="C5:D5"/>
    <mergeCell ref="E5:F5"/>
    <mergeCell ref="G5:H5"/>
    <mergeCell ref="I5:J5"/>
    <mergeCell ref="K5:L5"/>
    <mergeCell ref="A6:B6"/>
    <mergeCell ref="C6:D6"/>
    <mergeCell ref="E6:F6"/>
    <mergeCell ref="G6:H6"/>
    <mergeCell ref="I6:J6"/>
    <mergeCell ref="K6:L6"/>
    <mergeCell ref="A7:B7"/>
    <mergeCell ref="C7:D7"/>
    <mergeCell ref="E7:F7"/>
    <mergeCell ref="G7:H7"/>
    <mergeCell ref="I7:J7"/>
    <mergeCell ref="K7:L7"/>
    <mergeCell ref="A9:L9"/>
    <mergeCell ref="A10:L10"/>
    <mergeCell ref="A11:L11"/>
    <mergeCell ref="A12:L12"/>
    <mergeCell ref="A13:L13"/>
    <mergeCell ref="A14:L14"/>
    <mergeCell ref="A15:L15"/>
    <mergeCell ref="A17:L17"/>
    <mergeCell ref="A18:L22"/>
    <mergeCell ref="A23:L23"/>
    <mergeCell ref="A60:L60"/>
    <mergeCell ref="A79:L79"/>
    <mergeCell ref="A80:L80"/>
    <mergeCell ref="A81:L81"/>
    <mergeCell ref="A82:L82"/>
    <mergeCell ref="A83:L83"/>
    <mergeCell ref="A84:L84"/>
  </mergeCells>
  <conditionalFormatting sqref="E64:E68">
    <cfRule type="colorScale" priority="2">
      <colorScale>
        <cfvo type="min" val="0"/>
        <cfvo type="percentile" val="50"/>
        <cfvo type="max" val="0"/>
        <color rgb="FFC6E0B4"/>
        <color rgb="FFFFF2CC"/>
        <color rgb="FFF4B084"/>
      </colorScale>
    </cfRule>
  </conditionalFormatting>
  <conditionalFormatting sqref="F64:F68">
    <cfRule type="expression" priority="3" aboveAverage="0" equalAverage="0" bottom="0" percent="0" rank="0" text="" dxfId="0">
      <formula>$F64=1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T1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7" width="10"/>
    <col collapsed="false" customWidth="true" hidden="false" outlineLevel="0" max="2" min="2" style="7" width="13"/>
    <col collapsed="false" customWidth="true" hidden="false" outlineLevel="0" max="3" min="3" style="7" width="18"/>
    <col collapsed="false" customWidth="true" hidden="false" outlineLevel="0" max="4" min="4" style="7" width="14"/>
    <col collapsed="false" customWidth="true" hidden="false" outlineLevel="0" max="5" min="5" style="7" width="11"/>
    <col collapsed="false" customWidth="true" hidden="false" outlineLevel="0" max="7" min="6" style="7" width="10"/>
    <col collapsed="false" customWidth="true" hidden="false" outlineLevel="0" max="8" min="8" style="7" width="15"/>
    <col collapsed="false" customWidth="true" hidden="false" outlineLevel="0" max="9" min="9" style="7" width="12"/>
    <col collapsed="false" customWidth="true" hidden="false" outlineLevel="0" max="10" min="10" style="7" width="13"/>
    <col collapsed="false" customWidth="true" hidden="false" outlineLevel="0" max="11" min="11" style="7" width="14"/>
    <col collapsed="false" customWidth="true" hidden="false" outlineLevel="0" max="12" min="12" style="7" width="15"/>
    <col collapsed="false" customWidth="true" hidden="false" outlineLevel="0" max="13" min="13" style="7" width="13"/>
    <col collapsed="false" customWidth="true" hidden="false" outlineLevel="0" max="14" min="14" style="7" width="17"/>
    <col collapsed="false" customWidth="true" hidden="false" outlineLevel="0" max="15" min="15" style="7" width="3"/>
    <col collapsed="false" customWidth="true" hidden="false" outlineLevel="0" max="16" min="16" style="7" width="22"/>
    <col collapsed="false" customWidth="true" hidden="false" outlineLevel="0" max="18" min="17" style="7" width="15"/>
    <col collapsed="false" customWidth="true" hidden="false" outlineLevel="0" max="19" min="19" style="7" width="3"/>
    <col collapsed="false" customWidth="true" hidden="false" outlineLevel="0" max="20" min="20" style="7" width="70"/>
  </cols>
  <sheetData>
    <row r="1" customFormat="false" ht="33.75" hidden="false" customHeight="true" outlineLevel="0" collapsed="false">
      <c r="A1" s="34" t="s">
        <v>30</v>
      </c>
      <c r="B1" s="34" t="s">
        <v>32</v>
      </c>
      <c r="C1" s="35" t="s">
        <v>34</v>
      </c>
      <c r="D1" s="34" t="s">
        <v>130</v>
      </c>
      <c r="E1" s="34" t="s">
        <v>113</v>
      </c>
      <c r="F1" s="34" t="s">
        <v>131</v>
      </c>
      <c r="G1" s="34" t="s">
        <v>132</v>
      </c>
      <c r="H1" s="34" t="s">
        <v>40</v>
      </c>
      <c r="I1" s="35" t="s">
        <v>92</v>
      </c>
      <c r="J1" s="35" t="s">
        <v>133</v>
      </c>
      <c r="K1" s="35" t="s">
        <v>44</v>
      </c>
      <c r="L1" s="35" t="s">
        <v>46</v>
      </c>
      <c r="M1" s="35" t="s">
        <v>48</v>
      </c>
      <c r="N1" s="35" t="s">
        <v>50</v>
      </c>
      <c r="P1" s="36" t="s">
        <v>134</v>
      </c>
      <c r="Q1" s="36" t="s">
        <v>135</v>
      </c>
      <c r="R1" s="36" t="s">
        <v>136</v>
      </c>
      <c r="T1" s="37" t="s">
        <v>137</v>
      </c>
    </row>
    <row r="2" customFormat="false" ht="15" hidden="false" customHeight="true" outlineLevel="0" collapsed="false">
      <c r="A2" s="38" t="s">
        <v>138</v>
      </c>
      <c r="B2" s="39" t="n">
        <v>46102</v>
      </c>
      <c r="C2" s="38" t="str">
        <f aca="false">TRIM(PROPER(P2))</f>
        <v>Aditya Joshi</v>
      </c>
      <c r="D2" s="38" t="s">
        <v>139</v>
      </c>
      <c r="E2" s="38" t="s">
        <v>120</v>
      </c>
      <c r="F2" s="40" t="n">
        <v>4</v>
      </c>
      <c r="G2" s="41" t="n">
        <v>110</v>
      </c>
      <c r="H2" s="38" t="s">
        <v>123</v>
      </c>
      <c r="I2" s="38" t="str">
        <f aca="false">TRIM(PROPER(Q2))</f>
        <v>Chennai</v>
      </c>
      <c r="J2" s="38" t="str">
        <f aca="false">TRIM(PROPER(R2))</f>
        <v>Refunded</v>
      </c>
      <c r="K2" s="41" t="n">
        <f aca="false">IF(N2="",F2*G2,0)</f>
        <v>440</v>
      </c>
      <c r="L2" s="42" t="str">
        <f aca="false">IF(N2&lt;&gt;"","",IF(F2&gt;=3,"Bulk (3+ items)","Regular"))</f>
        <v>Bulk (3+ items)</v>
      </c>
      <c r="M2" s="42" t="str">
        <f aca="false">IF(J2="Completed","Yes","No")</f>
        <v>No</v>
      </c>
      <c r="N2" s="42" t="str">
        <f aca="false">IF(F2="","Quantity missing",IF(F2&lt;=0,"Quantity invalid",IF(G2="","Price missing","")))</f>
        <v/>
      </c>
      <c r="O2" s="38"/>
      <c r="P2" s="43" t="s">
        <v>140</v>
      </c>
      <c r="Q2" s="43" t="s">
        <v>141</v>
      </c>
      <c r="R2" s="43" t="s">
        <v>142</v>
      </c>
      <c r="T2" s="44" t="s">
        <v>143</v>
      </c>
    </row>
    <row r="3" customFormat="false" ht="15" hidden="false" customHeight="true" outlineLevel="0" collapsed="false">
      <c r="A3" s="38" t="s">
        <v>144</v>
      </c>
      <c r="B3" s="39" t="n">
        <v>46107</v>
      </c>
      <c r="C3" s="38" t="str">
        <f aca="false">TRIM(PROPER(P3))</f>
        <v>Rohit Sharma</v>
      </c>
      <c r="D3" s="38" t="s">
        <v>139</v>
      </c>
      <c r="E3" s="38" t="s">
        <v>120</v>
      </c>
      <c r="F3" s="40" t="n">
        <v>1</v>
      </c>
      <c r="G3" s="41" t="n">
        <v>110</v>
      </c>
      <c r="H3" s="38" t="s">
        <v>123</v>
      </c>
      <c r="I3" s="38" t="str">
        <f aca="false">TRIM(PROPER(Q3))</f>
        <v>Mumbai</v>
      </c>
      <c r="J3" s="38" t="str">
        <f aca="false">TRIM(PROPER(R3))</f>
        <v>Cancelled</v>
      </c>
      <c r="K3" s="41" t="n">
        <f aca="false">IF(N3="",F3*G3,0)</f>
        <v>110</v>
      </c>
      <c r="L3" s="42" t="str">
        <f aca="false">IF(N3&lt;&gt;"","",IF(F3&gt;=3,"Bulk (3+ items)","Regular"))</f>
        <v>Regular</v>
      </c>
      <c r="M3" s="42" t="str">
        <f aca="false">IF(J3="Completed","Yes","No")</f>
        <v>No</v>
      </c>
      <c r="N3" s="42" t="str">
        <f aca="false">IF(F3="","Quantity missing",IF(F3&lt;=0,"Quantity invalid",IF(G3="","Price missing","")))</f>
        <v/>
      </c>
      <c r="O3" s="38"/>
      <c r="P3" s="43" t="s">
        <v>145</v>
      </c>
      <c r="Q3" s="43" t="s">
        <v>146</v>
      </c>
      <c r="R3" s="43" t="s">
        <v>147</v>
      </c>
      <c r="T3" s="44" t="s">
        <v>148</v>
      </c>
    </row>
    <row r="4" customFormat="false" ht="15" hidden="false" customHeight="true" outlineLevel="0" collapsed="false">
      <c r="A4" s="38" t="s">
        <v>149</v>
      </c>
      <c r="B4" s="39" t="n">
        <v>46098</v>
      </c>
      <c r="C4" s="38" t="str">
        <f aca="false">TRIM(PROPER(P4))</f>
        <v>Naina Bose</v>
      </c>
      <c r="D4" s="38" t="s">
        <v>150</v>
      </c>
      <c r="E4" s="38" t="s">
        <v>118</v>
      </c>
      <c r="F4" s="40" t="n">
        <v>4</v>
      </c>
      <c r="G4" s="41" t="n">
        <v>120</v>
      </c>
      <c r="H4" s="38" t="s">
        <v>121</v>
      </c>
      <c r="I4" s="38" t="str">
        <f aca="false">TRIM(PROPER(Q4))</f>
        <v>Chennai</v>
      </c>
      <c r="J4" s="38" t="str">
        <f aca="false">TRIM(PROPER(R4))</f>
        <v>Refunded</v>
      </c>
      <c r="K4" s="41" t="n">
        <f aca="false">IF(N4="",F4*G4,0)</f>
        <v>480</v>
      </c>
      <c r="L4" s="42" t="str">
        <f aca="false">IF(N4&lt;&gt;"","",IF(F4&gt;=3,"Bulk (3+ items)","Regular"))</f>
        <v>Bulk (3+ items)</v>
      </c>
      <c r="M4" s="42" t="str">
        <f aca="false">IF(J4="Completed","Yes","No")</f>
        <v>No</v>
      </c>
      <c r="N4" s="42" t="str">
        <f aca="false">IF(F4="","Quantity missing",IF(F4&lt;=0,"Quantity invalid",IF(G4="","Price missing","")))</f>
        <v/>
      </c>
      <c r="O4" s="38"/>
      <c r="P4" s="43" t="s">
        <v>151</v>
      </c>
      <c r="Q4" s="43" t="s">
        <v>104</v>
      </c>
      <c r="R4" s="43" t="s">
        <v>107</v>
      </c>
      <c r="T4" s="44" t="s">
        <v>152</v>
      </c>
    </row>
    <row r="5" customFormat="false" ht="15" hidden="false" customHeight="true" outlineLevel="0" collapsed="false">
      <c r="A5" s="38" t="s">
        <v>153</v>
      </c>
      <c r="B5" s="39" t="n">
        <v>46098</v>
      </c>
      <c r="C5" s="38" t="str">
        <f aca="false">TRIM(PROPER(P5))</f>
        <v>Ira Menon</v>
      </c>
      <c r="D5" s="38" t="s">
        <v>154</v>
      </c>
      <c r="E5" s="38" t="s">
        <v>122</v>
      </c>
      <c r="F5" s="40" t="n">
        <v>1</v>
      </c>
      <c r="G5" s="41"/>
      <c r="H5" s="38" t="s">
        <v>121</v>
      </c>
      <c r="I5" s="38" t="str">
        <f aca="false">TRIM(PROPER(Q5))</f>
        <v>Bengaluru</v>
      </c>
      <c r="J5" s="38" t="str">
        <f aca="false">TRIM(PROPER(R5))</f>
        <v>Completed</v>
      </c>
      <c r="K5" s="41" t="n">
        <f aca="false">IF(N5="",F5*G5,0)</f>
        <v>0</v>
      </c>
      <c r="L5" s="42" t="str">
        <f aca="false">IF(N5&lt;&gt;"","",IF(F5&gt;=3,"Bulk (3+ items)","Regular"))</f>
        <v/>
      </c>
      <c r="M5" s="42" t="str">
        <f aca="false">IF(J5="Completed","Yes","No")</f>
        <v>Yes</v>
      </c>
      <c r="N5" s="42" t="str">
        <f aca="false">IF(F5="","Quantity missing",IF(F5&lt;=0,"Quantity invalid",IF(G5="","Price missing","")))</f>
        <v>Price missing</v>
      </c>
      <c r="O5" s="38"/>
      <c r="P5" s="43" t="s">
        <v>155</v>
      </c>
      <c r="Q5" s="43" t="s">
        <v>156</v>
      </c>
      <c r="R5" s="43" t="s">
        <v>103</v>
      </c>
      <c r="T5" s="44" t="s">
        <v>157</v>
      </c>
    </row>
    <row r="6" customFormat="false" ht="15" hidden="false" customHeight="true" outlineLevel="0" collapsed="false">
      <c r="A6" s="38" t="s">
        <v>158</v>
      </c>
      <c r="B6" s="39" t="n">
        <v>46106</v>
      </c>
      <c r="C6" s="38" t="str">
        <f aca="false">TRIM(PROPER(P6))</f>
        <v>Om Prakash</v>
      </c>
      <c r="D6" s="38" t="s">
        <v>159</v>
      </c>
      <c r="E6" s="38" t="s">
        <v>118</v>
      </c>
      <c r="F6" s="40" t="n">
        <v>0</v>
      </c>
      <c r="G6" s="41" t="n">
        <v>190</v>
      </c>
      <c r="H6" s="38" t="s">
        <v>123</v>
      </c>
      <c r="I6" s="38" t="str">
        <f aca="false">TRIM(PROPER(Q6))</f>
        <v>Bengaluru</v>
      </c>
      <c r="J6" s="38" t="str">
        <f aca="false">TRIM(PROPER(R6))</f>
        <v>Completed</v>
      </c>
      <c r="K6" s="41" t="n">
        <f aca="false">IF(N6="",F6*G6,0)</f>
        <v>0</v>
      </c>
      <c r="L6" s="42" t="str">
        <f aca="false">IF(N6&lt;&gt;"","",IF(F6&gt;=3,"Bulk (3+ items)","Regular"))</f>
        <v/>
      </c>
      <c r="M6" s="42" t="str">
        <f aca="false">IF(J6="Completed","Yes","No")</f>
        <v>Yes</v>
      </c>
      <c r="N6" s="42" t="str">
        <f aca="false">IF(F6="","Quantity missing",IF(F6&lt;=0,"Quantity invalid",IF(G6="","Price missing","")))</f>
        <v>Quantity invalid</v>
      </c>
      <c r="O6" s="38"/>
      <c r="P6" s="43" t="s">
        <v>160</v>
      </c>
      <c r="Q6" s="43" t="s">
        <v>156</v>
      </c>
      <c r="R6" s="43" t="s">
        <v>103</v>
      </c>
    </row>
    <row r="7" customFormat="false" ht="15" hidden="false" customHeight="true" outlineLevel="0" collapsed="false">
      <c r="A7" s="38" t="s">
        <v>161</v>
      </c>
      <c r="B7" s="39" t="n">
        <v>46110</v>
      </c>
      <c r="C7" s="38" t="str">
        <f aca="false">TRIM(PROPER(P7))</f>
        <v>Trisha Reddy</v>
      </c>
      <c r="D7" s="38" t="s">
        <v>154</v>
      </c>
      <c r="E7" s="38" t="s">
        <v>122</v>
      </c>
      <c r="F7" s="40" t="n">
        <v>1</v>
      </c>
      <c r="G7" s="41" t="n">
        <v>220</v>
      </c>
      <c r="H7" s="38" t="s">
        <v>123</v>
      </c>
      <c r="I7" s="38" t="str">
        <f aca="false">TRIM(PROPER(Q7))</f>
        <v>Delhi</v>
      </c>
      <c r="J7" s="38" t="str">
        <f aca="false">TRIM(PROPER(R7))</f>
        <v>Refunded</v>
      </c>
      <c r="K7" s="41" t="n">
        <f aca="false">IF(N7="",F7*G7,0)</f>
        <v>220</v>
      </c>
      <c r="L7" s="42" t="str">
        <f aca="false">IF(N7&lt;&gt;"","",IF(F7&gt;=3,"Bulk (3+ items)","Regular"))</f>
        <v>Regular</v>
      </c>
      <c r="M7" s="42" t="str">
        <f aca="false">IF(J7="Completed","Yes","No")</f>
        <v>No</v>
      </c>
      <c r="N7" s="42" t="str">
        <f aca="false">IF(F7="","Quantity missing",IF(F7&lt;=0,"Quantity invalid",IF(G7="","Price missing","")))</f>
        <v/>
      </c>
      <c r="O7" s="38"/>
      <c r="P7" s="43" t="s">
        <v>162</v>
      </c>
      <c r="Q7" s="43" t="s">
        <v>106</v>
      </c>
      <c r="R7" s="43" t="s">
        <v>142</v>
      </c>
    </row>
    <row r="8" customFormat="false" ht="15" hidden="false" customHeight="true" outlineLevel="0" collapsed="false">
      <c r="A8" s="38" t="s">
        <v>163</v>
      </c>
      <c r="B8" s="39" t="n">
        <v>46098</v>
      </c>
      <c r="C8" s="38" t="str">
        <f aca="false">TRIM(PROPER(P8))</f>
        <v>Simran Kaur</v>
      </c>
      <c r="D8" s="38" t="s">
        <v>164</v>
      </c>
      <c r="E8" s="38" t="s">
        <v>118</v>
      </c>
      <c r="F8" s="40" t="n">
        <v>1</v>
      </c>
      <c r="G8" s="41" t="n">
        <v>160</v>
      </c>
      <c r="H8" s="38" t="s">
        <v>121</v>
      </c>
      <c r="I8" s="38" t="str">
        <f aca="false">TRIM(PROPER(Q8))</f>
        <v>Delhi</v>
      </c>
      <c r="J8" s="38" t="str">
        <f aca="false">TRIM(PROPER(R8))</f>
        <v>Completed</v>
      </c>
      <c r="K8" s="41" t="n">
        <f aca="false">IF(N8="",F8*G8,0)</f>
        <v>160</v>
      </c>
      <c r="L8" s="42" t="str">
        <f aca="false">IF(N8&lt;&gt;"","",IF(F8&gt;=3,"Bulk (3+ items)","Regular"))</f>
        <v>Regular</v>
      </c>
      <c r="M8" s="42" t="str">
        <f aca="false">IF(J8="Completed","Yes","No")</f>
        <v>Yes</v>
      </c>
      <c r="N8" s="42" t="str">
        <f aca="false">IF(F8="","Quantity missing",IF(F8&lt;=0,"Quantity invalid",IF(G8="","Price missing","")))</f>
        <v/>
      </c>
      <c r="O8" s="38"/>
      <c r="P8" s="43" t="s">
        <v>165</v>
      </c>
      <c r="Q8" s="43" t="s">
        <v>166</v>
      </c>
      <c r="R8" s="43" t="s">
        <v>103</v>
      </c>
    </row>
    <row r="9" customFormat="false" ht="15" hidden="false" customHeight="true" outlineLevel="0" collapsed="false">
      <c r="A9" s="38" t="s">
        <v>167</v>
      </c>
      <c r="B9" s="39" t="n">
        <v>46097</v>
      </c>
      <c r="C9" s="38" t="str">
        <f aca="false">TRIM(PROPER(P9))</f>
        <v>Kunal Verma</v>
      </c>
      <c r="D9" s="38" t="s">
        <v>150</v>
      </c>
      <c r="E9" s="38" t="s">
        <v>118</v>
      </c>
      <c r="F9" s="40" t="n">
        <v>4</v>
      </c>
      <c r="G9" s="41" t="n">
        <v>120</v>
      </c>
      <c r="H9" s="38" t="s">
        <v>119</v>
      </c>
      <c r="I9" s="38" t="str">
        <f aca="false">TRIM(PROPER(Q9))</f>
        <v>Bengaluru</v>
      </c>
      <c r="J9" s="38" t="str">
        <f aca="false">TRIM(PROPER(R9))</f>
        <v>Completed</v>
      </c>
      <c r="K9" s="41" t="n">
        <f aca="false">IF(N9="",F9*G9,0)</f>
        <v>480</v>
      </c>
      <c r="L9" s="42" t="str">
        <f aca="false">IF(N9&lt;&gt;"","",IF(F9&gt;=3,"Bulk (3+ items)","Regular"))</f>
        <v>Bulk (3+ items)</v>
      </c>
      <c r="M9" s="42" t="str">
        <f aca="false">IF(J9="Completed","Yes","No")</f>
        <v>Yes</v>
      </c>
      <c r="N9" s="42" t="str">
        <f aca="false">IF(F9="","Quantity missing",IF(F9&lt;=0,"Quantity invalid",IF(G9="","Price missing","")))</f>
        <v/>
      </c>
      <c r="O9" s="38"/>
      <c r="P9" s="43" t="s">
        <v>168</v>
      </c>
      <c r="Q9" s="43" t="s">
        <v>169</v>
      </c>
      <c r="R9" s="43" t="s">
        <v>170</v>
      </c>
    </row>
    <row r="10" customFormat="false" ht="15" hidden="false" customHeight="true" outlineLevel="0" collapsed="false">
      <c r="A10" s="38" t="s">
        <v>171</v>
      </c>
      <c r="B10" s="39" t="n">
        <v>46098</v>
      </c>
      <c r="C10" s="38" t="str">
        <f aca="false">TRIM(PROPER(P10))</f>
        <v>Ananya Iyer</v>
      </c>
      <c r="D10" s="38" t="s">
        <v>172</v>
      </c>
      <c r="E10" s="38" t="s">
        <v>120</v>
      </c>
      <c r="F10" s="40" t="n">
        <v>1</v>
      </c>
      <c r="G10" s="41" t="n">
        <v>140</v>
      </c>
      <c r="H10" s="38" t="s">
        <v>119</v>
      </c>
      <c r="I10" s="38" t="str">
        <f aca="false">TRIM(PROPER(Q10))</f>
        <v>Mumbai</v>
      </c>
      <c r="J10" s="38" t="str">
        <f aca="false">TRIM(PROPER(R10))</f>
        <v>Completed</v>
      </c>
      <c r="K10" s="41" t="n">
        <f aca="false">IF(N10="",F10*G10,0)</f>
        <v>140</v>
      </c>
      <c r="L10" s="42" t="str">
        <f aca="false">IF(N10&lt;&gt;"","",IF(F10&gt;=3,"Bulk (3+ items)","Regular"))</f>
        <v>Regular</v>
      </c>
      <c r="M10" s="42" t="str">
        <f aca="false">IF(J10="Completed","Yes","No")</f>
        <v>Yes</v>
      </c>
      <c r="N10" s="42" t="str">
        <f aca="false">IF(F10="","Quantity missing",IF(F10&lt;=0,"Quantity invalid",IF(G10="","Price missing","")))</f>
        <v/>
      </c>
      <c r="O10" s="38"/>
      <c r="P10" s="43" t="s">
        <v>173</v>
      </c>
      <c r="Q10" s="43" t="s">
        <v>174</v>
      </c>
      <c r="R10" s="43" t="s">
        <v>103</v>
      </c>
    </row>
    <row r="11" customFormat="false" ht="15" hidden="false" customHeight="true" outlineLevel="0" collapsed="false">
      <c r="A11" s="38" t="s">
        <v>175</v>
      </c>
      <c r="B11" s="39" t="n">
        <v>46100</v>
      </c>
      <c r="C11" s="38" t="str">
        <f aca="false">TRIM(PROPER(P11))</f>
        <v>Kunal Verma</v>
      </c>
      <c r="D11" s="38" t="s">
        <v>154</v>
      </c>
      <c r="E11" s="38" t="s">
        <v>122</v>
      </c>
      <c r="F11" s="40" t="n">
        <v>3</v>
      </c>
      <c r="G11" s="41" t="n">
        <v>220</v>
      </c>
      <c r="H11" s="38" t="s">
        <v>123</v>
      </c>
      <c r="I11" s="38" t="str">
        <f aca="false">TRIM(PROPER(Q11))</f>
        <v>Bengaluru</v>
      </c>
      <c r="J11" s="38" t="str">
        <f aca="false">TRIM(PROPER(R11))</f>
        <v>Completed</v>
      </c>
      <c r="K11" s="41" t="n">
        <f aca="false">IF(N11="",F11*G11,0)</f>
        <v>660</v>
      </c>
      <c r="L11" s="42" t="str">
        <f aca="false">IF(N11&lt;&gt;"","",IF(F11&gt;=3,"Bulk (3+ items)","Regular"))</f>
        <v>Bulk (3+ items)</v>
      </c>
      <c r="M11" s="42" t="str">
        <f aca="false">IF(J11="Completed","Yes","No")</f>
        <v>Yes</v>
      </c>
      <c r="N11" s="42" t="str">
        <f aca="false">IF(F11="","Quantity missing",IF(F11&lt;=0,"Quantity invalid",IF(G11="","Price missing","")))</f>
        <v/>
      </c>
      <c r="O11" s="38"/>
      <c r="P11" s="43" t="s">
        <v>168</v>
      </c>
      <c r="Q11" s="43" t="s">
        <v>156</v>
      </c>
      <c r="R11" s="43" t="s">
        <v>103</v>
      </c>
    </row>
    <row r="12" customFormat="false" ht="15" hidden="false" customHeight="true" outlineLevel="0" collapsed="false">
      <c r="A12" s="38" t="s">
        <v>176</v>
      </c>
      <c r="B12" s="39" t="n">
        <v>46097</v>
      </c>
      <c r="C12" s="38" t="str">
        <f aca="false">TRIM(PROPER(P12))</f>
        <v>Meher Dutta</v>
      </c>
      <c r="D12" s="38" t="s">
        <v>139</v>
      </c>
      <c r="E12" s="38" t="s">
        <v>120</v>
      </c>
      <c r="F12" s="40"/>
      <c r="G12" s="41" t="n">
        <v>110</v>
      </c>
      <c r="H12" s="38" t="s">
        <v>121</v>
      </c>
      <c r="I12" s="38" t="str">
        <f aca="false">TRIM(PROPER(Q12))</f>
        <v>Pune</v>
      </c>
      <c r="J12" s="38" t="str">
        <f aca="false">TRIM(PROPER(R12))</f>
        <v>Refunded</v>
      </c>
      <c r="K12" s="41" t="n">
        <f aca="false">IF(N12="",F12*G12,0)</f>
        <v>0</v>
      </c>
      <c r="L12" s="42" t="str">
        <f aca="false">IF(N12&lt;&gt;"","",IF(F12&gt;=3,"Bulk (3+ items)","Regular"))</f>
        <v/>
      </c>
      <c r="M12" s="42" t="str">
        <f aca="false">IF(J12="Completed","Yes","No")</f>
        <v>No</v>
      </c>
      <c r="N12" s="42" t="str">
        <f aca="false">IF(F12="","Quantity missing",IF(F12&lt;=0,"Quantity invalid",IF(G12="","Price missing","")))</f>
        <v>Quantity missing</v>
      </c>
      <c r="O12" s="38"/>
      <c r="P12" s="43" t="s">
        <v>177</v>
      </c>
      <c r="Q12" s="43" t="s">
        <v>178</v>
      </c>
      <c r="R12" s="43" t="s">
        <v>107</v>
      </c>
    </row>
    <row r="13" customFormat="false" ht="15" hidden="false" customHeight="true" outlineLevel="0" collapsed="false">
      <c r="A13" s="38" t="s">
        <v>179</v>
      </c>
      <c r="B13" s="39" t="n">
        <v>46090</v>
      </c>
      <c r="C13" s="38" t="str">
        <f aca="false">TRIM(PROPER(P13))</f>
        <v>Ritika Shah</v>
      </c>
      <c r="D13" s="38" t="s">
        <v>180</v>
      </c>
      <c r="E13" s="38" t="s">
        <v>118</v>
      </c>
      <c r="F13" s="40" t="n">
        <v>3</v>
      </c>
      <c r="G13" s="41" t="n">
        <v>210</v>
      </c>
      <c r="H13" s="38" t="s">
        <v>123</v>
      </c>
      <c r="I13" s="38" t="str">
        <f aca="false">TRIM(PROPER(Q13))</f>
        <v>Pune</v>
      </c>
      <c r="J13" s="38" t="str">
        <f aca="false">TRIM(PROPER(R13))</f>
        <v>Completed</v>
      </c>
      <c r="K13" s="41" t="n">
        <f aca="false">IF(N13="",F13*G13,0)</f>
        <v>630</v>
      </c>
      <c r="L13" s="42" t="str">
        <f aca="false">IF(N13&lt;&gt;"","",IF(F13&gt;=3,"Bulk (3+ items)","Regular"))</f>
        <v>Bulk (3+ items)</v>
      </c>
      <c r="M13" s="42" t="str">
        <f aca="false">IF(J13="Completed","Yes","No")</f>
        <v>Yes</v>
      </c>
      <c r="N13" s="42" t="str">
        <f aca="false">IF(F13="","Quantity missing",IF(F13&lt;=0,"Quantity invalid",IF(G13="","Price missing","")))</f>
        <v/>
      </c>
      <c r="O13" s="38"/>
      <c r="P13" s="43" t="s">
        <v>181</v>
      </c>
      <c r="Q13" s="43" t="s">
        <v>110</v>
      </c>
      <c r="R13" s="43" t="s">
        <v>103</v>
      </c>
    </row>
    <row r="14" customFormat="false" ht="15" hidden="false" customHeight="true" outlineLevel="0" collapsed="false">
      <c r="A14" s="38" t="s">
        <v>182</v>
      </c>
      <c r="B14" s="39" t="n">
        <v>46089</v>
      </c>
      <c r="C14" s="38" t="str">
        <f aca="false">TRIM(PROPER(P14))</f>
        <v>Fahad Khan</v>
      </c>
      <c r="D14" s="38" t="s">
        <v>159</v>
      </c>
      <c r="E14" s="38" t="s">
        <v>118</v>
      </c>
      <c r="F14" s="40" t="n">
        <v>2</v>
      </c>
      <c r="G14" s="41" t="n">
        <v>190</v>
      </c>
      <c r="H14" s="38" t="s">
        <v>119</v>
      </c>
      <c r="I14" s="38" t="str">
        <f aca="false">TRIM(PROPER(Q14))</f>
        <v>Mumbai</v>
      </c>
      <c r="J14" s="38" t="str">
        <f aca="false">TRIM(PROPER(R14))</f>
        <v>Refunded</v>
      </c>
      <c r="K14" s="41" t="n">
        <f aca="false">IF(N14="",F14*G14,0)</f>
        <v>380</v>
      </c>
      <c r="L14" s="42" t="str">
        <f aca="false">IF(N14&lt;&gt;"","",IF(F14&gt;=3,"Bulk (3+ items)","Regular"))</f>
        <v>Regular</v>
      </c>
      <c r="M14" s="42" t="str">
        <f aca="false">IF(J14="Completed","Yes","No")</f>
        <v>No</v>
      </c>
      <c r="N14" s="42" t="str">
        <f aca="false">IF(F14="","Quantity missing",IF(F14&lt;=0,"Quantity invalid",IF(G14="","Price missing","")))</f>
        <v/>
      </c>
      <c r="O14" s="38"/>
      <c r="P14" s="43" t="s">
        <v>183</v>
      </c>
      <c r="Q14" s="43" t="s">
        <v>174</v>
      </c>
      <c r="R14" s="43" t="s">
        <v>184</v>
      </c>
    </row>
    <row r="15" customFormat="false" ht="15" hidden="false" customHeight="true" outlineLevel="0" collapsed="false">
      <c r="A15" s="38" t="s">
        <v>185</v>
      </c>
      <c r="B15" s="39" t="n">
        <v>46101</v>
      </c>
      <c r="C15" s="38" t="str">
        <f aca="false">TRIM(PROPER(P15))</f>
        <v>Simran Kaur</v>
      </c>
      <c r="D15" s="38" t="s">
        <v>139</v>
      </c>
      <c r="E15" s="38" t="s">
        <v>120</v>
      </c>
      <c r="F15" s="40"/>
      <c r="G15" s="41"/>
      <c r="H15" s="38" t="s">
        <v>121</v>
      </c>
      <c r="I15" s="38" t="str">
        <f aca="false">TRIM(PROPER(Q15))</f>
        <v>Bengaluru</v>
      </c>
      <c r="J15" s="38" t="str">
        <f aca="false">TRIM(PROPER(R15))</f>
        <v>Refunded</v>
      </c>
      <c r="K15" s="41" t="n">
        <f aca="false">IF(N15="",F15*G15,0)</f>
        <v>0</v>
      </c>
      <c r="L15" s="42" t="str">
        <f aca="false">IF(N15&lt;&gt;"","",IF(F15&gt;=3,"Bulk (3+ items)","Regular"))</f>
        <v/>
      </c>
      <c r="M15" s="42" t="str">
        <f aca="false">IF(J15="Completed","Yes","No")</f>
        <v>No</v>
      </c>
      <c r="N15" s="42" t="str">
        <f aca="false">IF(F15="","Quantity missing",IF(F15&lt;=0,"Quantity invalid",IF(G15="","Price missing","")))</f>
        <v>Quantity missing</v>
      </c>
      <c r="O15" s="38"/>
      <c r="P15" s="43" t="s">
        <v>186</v>
      </c>
      <c r="Q15" s="43" t="s">
        <v>102</v>
      </c>
      <c r="R15" s="43" t="s">
        <v>187</v>
      </c>
    </row>
    <row r="16" customFormat="false" ht="15" hidden="false" customHeight="true" outlineLevel="0" collapsed="false">
      <c r="A16" s="38" t="s">
        <v>188</v>
      </c>
      <c r="B16" s="39" t="n">
        <v>46096</v>
      </c>
      <c r="C16" s="38" t="str">
        <f aca="false">TRIM(PROPER(P16))</f>
        <v>Om Prakash</v>
      </c>
      <c r="D16" s="38" t="s">
        <v>150</v>
      </c>
      <c r="E16" s="38" t="s">
        <v>118</v>
      </c>
      <c r="F16" s="40" t="n">
        <v>1</v>
      </c>
      <c r="G16" s="41" t="n">
        <v>120</v>
      </c>
      <c r="H16" s="38" t="s">
        <v>119</v>
      </c>
      <c r="I16" s="38" t="str">
        <f aca="false">TRIM(PROPER(Q16))</f>
        <v>Mumbai</v>
      </c>
      <c r="J16" s="38" t="str">
        <f aca="false">TRIM(PROPER(R16))</f>
        <v>Refunded</v>
      </c>
      <c r="K16" s="41" t="n">
        <f aca="false">IF(N16="",F16*G16,0)</f>
        <v>120</v>
      </c>
      <c r="L16" s="42" t="str">
        <f aca="false">IF(N16&lt;&gt;"","",IF(F16&gt;=3,"Bulk (3+ items)","Regular"))</f>
        <v>Regular</v>
      </c>
      <c r="M16" s="42" t="str">
        <f aca="false">IF(J16="Completed","Yes","No")</f>
        <v>No</v>
      </c>
      <c r="N16" s="42" t="str">
        <f aca="false">IF(F16="","Quantity missing",IF(F16&lt;=0,"Quantity invalid",IF(G16="","Price missing","")))</f>
        <v/>
      </c>
      <c r="O16" s="38"/>
      <c r="P16" s="43" t="s">
        <v>189</v>
      </c>
      <c r="Q16" s="43" t="s">
        <v>190</v>
      </c>
      <c r="R16" s="43" t="s">
        <v>107</v>
      </c>
    </row>
    <row r="17" customFormat="false" ht="15" hidden="false" customHeight="true" outlineLevel="0" collapsed="false">
      <c r="A17" s="38" t="s">
        <v>191</v>
      </c>
      <c r="B17" s="39" t="n">
        <v>46105</v>
      </c>
      <c r="C17" s="38" t="str">
        <f aca="false">TRIM(PROPER(P17))</f>
        <v>Ira Menon</v>
      </c>
      <c r="D17" s="38" t="s">
        <v>192</v>
      </c>
      <c r="E17" s="38" t="s">
        <v>118</v>
      </c>
      <c r="F17" s="40" t="n">
        <v>3</v>
      </c>
      <c r="G17" s="41" t="n">
        <v>180</v>
      </c>
      <c r="H17" s="38" t="s">
        <v>123</v>
      </c>
      <c r="I17" s="38" t="str">
        <f aca="false">TRIM(PROPER(Q17))</f>
        <v>Pune</v>
      </c>
      <c r="J17" s="38" t="str">
        <f aca="false">TRIM(PROPER(R17))</f>
        <v>Completed</v>
      </c>
      <c r="K17" s="41" t="n">
        <f aca="false">IF(N17="",F17*G17,0)</f>
        <v>540</v>
      </c>
      <c r="L17" s="42" t="str">
        <f aca="false">IF(N17&lt;&gt;"","",IF(F17&gt;=3,"Bulk (3+ items)","Regular"))</f>
        <v>Bulk (3+ items)</v>
      </c>
      <c r="M17" s="42" t="str">
        <f aca="false">IF(J17="Completed","Yes","No")</f>
        <v>Yes</v>
      </c>
      <c r="N17" s="42" t="str">
        <f aca="false">IF(F17="","Quantity missing",IF(F17&lt;=0,"Quantity invalid",IF(G17="","Price missing","")))</f>
        <v/>
      </c>
      <c r="O17" s="38"/>
      <c r="P17" s="43" t="s">
        <v>193</v>
      </c>
      <c r="Q17" s="43" t="s">
        <v>194</v>
      </c>
      <c r="R17" s="43" t="s">
        <v>103</v>
      </c>
    </row>
    <row r="18" customFormat="false" ht="15" hidden="false" customHeight="true" outlineLevel="0" collapsed="false">
      <c r="A18" s="38" t="s">
        <v>195</v>
      </c>
      <c r="B18" s="39" t="n">
        <v>46110</v>
      </c>
      <c r="C18" s="38" t="str">
        <f aca="false">TRIM(PROPER(P18))</f>
        <v>Aditya Joshi</v>
      </c>
      <c r="D18" s="38" t="s">
        <v>159</v>
      </c>
      <c r="E18" s="38" t="s">
        <v>118</v>
      </c>
      <c r="F18" s="40" t="n">
        <v>3</v>
      </c>
      <c r="G18" s="41" t="n">
        <v>190</v>
      </c>
      <c r="H18" s="38" t="s">
        <v>121</v>
      </c>
      <c r="I18" s="38" t="str">
        <f aca="false">TRIM(PROPER(Q18))</f>
        <v>Mumbai</v>
      </c>
      <c r="J18" s="38" t="str">
        <f aca="false">TRIM(PROPER(R18))</f>
        <v>Refunded</v>
      </c>
      <c r="K18" s="41" t="n">
        <f aca="false">IF(N18="",F18*G18,0)</f>
        <v>570</v>
      </c>
      <c r="L18" s="42" t="str">
        <f aca="false">IF(N18&lt;&gt;"","",IF(F18&gt;=3,"Bulk (3+ items)","Regular"))</f>
        <v>Bulk (3+ items)</v>
      </c>
      <c r="M18" s="42" t="str">
        <f aca="false">IF(J18="Completed","Yes","No")</f>
        <v>No</v>
      </c>
      <c r="N18" s="42" t="str">
        <f aca="false">IF(F18="","Quantity missing",IF(F18&lt;=0,"Quantity invalid",IF(G18="","Price missing","")))</f>
        <v/>
      </c>
      <c r="O18" s="38"/>
      <c r="P18" s="43" t="s">
        <v>140</v>
      </c>
      <c r="Q18" s="43" t="s">
        <v>174</v>
      </c>
      <c r="R18" s="43" t="s">
        <v>187</v>
      </c>
    </row>
    <row r="19" customFormat="false" ht="15" hidden="false" customHeight="true" outlineLevel="0" collapsed="false">
      <c r="A19" s="38" t="s">
        <v>196</v>
      </c>
      <c r="B19" s="39" t="n">
        <v>46084</v>
      </c>
      <c r="C19" s="38" t="str">
        <f aca="false">TRIM(PROPER(P19))</f>
        <v>Ananya Iyer</v>
      </c>
      <c r="D19" s="38" t="s">
        <v>192</v>
      </c>
      <c r="E19" s="38" t="s">
        <v>118</v>
      </c>
      <c r="F19" s="40" t="n">
        <v>2</v>
      </c>
      <c r="G19" s="41" t="n">
        <v>180</v>
      </c>
      <c r="H19" s="38" t="s">
        <v>121</v>
      </c>
      <c r="I19" s="38" t="str">
        <f aca="false">TRIM(PROPER(Q19))</f>
        <v>Bengaluru</v>
      </c>
      <c r="J19" s="38" t="str">
        <f aca="false">TRIM(PROPER(R19))</f>
        <v>Completed</v>
      </c>
      <c r="K19" s="41" t="n">
        <f aca="false">IF(N19="",F19*G19,0)</f>
        <v>360</v>
      </c>
      <c r="L19" s="42" t="str">
        <f aca="false">IF(N19&lt;&gt;"","",IF(F19&gt;=3,"Bulk (3+ items)","Regular"))</f>
        <v>Regular</v>
      </c>
      <c r="M19" s="42" t="str">
        <f aca="false">IF(J19="Completed","Yes","No")</f>
        <v>Yes</v>
      </c>
      <c r="N19" s="42" t="str">
        <f aca="false">IF(F19="","Quantity missing",IF(F19&lt;=0,"Quantity invalid",IF(G19="","Price missing","")))</f>
        <v/>
      </c>
      <c r="O19" s="38"/>
      <c r="P19" s="43" t="s">
        <v>173</v>
      </c>
      <c r="Q19" s="43" t="s">
        <v>197</v>
      </c>
      <c r="R19" s="43" t="s">
        <v>103</v>
      </c>
    </row>
    <row r="20" customFormat="false" ht="15" hidden="false" customHeight="true" outlineLevel="0" collapsed="false">
      <c r="A20" s="38" t="s">
        <v>198</v>
      </c>
      <c r="B20" s="39" t="n">
        <v>46084</v>
      </c>
      <c r="C20" s="38" t="str">
        <f aca="false">TRIM(PROPER(P20))</f>
        <v>Om Prakash</v>
      </c>
      <c r="D20" s="38" t="s">
        <v>139</v>
      </c>
      <c r="E20" s="38" t="s">
        <v>120</v>
      </c>
      <c r="F20" s="40" t="n">
        <v>2</v>
      </c>
      <c r="G20" s="41" t="n">
        <v>110</v>
      </c>
      <c r="H20" s="38" t="s">
        <v>121</v>
      </c>
      <c r="I20" s="38" t="str">
        <f aca="false">TRIM(PROPER(Q20))</f>
        <v>Delhi</v>
      </c>
      <c r="J20" s="38" t="str">
        <f aca="false">TRIM(PROPER(R20))</f>
        <v>Cancelled</v>
      </c>
      <c r="K20" s="41" t="n">
        <f aca="false">IF(N20="",F20*G20,0)</f>
        <v>220</v>
      </c>
      <c r="L20" s="42" t="str">
        <f aca="false">IF(N20&lt;&gt;"","",IF(F20&gt;=3,"Bulk (3+ items)","Regular"))</f>
        <v>Regular</v>
      </c>
      <c r="M20" s="42" t="str">
        <f aca="false">IF(J20="Completed","Yes","No")</f>
        <v>No</v>
      </c>
      <c r="N20" s="42" t="str">
        <f aca="false">IF(F20="","Quantity missing",IF(F20&lt;=0,"Quantity invalid",IF(G20="","Price missing","")))</f>
        <v/>
      </c>
      <c r="O20" s="38"/>
      <c r="P20" s="43" t="s">
        <v>160</v>
      </c>
      <c r="Q20" s="43" t="s">
        <v>199</v>
      </c>
      <c r="R20" s="43" t="s">
        <v>200</v>
      </c>
    </row>
    <row r="21" customFormat="false" ht="15" hidden="false" customHeight="true" outlineLevel="0" collapsed="false">
      <c r="A21" s="38" t="s">
        <v>201</v>
      </c>
      <c r="B21" s="39" t="n">
        <v>46111</v>
      </c>
      <c r="C21" s="38" t="str">
        <f aca="false">TRIM(PROPER(P21))</f>
        <v>Devansh Rao</v>
      </c>
      <c r="D21" s="38" t="s">
        <v>202</v>
      </c>
      <c r="E21" s="38" t="s">
        <v>120</v>
      </c>
      <c r="F21" s="40" t="n">
        <v>3</v>
      </c>
      <c r="G21" s="41" t="n">
        <v>150</v>
      </c>
      <c r="H21" s="38" t="s">
        <v>119</v>
      </c>
      <c r="I21" s="38" t="str">
        <f aca="false">TRIM(PROPER(Q21))</f>
        <v>Chennai</v>
      </c>
      <c r="J21" s="38" t="str">
        <f aca="false">TRIM(PROPER(R21))</f>
        <v>Completed</v>
      </c>
      <c r="K21" s="41" t="n">
        <f aca="false">IF(N21="",F21*G21,0)</f>
        <v>450</v>
      </c>
      <c r="L21" s="42" t="str">
        <f aca="false">IF(N21&lt;&gt;"","",IF(F21&gt;=3,"Bulk (3+ items)","Regular"))</f>
        <v>Bulk (3+ items)</v>
      </c>
      <c r="M21" s="42" t="str">
        <f aca="false">IF(J21="Completed","Yes","No")</f>
        <v>Yes</v>
      </c>
      <c r="N21" s="42" t="str">
        <f aca="false">IF(F21="","Quantity missing",IF(F21&lt;=0,"Quantity invalid",IF(G21="","Price missing","")))</f>
        <v/>
      </c>
      <c r="O21" s="38"/>
      <c r="P21" s="43" t="s">
        <v>203</v>
      </c>
      <c r="Q21" s="43" t="s">
        <v>104</v>
      </c>
      <c r="R21" s="43" t="s">
        <v>103</v>
      </c>
    </row>
    <row r="22" customFormat="false" ht="15" hidden="false" customHeight="true" outlineLevel="0" collapsed="false">
      <c r="A22" s="38" t="s">
        <v>204</v>
      </c>
      <c r="B22" s="39" t="n">
        <v>46083</v>
      </c>
      <c r="C22" s="38" t="str">
        <f aca="false">TRIM(PROPER(P22))</f>
        <v>Ananya Iyer</v>
      </c>
      <c r="D22" s="38" t="s">
        <v>150</v>
      </c>
      <c r="E22" s="38" t="s">
        <v>118</v>
      </c>
      <c r="F22" s="40" t="n">
        <v>1</v>
      </c>
      <c r="G22" s="41" t="n">
        <v>120</v>
      </c>
      <c r="H22" s="38" t="s">
        <v>123</v>
      </c>
      <c r="I22" s="38" t="str">
        <f aca="false">TRIM(PROPER(Q22))</f>
        <v>Delhi</v>
      </c>
      <c r="J22" s="38" t="str">
        <f aca="false">TRIM(PROPER(R22))</f>
        <v>Completed</v>
      </c>
      <c r="K22" s="41" t="n">
        <f aca="false">IF(N22="",F22*G22,0)</f>
        <v>120</v>
      </c>
      <c r="L22" s="42" t="str">
        <f aca="false">IF(N22&lt;&gt;"","",IF(F22&gt;=3,"Bulk (3+ items)","Regular"))</f>
        <v>Regular</v>
      </c>
      <c r="M22" s="42" t="str">
        <f aca="false">IF(J22="Completed","Yes","No")</f>
        <v>Yes</v>
      </c>
      <c r="N22" s="42" t="str">
        <f aca="false">IF(F22="","Quantity missing",IF(F22&lt;=0,"Quantity invalid",IF(G22="","Price missing","")))</f>
        <v/>
      </c>
      <c r="O22" s="38"/>
      <c r="P22" s="43" t="s">
        <v>173</v>
      </c>
      <c r="Q22" s="43" t="s">
        <v>205</v>
      </c>
      <c r="R22" s="43" t="s">
        <v>206</v>
      </c>
    </row>
    <row r="23" customFormat="false" ht="15" hidden="false" customHeight="true" outlineLevel="0" collapsed="false">
      <c r="A23" s="38" t="s">
        <v>207</v>
      </c>
      <c r="B23" s="39" t="n">
        <v>46110</v>
      </c>
      <c r="C23" s="38" t="str">
        <f aca="false">TRIM(PROPER(P23))</f>
        <v>Naina Bose</v>
      </c>
      <c r="D23" s="38" t="s">
        <v>164</v>
      </c>
      <c r="E23" s="38" t="s">
        <v>118</v>
      </c>
      <c r="F23" s="40" t="n">
        <v>1</v>
      </c>
      <c r="G23" s="41" t="n">
        <v>160</v>
      </c>
      <c r="H23" s="38" t="s">
        <v>123</v>
      </c>
      <c r="I23" s="38" t="str">
        <f aca="false">TRIM(PROPER(Q23))</f>
        <v>Delhi</v>
      </c>
      <c r="J23" s="38" t="str">
        <f aca="false">TRIM(PROPER(R23))</f>
        <v>Completed</v>
      </c>
      <c r="K23" s="41" t="n">
        <f aca="false">IF(N23="",F23*G23,0)</f>
        <v>160</v>
      </c>
      <c r="L23" s="42" t="str">
        <f aca="false">IF(N23&lt;&gt;"","",IF(F23&gt;=3,"Bulk (3+ items)","Regular"))</f>
        <v>Regular</v>
      </c>
      <c r="M23" s="42" t="str">
        <f aca="false">IF(J23="Completed","Yes","No")</f>
        <v>Yes</v>
      </c>
      <c r="N23" s="42" t="str">
        <f aca="false">IF(F23="","Quantity missing",IF(F23&lt;=0,"Quantity invalid",IF(G23="","Price missing","")))</f>
        <v/>
      </c>
      <c r="O23" s="38"/>
      <c r="P23" s="43" t="s">
        <v>208</v>
      </c>
      <c r="Q23" s="43" t="s">
        <v>106</v>
      </c>
      <c r="R23" s="43" t="s">
        <v>209</v>
      </c>
    </row>
    <row r="24" customFormat="false" ht="15" hidden="false" customHeight="true" outlineLevel="0" collapsed="false">
      <c r="A24" s="38" t="s">
        <v>210</v>
      </c>
      <c r="B24" s="39" t="n">
        <v>46082</v>
      </c>
      <c r="C24" s="38" t="str">
        <f aca="false">TRIM(PROPER(P24))</f>
        <v>Rohit Sharma</v>
      </c>
      <c r="D24" s="38" t="s">
        <v>192</v>
      </c>
      <c r="E24" s="38" t="s">
        <v>118</v>
      </c>
      <c r="F24" s="40" t="n">
        <v>1</v>
      </c>
      <c r="G24" s="41" t="n">
        <v>180</v>
      </c>
      <c r="H24" s="38" t="s">
        <v>123</v>
      </c>
      <c r="I24" s="38" t="str">
        <f aca="false">TRIM(PROPER(Q24))</f>
        <v>Mumbai</v>
      </c>
      <c r="J24" s="38" t="str">
        <f aca="false">TRIM(PROPER(R24))</f>
        <v>Completed</v>
      </c>
      <c r="K24" s="41" t="n">
        <f aca="false">IF(N24="",F24*G24,0)</f>
        <v>180</v>
      </c>
      <c r="L24" s="42" t="str">
        <f aca="false">IF(N24&lt;&gt;"","",IF(F24&gt;=3,"Bulk (3+ items)","Regular"))</f>
        <v>Regular</v>
      </c>
      <c r="M24" s="42" t="str">
        <f aca="false">IF(J24="Completed","Yes","No")</f>
        <v>Yes</v>
      </c>
      <c r="N24" s="42" t="str">
        <f aca="false">IF(F24="","Quantity missing",IF(F24&lt;=0,"Quantity invalid",IF(G24="","Price missing","")))</f>
        <v/>
      </c>
      <c r="O24" s="38"/>
      <c r="P24" s="43" t="s">
        <v>211</v>
      </c>
      <c r="Q24" s="43" t="s">
        <v>146</v>
      </c>
      <c r="R24" s="43" t="s">
        <v>206</v>
      </c>
    </row>
    <row r="25" customFormat="false" ht="15" hidden="false" customHeight="true" outlineLevel="0" collapsed="false">
      <c r="A25" s="38" t="s">
        <v>212</v>
      </c>
      <c r="B25" s="39" t="n">
        <v>46093</v>
      </c>
      <c r="C25" s="38" t="str">
        <f aca="false">TRIM(PROPER(P25))</f>
        <v>Simran Kaur</v>
      </c>
      <c r="D25" s="38" t="s">
        <v>139</v>
      </c>
      <c r="E25" s="38" t="s">
        <v>120</v>
      </c>
      <c r="F25" s="40" t="n">
        <v>3</v>
      </c>
      <c r="G25" s="41" t="n">
        <v>110</v>
      </c>
      <c r="H25" s="38" t="s">
        <v>123</v>
      </c>
      <c r="I25" s="38" t="str">
        <f aca="false">TRIM(PROPER(Q25))</f>
        <v>Pune</v>
      </c>
      <c r="J25" s="38" t="str">
        <f aca="false">TRIM(PROPER(R25))</f>
        <v>Completed</v>
      </c>
      <c r="K25" s="41" t="n">
        <f aca="false">IF(N25="",F25*G25,0)</f>
        <v>330</v>
      </c>
      <c r="L25" s="42" t="str">
        <f aca="false">IF(N25&lt;&gt;"","",IF(F25&gt;=3,"Bulk (3+ items)","Regular"))</f>
        <v>Bulk (3+ items)</v>
      </c>
      <c r="M25" s="42" t="str">
        <f aca="false">IF(J25="Completed","Yes","No")</f>
        <v>Yes</v>
      </c>
      <c r="N25" s="42" t="str">
        <f aca="false">IF(F25="","Quantity missing",IF(F25&lt;=0,"Quantity invalid",IF(G25="","Price missing","")))</f>
        <v/>
      </c>
      <c r="O25" s="38"/>
      <c r="P25" s="43" t="s">
        <v>213</v>
      </c>
      <c r="Q25" s="43" t="s">
        <v>110</v>
      </c>
      <c r="R25" s="43" t="s">
        <v>103</v>
      </c>
    </row>
    <row r="26" customFormat="false" ht="15" hidden="false" customHeight="true" outlineLevel="0" collapsed="false">
      <c r="A26" s="38" t="s">
        <v>214</v>
      </c>
      <c r="B26" s="39" t="n">
        <v>46099</v>
      </c>
      <c r="C26" s="38" t="str">
        <f aca="false">TRIM(PROPER(P26))</f>
        <v>Simran Kaur</v>
      </c>
      <c r="D26" s="38" t="s">
        <v>150</v>
      </c>
      <c r="E26" s="38" t="s">
        <v>118</v>
      </c>
      <c r="F26" s="40" t="n">
        <v>1</v>
      </c>
      <c r="G26" s="41" t="n">
        <v>120</v>
      </c>
      <c r="H26" s="38" t="s">
        <v>123</v>
      </c>
      <c r="I26" s="38" t="str">
        <f aca="false">TRIM(PROPER(Q26))</f>
        <v>Pune</v>
      </c>
      <c r="J26" s="38" t="str">
        <f aca="false">TRIM(PROPER(R26))</f>
        <v>Completed</v>
      </c>
      <c r="K26" s="41" t="n">
        <f aca="false">IF(N26="",F26*G26,0)</f>
        <v>120</v>
      </c>
      <c r="L26" s="42" t="str">
        <f aca="false">IF(N26&lt;&gt;"","",IF(F26&gt;=3,"Bulk (3+ items)","Regular"))</f>
        <v>Regular</v>
      </c>
      <c r="M26" s="42" t="str">
        <f aca="false">IF(J26="Completed","Yes","No")</f>
        <v>Yes</v>
      </c>
      <c r="N26" s="42" t="str">
        <f aca="false">IF(F26="","Quantity missing",IF(F26&lt;=0,"Quantity invalid",IF(G26="","Price missing","")))</f>
        <v/>
      </c>
      <c r="O26" s="38"/>
      <c r="P26" s="43" t="s">
        <v>213</v>
      </c>
      <c r="Q26" s="43" t="s">
        <v>215</v>
      </c>
      <c r="R26" s="43" t="s">
        <v>206</v>
      </c>
    </row>
    <row r="27" customFormat="false" ht="15" hidden="false" customHeight="true" outlineLevel="0" collapsed="false">
      <c r="A27" s="38" t="s">
        <v>216</v>
      </c>
      <c r="B27" s="39" t="n">
        <v>46109</v>
      </c>
      <c r="C27" s="38" t="str">
        <f aca="false">TRIM(PROPER(P27))</f>
        <v>Trisha Reddy</v>
      </c>
      <c r="D27" s="38" t="s">
        <v>139</v>
      </c>
      <c r="E27" s="38" t="s">
        <v>120</v>
      </c>
      <c r="F27" s="40" t="n">
        <v>1</v>
      </c>
      <c r="G27" s="41" t="n">
        <v>110</v>
      </c>
      <c r="H27" s="38" t="s">
        <v>123</v>
      </c>
      <c r="I27" s="38" t="str">
        <f aca="false">TRIM(PROPER(Q27))</f>
        <v>Pune</v>
      </c>
      <c r="J27" s="38" t="str">
        <f aca="false">TRIM(PROPER(R27))</f>
        <v>Cancelled</v>
      </c>
      <c r="K27" s="41" t="n">
        <f aca="false">IF(N27="",F27*G27,0)</f>
        <v>110</v>
      </c>
      <c r="L27" s="42" t="str">
        <f aca="false">IF(N27&lt;&gt;"","",IF(F27&gt;=3,"Bulk (3+ items)","Regular"))</f>
        <v>Regular</v>
      </c>
      <c r="M27" s="42" t="str">
        <f aca="false">IF(J27="Completed","Yes","No")</f>
        <v>No</v>
      </c>
      <c r="N27" s="42" t="str">
        <f aca="false">IF(F27="","Quantity missing",IF(F27&lt;=0,"Quantity invalid",IF(G27="","Price missing","")))</f>
        <v/>
      </c>
      <c r="O27" s="38"/>
      <c r="P27" s="43" t="s">
        <v>162</v>
      </c>
      <c r="Q27" s="43" t="s">
        <v>178</v>
      </c>
      <c r="R27" s="43" t="s">
        <v>105</v>
      </c>
    </row>
    <row r="28" customFormat="false" ht="15" hidden="false" customHeight="true" outlineLevel="0" collapsed="false">
      <c r="A28" s="38" t="s">
        <v>217</v>
      </c>
      <c r="B28" s="39" t="n">
        <v>46088</v>
      </c>
      <c r="C28" s="38" t="str">
        <f aca="false">TRIM(PROPER(P28))</f>
        <v>Trisha Reddy</v>
      </c>
      <c r="D28" s="38" t="s">
        <v>180</v>
      </c>
      <c r="E28" s="38" t="s">
        <v>118</v>
      </c>
      <c r="F28" s="40" t="n">
        <v>1</v>
      </c>
      <c r="G28" s="41" t="n">
        <v>210</v>
      </c>
      <c r="H28" s="38" t="s">
        <v>119</v>
      </c>
      <c r="I28" s="38" t="str">
        <f aca="false">TRIM(PROPER(Q28))</f>
        <v>Mumbai</v>
      </c>
      <c r="J28" s="38" t="str">
        <f aca="false">TRIM(PROPER(R28))</f>
        <v>Cancelled</v>
      </c>
      <c r="K28" s="41" t="n">
        <f aca="false">IF(N28="",F28*G28,0)</f>
        <v>210</v>
      </c>
      <c r="L28" s="42" t="str">
        <f aca="false">IF(N28&lt;&gt;"","",IF(F28&gt;=3,"Bulk (3+ items)","Regular"))</f>
        <v>Regular</v>
      </c>
      <c r="M28" s="42" t="str">
        <f aca="false">IF(J28="Completed","Yes","No")</f>
        <v>No</v>
      </c>
      <c r="N28" s="42" t="str">
        <f aca="false">IF(F28="","Quantity missing",IF(F28&lt;=0,"Quantity invalid",IF(G28="","Price missing","")))</f>
        <v/>
      </c>
      <c r="O28" s="38"/>
      <c r="P28" s="43" t="s">
        <v>162</v>
      </c>
      <c r="Q28" s="43" t="s">
        <v>108</v>
      </c>
      <c r="R28" s="43" t="s">
        <v>147</v>
      </c>
    </row>
    <row r="29" customFormat="false" ht="15" hidden="false" customHeight="true" outlineLevel="0" collapsed="false">
      <c r="A29" s="38" t="s">
        <v>218</v>
      </c>
      <c r="B29" s="39" t="n">
        <v>46088</v>
      </c>
      <c r="C29" s="38" t="str">
        <f aca="false">TRIM(PROPER(P29))</f>
        <v>Kunal Verma</v>
      </c>
      <c r="D29" s="38" t="s">
        <v>172</v>
      </c>
      <c r="E29" s="38" t="s">
        <v>120</v>
      </c>
      <c r="F29" s="40" t="n">
        <v>1</v>
      </c>
      <c r="G29" s="41" t="n">
        <v>140</v>
      </c>
      <c r="H29" s="38" t="s">
        <v>123</v>
      </c>
      <c r="I29" s="38" t="str">
        <f aca="false">TRIM(PROPER(Q29))</f>
        <v>Delhi</v>
      </c>
      <c r="J29" s="38" t="str">
        <f aca="false">TRIM(PROPER(R29))</f>
        <v>Completed</v>
      </c>
      <c r="K29" s="41" t="n">
        <f aca="false">IF(N29="",F29*G29,0)</f>
        <v>140</v>
      </c>
      <c r="L29" s="42" t="str">
        <f aca="false">IF(N29&lt;&gt;"","",IF(F29&gt;=3,"Bulk (3+ items)","Regular"))</f>
        <v>Regular</v>
      </c>
      <c r="M29" s="42" t="str">
        <f aca="false">IF(J29="Completed","Yes","No")</f>
        <v>Yes</v>
      </c>
      <c r="N29" s="42" t="str">
        <f aca="false">IF(F29="","Quantity missing",IF(F29&lt;=0,"Quantity invalid",IF(G29="","Price missing","")))</f>
        <v/>
      </c>
      <c r="O29" s="38"/>
      <c r="P29" s="43" t="s">
        <v>219</v>
      </c>
      <c r="Q29" s="43" t="s">
        <v>106</v>
      </c>
      <c r="R29" s="43" t="s">
        <v>103</v>
      </c>
    </row>
    <row r="30" customFormat="false" ht="15" hidden="false" customHeight="true" outlineLevel="0" collapsed="false">
      <c r="A30" s="38" t="s">
        <v>220</v>
      </c>
      <c r="B30" s="39" t="n">
        <v>46084</v>
      </c>
      <c r="C30" s="38" t="str">
        <f aca="false">TRIM(PROPER(P30))</f>
        <v>Sahil Kapoor</v>
      </c>
      <c r="D30" s="38" t="s">
        <v>154</v>
      </c>
      <c r="E30" s="38" t="s">
        <v>122</v>
      </c>
      <c r="F30" s="40" t="n">
        <v>3</v>
      </c>
      <c r="G30" s="41" t="n">
        <v>220</v>
      </c>
      <c r="H30" s="38" t="s">
        <v>119</v>
      </c>
      <c r="I30" s="38" t="str">
        <f aca="false">TRIM(PROPER(Q30))</f>
        <v>Delhi</v>
      </c>
      <c r="J30" s="38" t="str">
        <f aca="false">TRIM(PROPER(R30))</f>
        <v>Completed</v>
      </c>
      <c r="K30" s="41" t="n">
        <f aca="false">IF(N30="",F30*G30,0)</f>
        <v>660</v>
      </c>
      <c r="L30" s="42" t="str">
        <f aca="false">IF(N30&lt;&gt;"","",IF(F30&gt;=3,"Bulk (3+ items)","Regular"))</f>
        <v>Bulk (3+ items)</v>
      </c>
      <c r="M30" s="42" t="str">
        <f aca="false">IF(J30="Completed","Yes","No")</f>
        <v>Yes</v>
      </c>
      <c r="N30" s="42" t="str">
        <f aca="false">IF(F30="","Quantity missing",IF(F30&lt;=0,"Quantity invalid",IF(G30="","Price missing","")))</f>
        <v/>
      </c>
      <c r="O30" s="38"/>
      <c r="P30" s="43" t="s">
        <v>221</v>
      </c>
      <c r="Q30" s="43" t="s">
        <v>166</v>
      </c>
      <c r="R30" s="43" t="s">
        <v>103</v>
      </c>
    </row>
    <row r="31" customFormat="false" ht="15" hidden="false" customHeight="true" outlineLevel="0" collapsed="false">
      <c r="A31" s="38" t="s">
        <v>222</v>
      </c>
      <c r="B31" s="39" t="n">
        <v>46088</v>
      </c>
      <c r="C31" s="38" t="str">
        <f aca="false">TRIM(PROPER(P31))</f>
        <v>Ritika Shah</v>
      </c>
      <c r="D31" s="38" t="s">
        <v>150</v>
      </c>
      <c r="E31" s="38" t="s">
        <v>118</v>
      </c>
      <c r="F31" s="40" t="n">
        <v>1</v>
      </c>
      <c r="G31" s="41" t="n">
        <v>120</v>
      </c>
      <c r="H31" s="38" t="s">
        <v>123</v>
      </c>
      <c r="I31" s="38" t="str">
        <f aca="false">TRIM(PROPER(Q31))</f>
        <v>Bengaluru</v>
      </c>
      <c r="J31" s="38" t="str">
        <f aca="false">TRIM(PROPER(R31))</f>
        <v>Completed</v>
      </c>
      <c r="K31" s="41" t="n">
        <f aca="false">IF(N31="",F31*G31,0)</f>
        <v>120</v>
      </c>
      <c r="L31" s="42" t="str">
        <f aca="false">IF(N31&lt;&gt;"","",IF(F31&gt;=3,"Bulk (3+ items)","Regular"))</f>
        <v>Regular</v>
      </c>
      <c r="M31" s="42" t="str">
        <f aca="false">IF(J31="Completed","Yes","No")</f>
        <v>Yes</v>
      </c>
      <c r="N31" s="42" t="str">
        <f aca="false">IF(F31="","Quantity missing",IF(F31&lt;=0,"Quantity invalid",IF(G31="","Price missing","")))</f>
        <v/>
      </c>
      <c r="O31" s="38"/>
      <c r="P31" s="43" t="s">
        <v>223</v>
      </c>
      <c r="Q31" s="43" t="s">
        <v>156</v>
      </c>
      <c r="R31" s="43" t="s">
        <v>206</v>
      </c>
    </row>
    <row r="32" customFormat="false" ht="15" hidden="false" customHeight="true" outlineLevel="0" collapsed="false">
      <c r="A32" s="38" t="s">
        <v>224</v>
      </c>
      <c r="B32" s="39" t="n">
        <v>46102</v>
      </c>
      <c r="C32" s="38" t="str">
        <f aca="false">TRIM(PROPER(P32))</f>
        <v>Ananya Iyer</v>
      </c>
      <c r="D32" s="38" t="s">
        <v>202</v>
      </c>
      <c r="E32" s="38" t="s">
        <v>120</v>
      </c>
      <c r="F32" s="40" t="n">
        <v>2</v>
      </c>
      <c r="G32" s="41" t="n">
        <v>150</v>
      </c>
      <c r="H32" s="38" t="s">
        <v>123</v>
      </c>
      <c r="I32" s="38" t="str">
        <f aca="false">TRIM(PROPER(Q32))</f>
        <v>Pune</v>
      </c>
      <c r="J32" s="38" t="str">
        <f aca="false">TRIM(PROPER(R32))</f>
        <v>Completed</v>
      </c>
      <c r="K32" s="41" t="n">
        <f aca="false">IF(N32="",F32*G32,0)</f>
        <v>300</v>
      </c>
      <c r="L32" s="42" t="str">
        <f aca="false">IF(N32&lt;&gt;"","",IF(F32&gt;=3,"Bulk (3+ items)","Regular"))</f>
        <v>Regular</v>
      </c>
      <c r="M32" s="42" t="str">
        <f aca="false">IF(J32="Completed","Yes","No")</f>
        <v>Yes</v>
      </c>
      <c r="N32" s="42" t="str">
        <f aca="false">IF(F32="","Quantity missing",IF(F32&lt;=0,"Quantity invalid",IF(G32="","Price missing","")))</f>
        <v/>
      </c>
      <c r="O32" s="38"/>
      <c r="P32" s="43" t="s">
        <v>173</v>
      </c>
      <c r="Q32" s="43" t="s">
        <v>110</v>
      </c>
      <c r="R32" s="43" t="s">
        <v>103</v>
      </c>
    </row>
    <row r="33" customFormat="false" ht="15" hidden="false" customHeight="true" outlineLevel="0" collapsed="false">
      <c r="A33" s="38" t="s">
        <v>225</v>
      </c>
      <c r="B33" s="39" t="n">
        <v>46088</v>
      </c>
      <c r="C33" s="38" t="str">
        <f aca="false">TRIM(PROPER(P33))</f>
        <v>Ananya Iyer</v>
      </c>
      <c r="D33" s="38" t="s">
        <v>164</v>
      </c>
      <c r="E33" s="38" t="s">
        <v>118</v>
      </c>
      <c r="F33" s="40" t="n">
        <v>2</v>
      </c>
      <c r="G33" s="41" t="n">
        <v>160</v>
      </c>
      <c r="H33" s="38" t="s">
        <v>119</v>
      </c>
      <c r="I33" s="38" t="str">
        <f aca="false">TRIM(PROPER(Q33))</f>
        <v>Pune</v>
      </c>
      <c r="J33" s="38" t="str">
        <f aca="false">TRIM(PROPER(R33))</f>
        <v>Completed</v>
      </c>
      <c r="K33" s="41" t="n">
        <f aca="false">IF(N33="",F33*G33,0)</f>
        <v>320</v>
      </c>
      <c r="L33" s="42" t="str">
        <f aca="false">IF(N33&lt;&gt;"","",IF(F33&gt;=3,"Bulk (3+ items)","Regular"))</f>
        <v>Regular</v>
      </c>
      <c r="M33" s="42" t="str">
        <f aca="false">IF(J33="Completed","Yes","No")</f>
        <v>Yes</v>
      </c>
      <c r="N33" s="42" t="str">
        <f aca="false">IF(F33="","Quantity missing",IF(F33&lt;=0,"Quantity invalid",IF(G33="","Price missing","")))</f>
        <v/>
      </c>
      <c r="O33" s="38"/>
      <c r="P33" s="43" t="s">
        <v>173</v>
      </c>
      <c r="Q33" s="43" t="s">
        <v>194</v>
      </c>
      <c r="R33" s="43" t="s">
        <v>103</v>
      </c>
    </row>
    <row r="34" customFormat="false" ht="15" hidden="false" customHeight="true" outlineLevel="0" collapsed="false">
      <c r="A34" s="38" t="s">
        <v>226</v>
      </c>
      <c r="B34" s="39" t="n">
        <v>46083</v>
      </c>
      <c r="C34" s="38" t="str">
        <f aca="false">TRIM(PROPER(P34))</f>
        <v>Tushar Gill</v>
      </c>
      <c r="D34" s="38" t="s">
        <v>150</v>
      </c>
      <c r="E34" s="38" t="s">
        <v>118</v>
      </c>
      <c r="F34" s="40" t="n">
        <v>3</v>
      </c>
      <c r="G34" s="41" t="n">
        <v>120</v>
      </c>
      <c r="H34" s="38" t="s">
        <v>119</v>
      </c>
      <c r="I34" s="38" t="str">
        <f aca="false">TRIM(PROPER(Q34))</f>
        <v>Bengaluru</v>
      </c>
      <c r="J34" s="38" t="str">
        <f aca="false">TRIM(PROPER(R34))</f>
        <v>Cancelled</v>
      </c>
      <c r="K34" s="41" t="n">
        <f aca="false">IF(N34="",F34*G34,0)</f>
        <v>360</v>
      </c>
      <c r="L34" s="42" t="str">
        <f aca="false">IF(N34&lt;&gt;"","",IF(F34&gt;=3,"Bulk (3+ items)","Regular"))</f>
        <v>Bulk (3+ items)</v>
      </c>
      <c r="M34" s="42" t="str">
        <f aca="false">IF(J34="Completed","Yes","No")</f>
        <v>No</v>
      </c>
      <c r="N34" s="42" t="str">
        <f aca="false">IF(F34="","Quantity missing",IF(F34&lt;=0,"Quantity invalid",IF(G34="","Price missing","")))</f>
        <v/>
      </c>
      <c r="O34" s="38"/>
      <c r="P34" s="43" t="s">
        <v>227</v>
      </c>
      <c r="Q34" s="43" t="s">
        <v>102</v>
      </c>
      <c r="R34" s="43" t="s">
        <v>147</v>
      </c>
    </row>
    <row r="35" customFormat="false" ht="15" hidden="false" customHeight="true" outlineLevel="0" collapsed="false">
      <c r="A35" s="38" t="s">
        <v>228</v>
      </c>
      <c r="B35" s="39" t="n">
        <v>46099</v>
      </c>
      <c r="C35" s="38" t="str">
        <f aca="false">TRIM(PROPER(P35))</f>
        <v>Trisha Reddy</v>
      </c>
      <c r="D35" s="38" t="s">
        <v>139</v>
      </c>
      <c r="E35" s="38" t="s">
        <v>120</v>
      </c>
      <c r="F35" s="40" t="n">
        <v>1</v>
      </c>
      <c r="G35" s="41" t="n">
        <v>110</v>
      </c>
      <c r="H35" s="38" t="s">
        <v>119</v>
      </c>
      <c r="I35" s="38" t="str">
        <f aca="false">TRIM(PROPER(Q35))</f>
        <v>Pune</v>
      </c>
      <c r="J35" s="38" t="str">
        <f aca="false">TRIM(PROPER(R35))</f>
        <v>Completed</v>
      </c>
      <c r="K35" s="41" t="n">
        <f aca="false">IF(N35="",F35*G35,0)</f>
        <v>110</v>
      </c>
      <c r="L35" s="42" t="str">
        <f aca="false">IF(N35&lt;&gt;"","",IF(F35&gt;=3,"Bulk (3+ items)","Regular"))</f>
        <v>Regular</v>
      </c>
      <c r="M35" s="42" t="str">
        <f aca="false">IF(J35="Completed","Yes","No")</f>
        <v>Yes</v>
      </c>
      <c r="N35" s="42" t="str">
        <f aca="false">IF(F35="","Quantity missing",IF(F35&lt;=0,"Quantity invalid",IF(G35="","Price missing","")))</f>
        <v/>
      </c>
      <c r="O35" s="38"/>
      <c r="P35" s="43" t="s">
        <v>162</v>
      </c>
      <c r="Q35" s="43" t="s">
        <v>215</v>
      </c>
      <c r="R35" s="43" t="s">
        <v>209</v>
      </c>
    </row>
    <row r="36" customFormat="false" ht="15" hidden="false" customHeight="true" outlineLevel="0" collapsed="false">
      <c r="A36" s="38" t="s">
        <v>229</v>
      </c>
      <c r="B36" s="39" t="n">
        <v>46098</v>
      </c>
      <c r="C36" s="38" t="str">
        <f aca="false">TRIM(PROPER(P36))</f>
        <v>Om Prakash</v>
      </c>
      <c r="D36" s="38" t="s">
        <v>154</v>
      </c>
      <c r="E36" s="38" t="s">
        <v>122</v>
      </c>
      <c r="F36" s="40" t="n">
        <v>1</v>
      </c>
      <c r="G36" s="41" t="n">
        <v>220</v>
      </c>
      <c r="H36" s="38" t="s">
        <v>123</v>
      </c>
      <c r="I36" s="38" t="str">
        <f aca="false">TRIM(PROPER(Q36))</f>
        <v>Chennai</v>
      </c>
      <c r="J36" s="38" t="str">
        <f aca="false">TRIM(PROPER(R36))</f>
        <v>Completed</v>
      </c>
      <c r="K36" s="41" t="n">
        <f aca="false">IF(N36="",F36*G36,0)</f>
        <v>220</v>
      </c>
      <c r="L36" s="42" t="str">
        <f aca="false">IF(N36&lt;&gt;"","",IF(F36&gt;=3,"Bulk (3+ items)","Regular"))</f>
        <v>Regular</v>
      </c>
      <c r="M36" s="42" t="str">
        <f aca="false">IF(J36="Completed","Yes","No")</f>
        <v>Yes</v>
      </c>
      <c r="N36" s="42" t="str">
        <f aca="false">IF(F36="","Quantity missing",IF(F36&lt;=0,"Quantity invalid",IF(G36="","Price missing","")))</f>
        <v/>
      </c>
      <c r="O36" s="38"/>
      <c r="P36" s="43" t="s">
        <v>160</v>
      </c>
      <c r="Q36" s="43" t="s">
        <v>230</v>
      </c>
      <c r="R36" s="43" t="s">
        <v>206</v>
      </c>
    </row>
    <row r="37" customFormat="false" ht="15" hidden="false" customHeight="true" outlineLevel="0" collapsed="false">
      <c r="A37" s="38" t="s">
        <v>231</v>
      </c>
      <c r="B37" s="39" t="n">
        <v>46083</v>
      </c>
      <c r="C37" s="38" t="str">
        <f aca="false">TRIM(PROPER(P37))</f>
        <v>Tushar Gill</v>
      </c>
      <c r="D37" s="38" t="s">
        <v>150</v>
      </c>
      <c r="E37" s="38" t="s">
        <v>118</v>
      </c>
      <c r="F37" s="40" t="n">
        <v>4</v>
      </c>
      <c r="G37" s="41" t="n">
        <v>120</v>
      </c>
      <c r="H37" s="38" t="s">
        <v>119</v>
      </c>
      <c r="I37" s="38" t="str">
        <f aca="false">TRIM(PROPER(Q37))</f>
        <v>Mumbai</v>
      </c>
      <c r="J37" s="38" t="str">
        <f aca="false">TRIM(PROPER(R37))</f>
        <v>Completed</v>
      </c>
      <c r="K37" s="41" t="n">
        <f aca="false">IF(N37="",F37*G37,0)</f>
        <v>480</v>
      </c>
      <c r="L37" s="42" t="str">
        <f aca="false">IF(N37&lt;&gt;"","",IF(F37&gt;=3,"Bulk (3+ items)","Regular"))</f>
        <v>Bulk (3+ items)</v>
      </c>
      <c r="M37" s="42" t="str">
        <f aca="false">IF(J37="Completed","Yes","No")</f>
        <v>Yes</v>
      </c>
      <c r="N37" s="42" t="str">
        <f aca="false">IF(F37="","Quantity missing",IF(F37&lt;=0,"Quantity invalid",IF(G37="","Price missing","")))</f>
        <v/>
      </c>
      <c r="O37" s="38"/>
      <c r="P37" s="43" t="s">
        <v>232</v>
      </c>
      <c r="Q37" s="43" t="s">
        <v>108</v>
      </c>
      <c r="R37" s="43" t="s">
        <v>170</v>
      </c>
    </row>
    <row r="38" customFormat="false" ht="15" hidden="false" customHeight="true" outlineLevel="0" collapsed="false">
      <c r="A38" s="38" t="s">
        <v>233</v>
      </c>
      <c r="B38" s="39" t="n">
        <v>46090</v>
      </c>
      <c r="C38" s="38" t="str">
        <f aca="false">TRIM(PROPER(P38))</f>
        <v>Devansh Rao</v>
      </c>
      <c r="D38" s="38" t="s">
        <v>154</v>
      </c>
      <c r="E38" s="38" t="s">
        <v>122</v>
      </c>
      <c r="F38" s="40" t="n">
        <v>4</v>
      </c>
      <c r="G38" s="41" t="n">
        <v>220</v>
      </c>
      <c r="H38" s="38" t="s">
        <v>121</v>
      </c>
      <c r="I38" s="38" t="str">
        <f aca="false">TRIM(PROPER(Q38))</f>
        <v>Pune</v>
      </c>
      <c r="J38" s="38" t="str">
        <f aca="false">TRIM(PROPER(R38))</f>
        <v>Completed</v>
      </c>
      <c r="K38" s="41" t="n">
        <f aca="false">IF(N38="",F38*G38,0)</f>
        <v>880</v>
      </c>
      <c r="L38" s="42" t="str">
        <f aca="false">IF(N38&lt;&gt;"","",IF(F38&gt;=3,"Bulk (3+ items)","Regular"))</f>
        <v>Bulk (3+ items)</v>
      </c>
      <c r="M38" s="42" t="str">
        <f aca="false">IF(J38="Completed","Yes","No")</f>
        <v>Yes</v>
      </c>
      <c r="N38" s="42" t="str">
        <f aca="false">IF(F38="","Quantity missing",IF(F38&lt;=0,"Quantity invalid",IF(G38="","Price missing","")))</f>
        <v/>
      </c>
      <c r="O38" s="38"/>
      <c r="P38" s="43" t="s">
        <v>234</v>
      </c>
      <c r="Q38" s="43" t="s">
        <v>194</v>
      </c>
      <c r="R38" s="43" t="s">
        <v>103</v>
      </c>
    </row>
    <row r="39" customFormat="false" ht="15" hidden="false" customHeight="true" outlineLevel="0" collapsed="false">
      <c r="A39" s="38" t="s">
        <v>235</v>
      </c>
      <c r="B39" s="39" t="n">
        <v>46109</v>
      </c>
      <c r="C39" s="38" t="str">
        <f aca="false">TRIM(PROPER(P39))</f>
        <v>Sahil Kapoor</v>
      </c>
      <c r="D39" s="38" t="s">
        <v>159</v>
      </c>
      <c r="E39" s="38" t="s">
        <v>118</v>
      </c>
      <c r="F39" s="40" t="n">
        <v>3</v>
      </c>
      <c r="G39" s="41" t="n">
        <v>190</v>
      </c>
      <c r="H39" s="38" t="s">
        <v>121</v>
      </c>
      <c r="I39" s="38" t="str">
        <f aca="false">TRIM(PROPER(Q39))</f>
        <v>Mumbai</v>
      </c>
      <c r="J39" s="38" t="str">
        <f aca="false">TRIM(PROPER(R39))</f>
        <v>Completed</v>
      </c>
      <c r="K39" s="41" t="n">
        <f aca="false">IF(N39="",F39*G39,0)</f>
        <v>570</v>
      </c>
      <c r="L39" s="42" t="str">
        <f aca="false">IF(N39&lt;&gt;"","",IF(F39&gt;=3,"Bulk (3+ items)","Regular"))</f>
        <v>Bulk (3+ items)</v>
      </c>
      <c r="M39" s="42" t="str">
        <f aca="false">IF(J39="Completed","Yes","No")</f>
        <v>Yes</v>
      </c>
      <c r="N39" s="42" t="str">
        <f aca="false">IF(F39="","Quantity missing",IF(F39&lt;=0,"Quantity invalid",IF(G39="","Price missing","")))</f>
        <v/>
      </c>
      <c r="O39" s="38"/>
      <c r="P39" s="43" t="s">
        <v>236</v>
      </c>
      <c r="Q39" s="43" t="s">
        <v>190</v>
      </c>
      <c r="R39" s="43" t="s">
        <v>103</v>
      </c>
    </row>
    <row r="40" customFormat="false" ht="15" hidden="false" customHeight="true" outlineLevel="0" collapsed="false">
      <c r="A40" s="38" t="s">
        <v>237</v>
      </c>
      <c r="B40" s="39" t="n">
        <v>46089</v>
      </c>
      <c r="C40" s="38" t="str">
        <f aca="false">TRIM(PROPER(P40))</f>
        <v>Ritika Shah</v>
      </c>
      <c r="D40" s="38" t="s">
        <v>238</v>
      </c>
      <c r="E40" s="38" t="s">
        <v>118</v>
      </c>
      <c r="F40" s="40" t="n">
        <v>1</v>
      </c>
      <c r="G40" s="41" t="n">
        <v>200</v>
      </c>
      <c r="H40" s="38" t="s">
        <v>121</v>
      </c>
      <c r="I40" s="38" t="str">
        <f aca="false">TRIM(PROPER(Q40))</f>
        <v>Bengaluru</v>
      </c>
      <c r="J40" s="38" t="str">
        <f aca="false">TRIM(PROPER(R40))</f>
        <v>Cancelled</v>
      </c>
      <c r="K40" s="41" t="n">
        <f aca="false">IF(N40="",F40*G40,0)</f>
        <v>200</v>
      </c>
      <c r="L40" s="42" t="str">
        <f aca="false">IF(N40&lt;&gt;"","",IF(F40&gt;=3,"Bulk (3+ items)","Regular"))</f>
        <v>Regular</v>
      </c>
      <c r="M40" s="42" t="str">
        <f aca="false">IF(J40="Completed","Yes","No")</f>
        <v>No</v>
      </c>
      <c r="N40" s="42" t="str">
        <f aca="false">IF(F40="","Quantity missing",IF(F40&lt;=0,"Quantity invalid",IF(G40="","Price missing","")))</f>
        <v/>
      </c>
      <c r="O40" s="38"/>
      <c r="P40" s="43" t="s">
        <v>181</v>
      </c>
      <c r="Q40" s="43" t="s">
        <v>197</v>
      </c>
      <c r="R40" s="43" t="s">
        <v>147</v>
      </c>
    </row>
    <row r="41" customFormat="false" ht="15" hidden="false" customHeight="true" outlineLevel="0" collapsed="false">
      <c r="A41" s="38" t="s">
        <v>239</v>
      </c>
      <c r="B41" s="39" t="n">
        <v>46083</v>
      </c>
      <c r="C41" s="38" t="str">
        <f aca="false">TRIM(PROPER(P41))</f>
        <v>Kunal Verma</v>
      </c>
      <c r="D41" s="38" t="s">
        <v>139</v>
      </c>
      <c r="E41" s="38" t="s">
        <v>120</v>
      </c>
      <c r="F41" s="40" t="n">
        <v>-1</v>
      </c>
      <c r="G41" s="41" t="n">
        <v>110</v>
      </c>
      <c r="H41" s="38" t="s">
        <v>119</v>
      </c>
      <c r="I41" s="38" t="str">
        <f aca="false">TRIM(PROPER(Q41))</f>
        <v>Pune</v>
      </c>
      <c r="J41" s="38" t="str">
        <f aca="false">TRIM(PROPER(R41))</f>
        <v>Refunded</v>
      </c>
      <c r="K41" s="41" t="n">
        <f aca="false">IF(N41="",F41*G41,0)</f>
        <v>0</v>
      </c>
      <c r="L41" s="42" t="str">
        <f aca="false">IF(N41&lt;&gt;"","",IF(F41&gt;=3,"Bulk (3+ items)","Regular"))</f>
        <v/>
      </c>
      <c r="M41" s="42" t="str">
        <f aca="false">IF(J41="Completed","Yes","No")</f>
        <v>No</v>
      </c>
      <c r="N41" s="42" t="str">
        <f aca="false">IF(F41="","Quantity missing",IF(F41&lt;=0,"Quantity invalid",IF(G41="","Price missing","")))</f>
        <v>Quantity invalid</v>
      </c>
      <c r="O41" s="38"/>
      <c r="P41" s="43" t="s">
        <v>168</v>
      </c>
      <c r="Q41" s="43" t="s">
        <v>110</v>
      </c>
      <c r="R41" s="43" t="s">
        <v>107</v>
      </c>
    </row>
    <row r="42" customFormat="false" ht="15" hidden="false" customHeight="true" outlineLevel="0" collapsed="false">
      <c r="A42" s="38" t="s">
        <v>240</v>
      </c>
      <c r="B42" s="39" t="n">
        <v>46095</v>
      </c>
      <c r="C42" s="38" t="str">
        <f aca="false">TRIM(PROPER(P42))</f>
        <v>Kunal Verma</v>
      </c>
      <c r="D42" s="38" t="s">
        <v>172</v>
      </c>
      <c r="E42" s="38" t="s">
        <v>120</v>
      </c>
      <c r="F42" s="40" t="n">
        <v>2</v>
      </c>
      <c r="G42" s="41" t="n">
        <v>140</v>
      </c>
      <c r="H42" s="38" t="s">
        <v>123</v>
      </c>
      <c r="I42" s="38" t="str">
        <f aca="false">TRIM(PROPER(Q42))</f>
        <v>Mumbai</v>
      </c>
      <c r="J42" s="38" t="str">
        <f aca="false">TRIM(PROPER(R42))</f>
        <v>Completed</v>
      </c>
      <c r="K42" s="41" t="n">
        <f aca="false">IF(N42="",F42*G42,0)</f>
        <v>280</v>
      </c>
      <c r="L42" s="42" t="str">
        <f aca="false">IF(N42&lt;&gt;"","",IF(F42&gt;=3,"Bulk (3+ items)","Regular"))</f>
        <v>Regular</v>
      </c>
      <c r="M42" s="42" t="str">
        <f aca="false">IF(J42="Completed","Yes","No")</f>
        <v>Yes</v>
      </c>
      <c r="N42" s="42" t="str">
        <f aca="false">IF(F42="","Quantity missing",IF(F42&lt;=0,"Quantity invalid",IF(G42="","Price missing","")))</f>
        <v/>
      </c>
      <c r="O42" s="38"/>
      <c r="P42" s="43" t="s">
        <v>168</v>
      </c>
      <c r="Q42" s="43" t="s">
        <v>174</v>
      </c>
      <c r="R42" s="43" t="s">
        <v>103</v>
      </c>
    </row>
    <row r="43" customFormat="false" ht="15" hidden="false" customHeight="true" outlineLevel="0" collapsed="false">
      <c r="A43" s="38" t="s">
        <v>241</v>
      </c>
      <c r="B43" s="39" t="n">
        <v>46099</v>
      </c>
      <c r="C43" s="38" t="str">
        <f aca="false">TRIM(PROPER(P43))</f>
        <v>Ira Menon</v>
      </c>
      <c r="D43" s="38" t="s">
        <v>202</v>
      </c>
      <c r="E43" s="38" t="s">
        <v>120</v>
      </c>
      <c r="F43" s="40" t="n">
        <v>3</v>
      </c>
      <c r="G43" s="41" t="n">
        <v>150</v>
      </c>
      <c r="H43" s="38" t="s">
        <v>123</v>
      </c>
      <c r="I43" s="38" t="str">
        <f aca="false">TRIM(PROPER(Q43))</f>
        <v>Delhi</v>
      </c>
      <c r="J43" s="38" t="str">
        <f aca="false">TRIM(PROPER(R43))</f>
        <v>Completed</v>
      </c>
      <c r="K43" s="41" t="n">
        <f aca="false">IF(N43="",F43*G43,0)</f>
        <v>450</v>
      </c>
      <c r="L43" s="42" t="str">
        <f aca="false">IF(N43&lt;&gt;"","",IF(F43&gt;=3,"Bulk (3+ items)","Regular"))</f>
        <v>Bulk (3+ items)</v>
      </c>
      <c r="M43" s="42" t="str">
        <f aca="false">IF(J43="Completed","Yes","No")</f>
        <v>Yes</v>
      </c>
      <c r="N43" s="42" t="str">
        <f aca="false">IF(F43="","Quantity missing",IF(F43&lt;=0,"Quantity invalid",IF(G43="","Price missing","")))</f>
        <v/>
      </c>
      <c r="O43" s="38"/>
      <c r="P43" s="43" t="s">
        <v>155</v>
      </c>
      <c r="Q43" s="43" t="s">
        <v>106</v>
      </c>
      <c r="R43" s="43" t="s">
        <v>209</v>
      </c>
    </row>
    <row r="44" customFormat="false" ht="15" hidden="false" customHeight="true" outlineLevel="0" collapsed="false">
      <c r="A44" s="38" t="s">
        <v>242</v>
      </c>
      <c r="B44" s="39" t="n">
        <v>46097</v>
      </c>
      <c r="C44" s="38" t="str">
        <f aca="false">TRIM(PROPER(P44))</f>
        <v>Simran Kaur</v>
      </c>
      <c r="D44" s="38" t="s">
        <v>139</v>
      </c>
      <c r="E44" s="38" t="s">
        <v>120</v>
      </c>
      <c r="F44" s="40" t="n">
        <v>2</v>
      </c>
      <c r="G44" s="41" t="n">
        <v>110</v>
      </c>
      <c r="H44" s="38" t="s">
        <v>121</v>
      </c>
      <c r="I44" s="38" t="str">
        <f aca="false">TRIM(PROPER(Q44))</f>
        <v>Bengaluru</v>
      </c>
      <c r="J44" s="38" t="str">
        <f aca="false">TRIM(PROPER(R44))</f>
        <v>Completed</v>
      </c>
      <c r="K44" s="41" t="n">
        <f aca="false">IF(N44="",F44*G44,0)</f>
        <v>220</v>
      </c>
      <c r="L44" s="42" t="str">
        <f aca="false">IF(N44&lt;&gt;"","",IF(F44&gt;=3,"Bulk (3+ items)","Regular"))</f>
        <v>Regular</v>
      </c>
      <c r="M44" s="42" t="str">
        <f aca="false">IF(J44="Completed","Yes","No")</f>
        <v>Yes</v>
      </c>
      <c r="N44" s="42" t="str">
        <f aca="false">IF(F44="","Quantity missing",IF(F44&lt;=0,"Quantity invalid",IF(G44="","Price missing","")))</f>
        <v/>
      </c>
      <c r="O44" s="38"/>
      <c r="P44" s="43" t="s">
        <v>213</v>
      </c>
      <c r="Q44" s="43" t="s">
        <v>102</v>
      </c>
      <c r="R44" s="43" t="s">
        <v>206</v>
      </c>
    </row>
    <row r="45" customFormat="false" ht="15" hidden="false" customHeight="true" outlineLevel="0" collapsed="false">
      <c r="A45" s="38" t="s">
        <v>243</v>
      </c>
      <c r="B45" s="39" t="n">
        <v>46102</v>
      </c>
      <c r="C45" s="38" t="str">
        <f aca="false">TRIM(PROPER(P45))</f>
        <v>Ira Menon</v>
      </c>
      <c r="D45" s="38" t="s">
        <v>202</v>
      </c>
      <c r="E45" s="38" t="s">
        <v>120</v>
      </c>
      <c r="F45" s="40" t="n">
        <v>2</v>
      </c>
      <c r="G45" s="41" t="n">
        <v>150</v>
      </c>
      <c r="H45" s="38" t="s">
        <v>121</v>
      </c>
      <c r="I45" s="38" t="str">
        <f aca="false">TRIM(PROPER(Q45))</f>
        <v>Bengaluru</v>
      </c>
      <c r="J45" s="38" t="str">
        <f aca="false">TRIM(PROPER(R45))</f>
        <v>Completed</v>
      </c>
      <c r="K45" s="41" t="n">
        <f aca="false">IF(N45="",F45*G45,0)</f>
        <v>300</v>
      </c>
      <c r="L45" s="42" t="str">
        <f aca="false">IF(N45&lt;&gt;"","",IF(F45&gt;=3,"Bulk (3+ items)","Regular"))</f>
        <v>Regular</v>
      </c>
      <c r="M45" s="42" t="str">
        <f aca="false">IF(J45="Completed","Yes","No")</f>
        <v>Yes</v>
      </c>
      <c r="N45" s="42" t="str">
        <f aca="false">IF(F45="","Quantity missing",IF(F45&lt;=0,"Quantity invalid",IF(G45="","Price missing","")))</f>
        <v/>
      </c>
      <c r="O45" s="38"/>
      <c r="P45" s="43" t="s">
        <v>155</v>
      </c>
      <c r="Q45" s="43" t="s">
        <v>102</v>
      </c>
      <c r="R45" s="43" t="s">
        <v>103</v>
      </c>
    </row>
    <row r="46" customFormat="false" ht="15" hidden="false" customHeight="true" outlineLevel="0" collapsed="false">
      <c r="A46" s="38" t="s">
        <v>244</v>
      </c>
      <c r="B46" s="39" t="n">
        <v>46106</v>
      </c>
      <c r="C46" s="38" t="str">
        <f aca="false">TRIM(PROPER(P46))</f>
        <v>Aditya Joshi</v>
      </c>
      <c r="D46" s="38" t="s">
        <v>180</v>
      </c>
      <c r="E46" s="38" t="s">
        <v>118</v>
      </c>
      <c r="F46" s="40" t="n">
        <v>1</v>
      </c>
      <c r="G46" s="41" t="n">
        <v>210</v>
      </c>
      <c r="H46" s="38" t="s">
        <v>119</v>
      </c>
      <c r="I46" s="38" t="str">
        <f aca="false">TRIM(PROPER(Q46))</f>
        <v>Mumbai</v>
      </c>
      <c r="J46" s="38" t="str">
        <f aca="false">TRIM(PROPER(R46))</f>
        <v>Completed</v>
      </c>
      <c r="K46" s="41" t="n">
        <f aca="false">IF(N46="",F46*G46,0)</f>
        <v>210</v>
      </c>
      <c r="L46" s="42" t="str">
        <f aca="false">IF(N46&lt;&gt;"","",IF(F46&gt;=3,"Bulk (3+ items)","Regular"))</f>
        <v>Regular</v>
      </c>
      <c r="M46" s="42" t="str">
        <f aca="false">IF(J46="Completed","Yes","No")</f>
        <v>Yes</v>
      </c>
      <c r="N46" s="42" t="str">
        <f aca="false">IF(F46="","Quantity missing",IF(F46&lt;=0,"Quantity invalid",IF(G46="","Price missing","")))</f>
        <v/>
      </c>
      <c r="O46" s="38"/>
      <c r="P46" s="43" t="s">
        <v>245</v>
      </c>
      <c r="Q46" s="43" t="s">
        <v>108</v>
      </c>
      <c r="R46" s="43" t="s">
        <v>206</v>
      </c>
    </row>
    <row r="47" customFormat="false" ht="15" hidden="false" customHeight="true" outlineLevel="0" collapsed="false">
      <c r="A47" s="38" t="s">
        <v>246</v>
      </c>
      <c r="B47" s="39" t="n">
        <v>46087</v>
      </c>
      <c r="C47" s="38" t="str">
        <f aca="false">TRIM(PROPER(P47))</f>
        <v>Lavanya Nair</v>
      </c>
      <c r="D47" s="38" t="s">
        <v>154</v>
      </c>
      <c r="E47" s="38" t="s">
        <v>122</v>
      </c>
      <c r="F47" s="40" t="n">
        <v>2</v>
      </c>
      <c r="G47" s="41" t="n">
        <v>220</v>
      </c>
      <c r="H47" s="38" t="s">
        <v>119</v>
      </c>
      <c r="I47" s="38" t="str">
        <f aca="false">TRIM(PROPER(Q47))</f>
        <v>Delhi</v>
      </c>
      <c r="J47" s="38" t="str">
        <f aca="false">TRIM(PROPER(R47))</f>
        <v>Completed</v>
      </c>
      <c r="K47" s="41" t="n">
        <f aca="false">IF(N47="",F47*G47,0)</f>
        <v>440</v>
      </c>
      <c r="L47" s="42" t="str">
        <f aca="false">IF(N47&lt;&gt;"","",IF(F47&gt;=3,"Bulk (3+ items)","Regular"))</f>
        <v>Regular</v>
      </c>
      <c r="M47" s="42" t="str">
        <f aca="false">IF(J47="Completed","Yes","No")</f>
        <v>Yes</v>
      </c>
      <c r="N47" s="42" t="str">
        <f aca="false">IF(F47="","Quantity missing",IF(F47&lt;=0,"Quantity invalid",IF(G47="","Price missing","")))</f>
        <v/>
      </c>
      <c r="O47" s="38"/>
      <c r="P47" s="43" t="s">
        <v>247</v>
      </c>
      <c r="Q47" s="43" t="s">
        <v>199</v>
      </c>
      <c r="R47" s="43" t="s">
        <v>103</v>
      </c>
    </row>
    <row r="48" customFormat="false" ht="15" hidden="false" customHeight="true" outlineLevel="0" collapsed="false">
      <c r="A48" s="38" t="s">
        <v>248</v>
      </c>
      <c r="B48" s="39" t="n">
        <v>46104</v>
      </c>
      <c r="C48" s="38" t="str">
        <f aca="false">TRIM(PROPER(P48))</f>
        <v>Ira Menon</v>
      </c>
      <c r="D48" s="38" t="s">
        <v>192</v>
      </c>
      <c r="E48" s="38" t="s">
        <v>118</v>
      </c>
      <c r="F48" s="40" t="n">
        <v>2</v>
      </c>
      <c r="G48" s="41" t="n">
        <v>180</v>
      </c>
      <c r="H48" s="38" t="s">
        <v>121</v>
      </c>
      <c r="I48" s="38" t="str">
        <f aca="false">TRIM(PROPER(Q48))</f>
        <v>Bengaluru</v>
      </c>
      <c r="J48" s="38" t="str">
        <f aca="false">TRIM(PROPER(R48))</f>
        <v>Refunded</v>
      </c>
      <c r="K48" s="41" t="n">
        <f aca="false">IF(N48="",F48*G48,0)</f>
        <v>360</v>
      </c>
      <c r="L48" s="42" t="str">
        <f aca="false">IF(N48&lt;&gt;"","",IF(F48&gt;=3,"Bulk (3+ items)","Regular"))</f>
        <v>Regular</v>
      </c>
      <c r="M48" s="42" t="str">
        <f aca="false">IF(J48="Completed","Yes","No")</f>
        <v>No</v>
      </c>
      <c r="N48" s="42" t="str">
        <f aca="false">IF(F48="","Quantity missing",IF(F48&lt;=0,"Quantity invalid",IF(G48="","Price missing","")))</f>
        <v/>
      </c>
      <c r="O48" s="38"/>
      <c r="P48" s="43" t="s">
        <v>249</v>
      </c>
      <c r="Q48" s="43" t="s">
        <v>102</v>
      </c>
      <c r="R48" s="43" t="s">
        <v>107</v>
      </c>
    </row>
    <row r="49" customFormat="false" ht="15" hidden="false" customHeight="true" outlineLevel="0" collapsed="false">
      <c r="A49" s="38" t="s">
        <v>250</v>
      </c>
      <c r="B49" s="39" t="n">
        <v>46109</v>
      </c>
      <c r="C49" s="38" t="str">
        <f aca="false">TRIM(PROPER(P49))</f>
        <v>Meher Dutta</v>
      </c>
      <c r="D49" s="38" t="s">
        <v>192</v>
      </c>
      <c r="E49" s="38" t="s">
        <v>118</v>
      </c>
      <c r="F49" s="40" t="n">
        <v>4</v>
      </c>
      <c r="G49" s="41" t="n">
        <v>180</v>
      </c>
      <c r="H49" s="38" t="s">
        <v>123</v>
      </c>
      <c r="I49" s="38" t="str">
        <f aca="false">TRIM(PROPER(Q49))</f>
        <v>Delhi</v>
      </c>
      <c r="J49" s="38" t="str">
        <f aca="false">TRIM(PROPER(R49))</f>
        <v>Completed</v>
      </c>
      <c r="K49" s="41" t="n">
        <f aca="false">IF(N49="",F49*G49,0)</f>
        <v>720</v>
      </c>
      <c r="L49" s="42" t="str">
        <f aca="false">IF(N49&lt;&gt;"","",IF(F49&gt;=3,"Bulk (3+ items)","Regular"))</f>
        <v>Bulk (3+ items)</v>
      </c>
      <c r="M49" s="42" t="str">
        <f aca="false">IF(J49="Completed","Yes","No")</f>
        <v>Yes</v>
      </c>
      <c r="N49" s="42" t="str">
        <f aca="false">IF(F49="","Quantity missing",IF(F49&lt;=0,"Quantity invalid",IF(G49="","Price missing","")))</f>
        <v/>
      </c>
      <c r="O49" s="38"/>
      <c r="P49" s="43" t="s">
        <v>251</v>
      </c>
      <c r="Q49" s="43" t="s">
        <v>106</v>
      </c>
      <c r="R49" s="43" t="s">
        <v>103</v>
      </c>
    </row>
    <row r="50" customFormat="false" ht="15" hidden="false" customHeight="true" outlineLevel="0" collapsed="false">
      <c r="A50" s="38" t="s">
        <v>252</v>
      </c>
      <c r="B50" s="39" t="n">
        <v>46084</v>
      </c>
      <c r="C50" s="38" t="str">
        <f aca="false">TRIM(PROPER(P50))</f>
        <v>Om Prakash</v>
      </c>
      <c r="D50" s="38" t="s">
        <v>202</v>
      </c>
      <c r="E50" s="38" t="s">
        <v>120</v>
      </c>
      <c r="F50" s="40" t="n">
        <v>1</v>
      </c>
      <c r="G50" s="41" t="n">
        <v>150</v>
      </c>
      <c r="H50" s="38" t="s">
        <v>123</v>
      </c>
      <c r="I50" s="38" t="str">
        <f aca="false">TRIM(PROPER(Q50))</f>
        <v>Mumbai</v>
      </c>
      <c r="J50" s="38" t="str">
        <f aca="false">TRIM(PROPER(R50))</f>
        <v>Completed</v>
      </c>
      <c r="K50" s="41" t="n">
        <f aca="false">IF(N50="",F50*G50,0)</f>
        <v>150</v>
      </c>
      <c r="L50" s="42" t="str">
        <f aca="false">IF(N50&lt;&gt;"","",IF(F50&gt;=3,"Bulk (3+ items)","Regular"))</f>
        <v>Regular</v>
      </c>
      <c r="M50" s="42" t="str">
        <f aca="false">IF(J50="Completed","Yes","No")</f>
        <v>Yes</v>
      </c>
      <c r="N50" s="42" t="str">
        <f aca="false">IF(F50="","Quantity missing",IF(F50&lt;=0,"Quantity invalid",IF(G50="","Price missing","")))</f>
        <v/>
      </c>
      <c r="O50" s="38"/>
      <c r="P50" s="43" t="s">
        <v>160</v>
      </c>
      <c r="Q50" s="43" t="s">
        <v>108</v>
      </c>
      <c r="R50" s="43" t="s">
        <v>103</v>
      </c>
    </row>
    <row r="51" customFormat="false" ht="15" hidden="false" customHeight="true" outlineLevel="0" collapsed="false">
      <c r="A51" s="38" t="s">
        <v>253</v>
      </c>
      <c r="B51" s="39" t="n">
        <v>46098</v>
      </c>
      <c r="C51" s="38" t="str">
        <f aca="false">TRIM(PROPER(P51))</f>
        <v>Trisha Reddy</v>
      </c>
      <c r="D51" s="38" t="s">
        <v>159</v>
      </c>
      <c r="E51" s="38" t="s">
        <v>118</v>
      </c>
      <c r="F51" s="40" t="n">
        <v>1</v>
      </c>
      <c r="G51" s="41"/>
      <c r="H51" s="38" t="s">
        <v>119</v>
      </c>
      <c r="I51" s="38" t="str">
        <f aca="false">TRIM(PROPER(Q51))</f>
        <v>Delhi</v>
      </c>
      <c r="J51" s="38" t="str">
        <f aca="false">TRIM(PROPER(R51))</f>
        <v>Completed</v>
      </c>
      <c r="K51" s="41" t="n">
        <f aca="false">IF(N51="",F51*G51,0)</f>
        <v>0</v>
      </c>
      <c r="L51" s="42" t="str">
        <f aca="false">IF(N51&lt;&gt;"","",IF(F51&gt;=3,"Bulk (3+ items)","Regular"))</f>
        <v/>
      </c>
      <c r="M51" s="42" t="str">
        <f aca="false">IF(J51="Completed","Yes","No")</f>
        <v>Yes</v>
      </c>
      <c r="N51" s="42" t="str">
        <f aca="false">IF(F51="","Quantity missing",IF(F51&lt;=0,"Quantity invalid",IF(G51="","Price missing","")))</f>
        <v>Price missing</v>
      </c>
      <c r="O51" s="38"/>
      <c r="P51" s="43" t="s">
        <v>162</v>
      </c>
      <c r="Q51" s="43" t="s">
        <v>199</v>
      </c>
      <c r="R51" s="43" t="s">
        <v>103</v>
      </c>
    </row>
    <row r="52" customFormat="false" ht="15" hidden="false" customHeight="true" outlineLevel="0" collapsed="false">
      <c r="A52" s="38" t="s">
        <v>254</v>
      </c>
      <c r="B52" s="39" t="n">
        <v>46097</v>
      </c>
      <c r="C52" s="38" t="str">
        <f aca="false">TRIM(PROPER(P52))</f>
        <v>Om Prakash</v>
      </c>
      <c r="D52" s="38" t="s">
        <v>238</v>
      </c>
      <c r="E52" s="38" t="s">
        <v>118</v>
      </c>
      <c r="F52" s="40" t="n">
        <v>4</v>
      </c>
      <c r="G52" s="41" t="n">
        <v>200</v>
      </c>
      <c r="H52" s="38" t="s">
        <v>121</v>
      </c>
      <c r="I52" s="38" t="str">
        <f aca="false">TRIM(PROPER(Q52))</f>
        <v>Pune</v>
      </c>
      <c r="J52" s="38" t="str">
        <f aca="false">TRIM(PROPER(R52))</f>
        <v>Completed</v>
      </c>
      <c r="K52" s="41" t="n">
        <f aca="false">IF(N52="",F52*G52,0)</f>
        <v>800</v>
      </c>
      <c r="L52" s="42" t="str">
        <f aca="false">IF(N52&lt;&gt;"","",IF(F52&gt;=3,"Bulk (3+ items)","Regular"))</f>
        <v>Bulk (3+ items)</v>
      </c>
      <c r="M52" s="42" t="str">
        <f aca="false">IF(J52="Completed","Yes","No")</f>
        <v>Yes</v>
      </c>
      <c r="N52" s="42" t="str">
        <f aca="false">IF(F52="","Quantity missing",IF(F52&lt;=0,"Quantity invalid",IF(G52="","Price missing","")))</f>
        <v/>
      </c>
      <c r="O52" s="38"/>
      <c r="P52" s="43" t="s">
        <v>160</v>
      </c>
      <c r="Q52" s="43" t="s">
        <v>194</v>
      </c>
      <c r="R52" s="43" t="s">
        <v>103</v>
      </c>
    </row>
    <row r="53" customFormat="false" ht="15" hidden="false" customHeight="true" outlineLevel="0" collapsed="false">
      <c r="A53" s="38" t="s">
        <v>255</v>
      </c>
      <c r="B53" s="39" t="n">
        <v>46093</v>
      </c>
      <c r="C53" s="38" t="str">
        <f aca="false">TRIM(PROPER(P53))</f>
        <v>Fahad Khan</v>
      </c>
      <c r="D53" s="38" t="s">
        <v>150</v>
      </c>
      <c r="E53" s="38" t="s">
        <v>118</v>
      </c>
      <c r="F53" s="40" t="n">
        <v>1</v>
      </c>
      <c r="G53" s="41" t="n">
        <v>120</v>
      </c>
      <c r="H53" s="38" t="s">
        <v>119</v>
      </c>
      <c r="I53" s="38" t="str">
        <f aca="false">TRIM(PROPER(Q53))</f>
        <v>Mumbai</v>
      </c>
      <c r="J53" s="38" t="str">
        <f aca="false">TRIM(PROPER(R53))</f>
        <v>Completed</v>
      </c>
      <c r="K53" s="41" t="n">
        <f aca="false">IF(N53="",F53*G53,0)</f>
        <v>120</v>
      </c>
      <c r="L53" s="42" t="str">
        <f aca="false">IF(N53&lt;&gt;"","",IF(F53&gt;=3,"Bulk (3+ items)","Regular"))</f>
        <v>Regular</v>
      </c>
      <c r="M53" s="42" t="str">
        <f aca="false">IF(J53="Completed","Yes","No")</f>
        <v>Yes</v>
      </c>
      <c r="N53" s="42" t="str">
        <f aca="false">IF(F53="","Quantity missing",IF(F53&lt;=0,"Quantity invalid",IF(G53="","Price missing","")))</f>
        <v/>
      </c>
      <c r="O53" s="38"/>
      <c r="P53" s="43" t="s">
        <v>256</v>
      </c>
      <c r="Q53" s="43" t="s">
        <v>190</v>
      </c>
      <c r="R53" s="43" t="s">
        <v>103</v>
      </c>
    </row>
    <row r="54" customFormat="false" ht="15" hidden="false" customHeight="true" outlineLevel="0" collapsed="false">
      <c r="A54" s="38" t="s">
        <v>257</v>
      </c>
      <c r="B54" s="39" t="n">
        <v>46108</v>
      </c>
      <c r="C54" s="38" t="str">
        <f aca="false">TRIM(PROPER(P54))</f>
        <v>Trisha Reddy</v>
      </c>
      <c r="D54" s="38" t="s">
        <v>180</v>
      </c>
      <c r="E54" s="38" t="s">
        <v>118</v>
      </c>
      <c r="F54" s="40" t="n">
        <v>4</v>
      </c>
      <c r="G54" s="41" t="n">
        <v>210</v>
      </c>
      <c r="H54" s="38" t="s">
        <v>119</v>
      </c>
      <c r="I54" s="38" t="str">
        <f aca="false">TRIM(PROPER(Q54))</f>
        <v>Bengaluru</v>
      </c>
      <c r="J54" s="38" t="str">
        <f aca="false">TRIM(PROPER(R54))</f>
        <v>Completed</v>
      </c>
      <c r="K54" s="41" t="n">
        <f aca="false">IF(N54="",F54*G54,0)</f>
        <v>840</v>
      </c>
      <c r="L54" s="42" t="str">
        <f aca="false">IF(N54&lt;&gt;"","",IF(F54&gt;=3,"Bulk (3+ items)","Regular"))</f>
        <v>Bulk (3+ items)</v>
      </c>
      <c r="M54" s="42" t="str">
        <f aca="false">IF(J54="Completed","Yes","No")</f>
        <v>Yes</v>
      </c>
      <c r="N54" s="42" t="str">
        <f aca="false">IF(F54="","Quantity missing",IF(F54&lt;=0,"Quantity invalid",IF(G54="","Price missing","")))</f>
        <v/>
      </c>
      <c r="O54" s="38"/>
      <c r="P54" s="43" t="s">
        <v>162</v>
      </c>
      <c r="Q54" s="43" t="s">
        <v>156</v>
      </c>
      <c r="R54" s="43" t="s">
        <v>103</v>
      </c>
    </row>
    <row r="55" customFormat="false" ht="15" hidden="false" customHeight="true" outlineLevel="0" collapsed="false">
      <c r="A55" s="38" t="s">
        <v>258</v>
      </c>
      <c r="B55" s="39" t="n">
        <v>46086</v>
      </c>
      <c r="C55" s="38" t="str">
        <f aca="false">TRIM(PROPER(P55))</f>
        <v>Devansh Rao</v>
      </c>
      <c r="D55" s="38" t="s">
        <v>159</v>
      </c>
      <c r="E55" s="38" t="s">
        <v>118</v>
      </c>
      <c r="F55" s="40" t="n">
        <v>3</v>
      </c>
      <c r="G55" s="41" t="n">
        <v>190</v>
      </c>
      <c r="H55" s="38" t="s">
        <v>121</v>
      </c>
      <c r="I55" s="38" t="str">
        <f aca="false">TRIM(PROPER(Q55))</f>
        <v>Pune</v>
      </c>
      <c r="J55" s="38" t="str">
        <f aca="false">TRIM(PROPER(R55))</f>
        <v>Completed</v>
      </c>
      <c r="K55" s="41" t="n">
        <f aca="false">IF(N55="",F55*G55,0)</f>
        <v>570</v>
      </c>
      <c r="L55" s="42" t="str">
        <f aca="false">IF(N55&lt;&gt;"","",IF(F55&gt;=3,"Bulk (3+ items)","Regular"))</f>
        <v>Bulk (3+ items)</v>
      </c>
      <c r="M55" s="42" t="str">
        <f aca="false">IF(J55="Completed","Yes","No")</f>
        <v>Yes</v>
      </c>
      <c r="N55" s="42" t="str">
        <f aca="false">IF(F55="","Quantity missing",IF(F55&lt;=0,"Quantity invalid",IF(G55="","Price missing","")))</f>
        <v/>
      </c>
      <c r="O55" s="38"/>
      <c r="P55" s="43" t="s">
        <v>234</v>
      </c>
      <c r="Q55" s="43" t="s">
        <v>194</v>
      </c>
      <c r="R55" s="43" t="s">
        <v>206</v>
      </c>
    </row>
    <row r="56" customFormat="false" ht="15" hidden="false" customHeight="true" outlineLevel="0" collapsed="false">
      <c r="A56" s="38" t="s">
        <v>259</v>
      </c>
      <c r="B56" s="39" t="n">
        <v>46110</v>
      </c>
      <c r="C56" s="38" t="str">
        <f aca="false">TRIM(PROPER(P56))</f>
        <v>Tushar Gill</v>
      </c>
      <c r="D56" s="38" t="s">
        <v>180</v>
      </c>
      <c r="E56" s="38" t="s">
        <v>118</v>
      </c>
      <c r="F56" s="40" t="n">
        <v>1</v>
      </c>
      <c r="G56" s="41" t="n">
        <v>210</v>
      </c>
      <c r="H56" s="38" t="s">
        <v>121</v>
      </c>
      <c r="I56" s="38" t="str">
        <f aca="false">TRIM(PROPER(Q56))</f>
        <v>Mumbai</v>
      </c>
      <c r="J56" s="38" t="str">
        <f aca="false">TRIM(PROPER(R56))</f>
        <v>Completed</v>
      </c>
      <c r="K56" s="41" t="n">
        <f aca="false">IF(N56="",F56*G56,0)</f>
        <v>210</v>
      </c>
      <c r="L56" s="42" t="str">
        <f aca="false">IF(N56&lt;&gt;"","",IF(F56&gt;=3,"Bulk (3+ items)","Regular"))</f>
        <v>Regular</v>
      </c>
      <c r="M56" s="42" t="str">
        <f aca="false">IF(J56="Completed","Yes","No")</f>
        <v>Yes</v>
      </c>
      <c r="N56" s="42" t="str">
        <f aca="false">IF(F56="","Quantity missing",IF(F56&lt;=0,"Quantity invalid",IF(G56="","Price missing","")))</f>
        <v/>
      </c>
      <c r="O56" s="38"/>
      <c r="P56" s="43" t="s">
        <v>260</v>
      </c>
      <c r="Q56" s="43" t="s">
        <v>108</v>
      </c>
      <c r="R56" s="43" t="s">
        <v>103</v>
      </c>
    </row>
    <row r="57" customFormat="false" ht="15" hidden="false" customHeight="true" outlineLevel="0" collapsed="false">
      <c r="A57" s="38" t="s">
        <v>261</v>
      </c>
      <c r="B57" s="39" t="n">
        <v>46097</v>
      </c>
      <c r="C57" s="38" t="str">
        <f aca="false">TRIM(PROPER(P57))</f>
        <v>Ira Menon</v>
      </c>
      <c r="D57" s="38" t="s">
        <v>238</v>
      </c>
      <c r="E57" s="38" t="s">
        <v>118</v>
      </c>
      <c r="F57" s="40" t="n">
        <v>4</v>
      </c>
      <c r="G57" s="41" t="n">
        <v>200</v>
      </c>
      <c r="H57" s="38" t="s">
        <v>121</v>
      </c>
      <c r="I57" s="38" t="str">
        <f aca="false">TRIM(PROPER(Q57))</f>
        <v>Pune</v>
      </c>
      <c r="J57" s="38" t="str">
        <f aca="false">TRIM(PROPER(R57))</f>
        <v>Completed</v>
      </c>
      <c r="K57" s="41" t="n">
        <f aca="false">IF(N57="",F57*G57,0)</f>
        <v>800</v>
      </c>
      <c r="L57" s="42" t="str">
        <f aca="false">IF(N57&lt;&gt;"","",IF(F57&gt;=3,"Bulk (3+ items)","Regular"))</f>
        <v>Bulk (3+ items)</v>
      </c>
      <c r="M57" s="42" t="str">
        <f aca="false">IF(J57="Completed","Yes","No")</f>
        <v>Yes</v>
      </c>
      <c r="N57" s="42" t="str">
        <f aca="false">IF(F57="","Quantity missing",IF(F57&lt;=0,"Quantity invalid",IF(G57="","Price missing","")))</f>
        <v/>
      </c>
      <c r="O57" s="38"/>
      <c r="P57" s="43" t="s">
        <v>262</v>
      </c>
      <c r="Q57" s="43" t="s">
        <v>194</v>
      </c>
      <c r="R57" s="43" t="s">
        <v>103</v>
      </c>
    </row>
    <row r="58" customFormat="false" ht="15" hidden="false" customHeight="true" outlineLevel="0" collapsed="false">
      <c r="A58" s="38" t="s">
        <v>263</v>
      </c>
      <c r="B58" s="39" t="n">
        <v>46110</v>
      </c>
      <c r="C58" s="38" t="str">
        <f aca="false">TRIM(PROPER(P58))</f>
        <v>Om Prakash</v>
      </c>
      <c r="D58" s="38" t="s">
        <v>139</v>
      </c>
      <c r="E58" s="38" t="s">
        <v>120</v>
      </c>
      <c r="F58" s="40" t="n">
        <v>1</v>
      </c>
      <c r="G58" s="41" t="n">
        <v>110</v>
      </c>
      <c r="H58" s="38" t="s">
        <v>123</v>
      </c>
      <c r="I58" s="38" t="str">
        <f aca="false">TRIM(PROPER(Q58))</f>
        <v>Chennai</v>
      </c>
      <c r="J58" s="38" t="str">
        <f aca="false">TRIM(PROPER(R58))</f>
        <v>Refunded</v>
      </c>
      <c r="K58" s="41" t="n">
        <f aca="false">IF(N58="",F58*G58,0)</f>
        <v>110</v>
      </c>
      <c r="L58" s="42" t="str">
        <f aca="false">IF(N58&lt;&gt;"","",IF(F58&gt;=3,"Bulk (3+ items)","Regular"))</f>
        <v>Regular</v>
      </c>
      <c r="M58" s="42" t="str">
        <f aca="false">IF(J58="Completed","Yes","No")</f>
        <v>No</v>
      </c>
      <c r="N58" s="42" t="str">
        <f aca="false">IF(F58="","Quantity missing",IF(F58&lt;=0,"Quantity invalid",IF(G58="","Price missing","")))</f>
        <v/>
      </c>
      <c r="O58" s="38"/>
      <c r="P58" s="43" t="s">
        <v>189</v>
      </c>
      <c r="Q58" s="43" t="s">
        <v>264</v>
      </c>
      <c r="R58" s="43" t="s">
        <v>107</v>
      </c>
    </row>
    <row r="59" customFormat="false" ht="15" hidden="false" customHeight="true" outlineLevel="0" collapsed="false">
      <c r="A59" s="38" t="s">
        <v>265</v>
      </c>
      <c r="B59" s="39" t="n">
        <v>46087</v>
      </c>
      <c r="C59" s="38" t="str">
        <f aca="false">TRIM(PROPER(P59))</f>
        <v>Devansh Rao</v>
      </c>
      <c r="D59" s="38" t="s">
        <v>164</v>
      </c>
      <c r="E59" s="38" t="s">
        <v>118</v>
      </c>
      <c r="F59" s="40"/>
      <c r="G59" s="41" t="n">
        <v>160</v>
      </c>
      <c r="H59" s="38" t="s">
        <v>123</v>
      </c>
      <c r="I59" s="38" t="str">
        <f aca="false">TRIM(PROPER(Q59))</f>
        <v>Bengaluru</v>
      </c>
      <c r="J59" s="38" t="str">
        <f aca="false">TRIM(PROPER(R59))</f>
        <v>Completed</v>
      </c>
      <c r="K59" s="41" t="n">
        <f aca="false">IF(N59="",F59*G59,0)</f>
        <v>0</v>
      </c>
      <c r="L59" s="42" t="str">
        <f aca="false">IF(N59&lt;&gt;"","",IF(F59&gt;=3,"Bulk (3+ items)","Regular"))</f>
        <v/>
      </c>
      <c r="M59" s="42" t="str">
        <f aca="false">IF(J59="Completed","Yes","No")</f>
        <v>Yes</v>
      </c>
      <c r="N59" s="42" t="str">
        <f aca="false">IF(F59="","Quantity missing",IF(F59&lt;=0,"Quantity invalid",IF(G59="","Price missing","")))</f>
        <v>Quantity missing</v>
      </c>
      <c r="O59" s="38"/>
      <c r="P59" s="43" t="s">
        <v>234</v>
      </c>
      <c r="Q59" s="43" t="s">
        <v>197</v>
      </c>
      <c r="R59" s="43" t="s">
        <v>170</v>
      </c>
    </row>
    <row r="60" customFormat="false" ht="15" hidden="false" customHeight="true" outlineLevel="0" collapsed="false">
      <c r="A60" s="38" t="s">
        <v>266</v>
      </c>
      <c r="B60" s="39" t="n">
        <v>46097</v>
      </c>
      <c r="C60" s="38" t="str">
        <f aca="false">TRIM(PROPER(P60))</f>
        <v>Naina Bose</v>
      </c>
      <c r="D60" s="38" t="s">
        <v>180</v>
      </c>
      <c r="E60" s="38" t="s">
        <v>118</v>
      </c>
      <c r="F60" s="40" t="n">
        <v>2</v>
      </c>
      <c r="G60" s="41" t="n">
        <v>210</v>
      </c>
      <c r="H60" s="38" t="s">
        <v>123</v>
      </c>
      <c r="I60" s="38" t="str">
        <f aca="false">TRIM(PROPER(Q60))</f>
        <v>Bengaluru</v>
      </c>
      <c r="J60" s="38" t="str">
        <f aca="false">TRIM(PROPER(R60))</f>
        <v>Completed</v>
      </c>
      <c r="K60" s="41" t="n">
        <f aca="false">IF(N60="",F60*G60,0)</f>
        <v>420</v>
      </c>
      <c r="L60" s="42" t="str">
        <f aca="false">IF(N60&lt;&gt;"","",IF(F60&gt;=3,"Bulk (3+ items)","Regular"))</f>
        <v>Regular</v>
      </c>
      <c r="M60" s="42" t="str">
        <f aca="false">IF(J60="Completed","Yes","No")</f>
        <v>Yes</v>
      </c>
      <c r="N60" s="42" t="str">
        <f aca="false">IF(F60="","Quantity missing",IF(F60&lt;=0,"Quantity invalid",IF(G60="","Price missing","")))</f>
        <v/>
      </c>
      <c r="O60" s="38"/>
      <c r="P60" s="43" t="s">
        <v>151</v>
      </c>
      <c r="Q60" s="43" t="s">
        <v>102</v>
      </c>
      <c r="R60" s="43" t="s">
        <v>103</v>
      </c>
    </row>
    <row r="61" customFormat="false" ht="15" hidden="false" customHeight="true" outlineLevel="0" collapsed="false">
      <c r="A61" s="38" t="s">
        <v>267</v>
      </c>
      <c r="B61" s="39" t="n">
        <v>46107</v>
      </c>
      <c r="C61" s="38" t="str">
        <f aca="false">TRIM(PROPER(P61))</f>
        <v>Naina Bose</v>
      </c>
      <c r="D61" s="38" t="s">
        <v>192</v>
      </c>
      <c r="E61" s="38" t="s">
        <v>118</v>
      </c>
      <c r="F61" s="40" t="n">
        <v>2</v>
      </c>
      <c r="G61" s="41" t="n">
        <v>180</v>
      </c>
      <c r="H61" s="38" t="s">
        <v>121</v>
      </c>
      <c r="I61" s="38" t="str">
        <f aca="false">TRIM(PROPER(Q61))</f>
        <v>Delhi</v>
      </c>
      <c r="J61" s="38" t="str">
        <f aca="false">TRIM(PROPER(R61))</f>
        <v>Completed</v>
      </c>
      <c r="K61" s="41" t="n">
        <f aca="false">IF(N61="",F61*G61,0)</f>
        <v>360</v>
      </c>
      <c r="L61" s="42" t="str">
        <f aca="false">IF(N61&lt;&gt;"","",IF(F61&gt;=3,"Bulk (3+ items)","Regular"))</f>
        <v>Regular</v>
      </c>
      <c r="M61" s="42" t="str">
        <f aca="false">IF(J61="Completed","Yes","No")</f>
        <v>Yes</v>
      </c>
      <c r="N61" s="42" t="str">
        <f aca="false">IF(F61="","Quantity missing",IF(F61&lt;=0,"Quantity invalid",IF(G61="","Price missing","")))</f>
        <v/>
      </c>
      <c r="O61" s="38"/>
      <c r="P61" s="43" t="s">
        <v>208</v>
      </c>
      <c r="Q61" s="43" t="s">
        <v>106</v>
      </c>
      <c r="R61" s="43" t="s">
        <v>103</v>
      </c>
    </row>
    <row r="62" customFormat="false" ht="15" hidden="false" customHeight="true" outlineLevel="0" collapsed="false">
      <c r="A62" s="38" t="s">
        <v>268</v>
      </c>
      <c r="B62" s="39" t="n">
        <v>46096</v>
      </c>
      <c r="C62" s="38" t="str">
        <f aca="false">TRIM(PROPER(P62))</f>
        <v>Aditya Joshi</v>
      </c>
      <c r="D62" s="38" t="s">
        <v>139</v>
      </c>
      <c r="E62" s="38" t="s">
        <v>120</v>
      </c>
      <c r="F62" s="40" t="n">
        <v>1</v>
      </c>
      <c r="G62" s="41" t="n">
        <v>110</v>
      </c>
      <c r="H62" s="38" t="s">
        <v>123</v>
      </c>
      <c r="I62" s="38" t="str">
        <f aca="false">TRIM(PROPER(Q62))</f>
        <v>Mumbai</v>
      </c>
      <c r="J62" s="38" t="str">
        <f aca="false">TRIM(PROPER(R62))</f>
        <v>Completed</v>
      </c>
      <c r="K62" s="41" t="n">
        <f aca="false">IF(N62="",F62*G62,0)</f>
        <v>110</v>
      </c>
      <c r="L62" s="42" t="str">
        <f aca="false">IF(N62&lt;&gt;"","",IF(F62&gt;=3,"Bulk (3+ items)","Regular"))</f>
        <v>Regular</v>
      </c>
      <c r="M62" s="42" t="str">
        <f aca="false">IF(J62="Completed","Yes","No")</f>
        <v>Yes</v>
      </c>
      <c r="N62" s="42" t="str">
        <f aca="false">IF(F62="","Quantity missing",IF(F62&lt;=0,"Quantity invalid",IF(G62="","Price missing","")))</f>
        <v/>
      </c>
      <c r="O62" s="38"/>
      <c r="P62" s="43" t="s">
        <v>140</v>
      </c>
      <c r="Q62" s="43" t="s">
        <v>190</v>
      </c>
      <c r="R62" s="43" t="s">
        <v>103</v>
      </c>
    </row>
    <row r="63" customFormat="false" ht="15" hidden="false" customHeight="true" outlineLevel="0" collapsed="false">
      <c r="A63" s="38" t="s">
        <v>269</v>
      </c>
      <c r="B63" s="39" t="n">
        <v>46097</v>
      </c>
      <c r="C63" s="38" t="str">
        <f aca="false">TRIM(PROPER(P63))</f>
        <v>Ira Menon</v>
      </c>
      <c r="D63" s="38" t="s">
        <v>159</v>
      </c>
      <c r="E63" s="38" t="s">
        <v>118</v>
      </c>
      <c r="F63" s="40" t="n">
        <v>2</v>
      </c>
      <c r="G63" s="41" t="n">
        <v>190</v>
      </c>
      <c r="H63" s="38" t="s">
        <v>121</v>
      </c>
      <c r="I63" s="38" t="str">
        <f aca="false">TRIM(PROPER(Q63))</f>
        <v>Delhi</v>
      </c>
      <c r="J63" s="38" t="str">
        <f aca="false">TRIM(PROPER(R63))</f>
        <v>Completed</v>
      </c>
      <c r="K63" s="41" t="n">
        <f aca="false">IF(N63="",F63*G63,0)</f>
        <v>380</v>
      </c>
      <c r="L63" s="42" t="str">
        <f aca="false">IF(N63&lt;&gt;"","",IF(F63&gt;=3,"Bulk (3+ items)","Regular"))</f>
        <v>Regular</v>
      </c>
      <c r="M63" s="42" t="str">
        <f aca="false">IF(J63="Completed","Yes","No")</f>
        <v>Yes</v>
      </c>
      <c r="N63" s="42" t="str">
        <f aca="false">IF(F63="","Quantity missing",IF(F63&lt;=0,"Quantity invalid",IF(G63="","Price missing","")))</f>
        <v/>
      </c>
      <c r="O63" s="38"/>
      <c r="P63" s="43" t="s">
        <v>155</v>
      </c>
      <c r="Q63" s="43" t="s">
        <v>270</v>
      </c>
      <c r="R63" s="43" t="s">
        <v>103</v>
      </c>
    </row>
    <row r="64" customFormat="false" ht="15" hidden="false" customHeight="true" outlineLevel="0" collapsed="false">
      <c r="A64" s="38" t="s">
        <v>271</v>
      </c>
      <c r="B64" s="39" t="n">
        <v>46101</v>
      </c>
      <c r="C64" s="38" t="str">
        <f aca="false">TRIM(PROPER(P64))</f>
        <v>Aditya Joshi</v>
      </c>
      <c r="D64" s="38" t="s">
        <v>192</v>
      </c>
      <c r="E64" s="38" t="s">
        <v>118</v>
      </c>
      <c r="F64" s="40" t="n">
        <v>4</v>
      </c>
      <c r="G64" s="41" t="n">
        <v>180</v>
      </c>
      <c r="H64" s="38" t="s">
        <v>121</v>
      </c>
      <c r="I64" s="38" t="str">
        <f aca="false">TRIM(PROPER(Q64))</f>
        <v>Mumbai</v>
      </c>
      <c r="J64" s="38" t="str">
        <f aca="false">TRIM(PROPER(R64))</f>
        <v>Completed</v>
      </c>
      <c r="K64" s="41" t="n">
        <f aca="false">IF(N64="",F64*G64,0)</f>
        <v>720</v>
      </c>
      <c r="L64" s="42" t="str">
        <f aca="false">IF(N64&lt;&gt;"","",IF(F64&gt;=3,"Bulk (3+ items)","Regular"))</f>
        <v>Bulk (3+ items)</v>
      </c>
      <c r="M64" s="42" t="str">
        <f aca="false">IF(J64="Completed","Yes","No")</f>
        <v>Yes</v>
      </c>
      <c r="N64" s="42" t="str">
        <f aca="false">IF(F64="","Quantity missing",IF(F64&lt;=0,"Quantity invalid",IF(G64="","Price missing","")))</f>
        <v/>
      </c>
      <c r="O64" s="38"/>
      <c r="P64" s="43" t="s">
        <v>245</v>
      </c>
      <c r="Q64" s="43" t="s">
        <v>146</v>
      </c>
      <c r="R64" s="43" t="s">
        <v>206</v>
      </c>
    </row>
    <row r="65" customFormat="false" ht="15" hidden="false" customHeight="true" outlineLevel="0" collapsed="false">
      <c r="A65" s="38" t="s">
        <v>272</v>
      </c>
      <c r="B65" s="39" t="n">
        <v>46097</v>
      </c>
      <c r="C65" s="38" t="str">
        <f aca="false">TRIM(PROPER(P65))</f>
        <v>Devansh Rao</v>
      </c>
      <c r="D65" s="38" t="s">
        <v>202</v>
      </c>
      <c r="E65" s="38" t="s">
        <v>120</v>
      </c>
      <c r="F65" s="40" t="n">
        <v>1</v>
      </c>
      <c r="G65" s="41" t="n">
        <v>150</v>
      </c>
      <c r="H65" s="38" t="s">
        <v>119</v>
      </c>
      <c r="I65" s="38" t="str">
        <f aca="false">TRIM(PROPER(Q65))</f>
        <v>Pune</v>
      </c>
      <c r="J65" s="38" t="str">
        <f aca="false">TRIM(PROPER(R65))</f>
        <v>Completed</v>
      </c>
      <c r="K65" s="41" t="n">
        <f aca="false">IF(N65="",F65*G65,0)</f>
        <v>150</v>
      </c>
      <c r="L65" s="42" t="str">
        <f aca="false">IF(N65&lt;&gt;"","",IF(F65&gt;=3,"Bulk (3+ items)","Regular"))</f>
        <v>Regular</v>
      </c>
      <c r="M65" s="42" t="str">
        <f aca="false">IF(J65="Completed","Yes","No")</f>
        <v>Yes</v>
      </c>
      <c r="N65" s="42" t="str">
        <f aca="false">IF(F65="","Quantity missing",IF(F65&lt;=0,"Quantity invalid",IF(G65="","Price missing","")))</f>
        <v/>
      </c>
      <c r="O65" s="38"/>
      <c r="P65" s="43" t="s">
        <v>234</v>
      </c>
      <c r="Q65" s="43" t="s">
        <v>178</v>
      </c>
      <c r="R65" s="43" t="s">
        <v>170</v>
      </c>
    </row>
    <row r="66" customFormat="false" ht="15" hidden="false" customHeight="true" outlineLevel="0" collapsed="false">
      <c r="A66" s="38" t="s">
        <v>273</v>
      </c>
      <c r="B66" s="39" t="n">
        <v>46110</v>
      </c>
      <c r="C66" s="38" t="str">
        <f aca="false">TRIM(PROPER(P66))</f>
        <v>Naina Bose</v>
      </c>
      <c r="D66" s="38" t="s">
        <v>192</v>
      </c>
      <c r="E66" s="38" t="s">
        <v>118</v>
      </c>
      <c r="F66" s="40" t="n">
        <v>2</v>
      </c>
      <c r="G66" s="41" t="n">
        <v>180</v>
      </c>
      <c r="H66" s="38" t="s">
        <v>123</v>
      </c>
      <c r="I66" s="38" t="str">
        <f aca="false">TRIM(PROPER(Q66))</f>
        <v>Delhi</v>
      </c>
      <c r="J66" s="38" t="str">
        <f aca="false">TRIM(PROPER(R66))</f>
        <v>Refunded</v>
      </c>
      <c r="K66" s="41" t="n">
        <f aca="false">IF(N66="",F66*G66,0)</f>
        <v>360</v>
      </c>
      <c r="L66" s="42" t="str">
        <f aca="false">IF(N66&lt;&gt;"","",IF(F66&gt;=3,"Bulk (3+ items)","Regular"))</f>
        <v>Regular</v>
      </c>
      <c r="M66" s="42" t="str">
        <f aca="false">IF(J66="Completed","Yes","No")</f>
        <v>No</v>
      </c>
      <c r="N66" s="42" t="str">
        <f aca="false">IF(F66="","Quantity missing",IF(F66&lt;=0,"Quantity invalid",IF(G66="","Price missing","")))</f>
        <v/>
      </c>
      <c r="O66" s="38"/>
      <c r="P66" s="43" t="s">
        <v>208</v>
      </c>
      <c r="Q66" s="43" t="s">
        <v>106</v>
      </c>
      <c r="R66" s="43" t="s">
        <v>107</v>
      </c>
    </row>
    <row r="67" customFormat="false" ht="15" hidden="false" customHeight="true" outlineLevel="0" collapsed="false">
      <c r="A67" s="38" t="s">
        <v>274</v>
      </c>
      <c r="B67" s="39" t="n">
        <v>46102</v>
      </c>
      <c r="C67" s="38" t="str">
        <f aca="false">TRIM(PROPER(P67))</f>
        <v>Ritika Shah</v>
      </c>
      <c r="D67" s="38" t="s">
        <v>139</v>
      </c>
      <c r="E67" s="38" t="s">
        <v>120</v>
      </c>
      <c r="F67" s="40" t="n">
        <v>2</v>
      </c>
      <c r="G67" s="41" t="n">
        <v>110</v>
      </c>
      <c r="H67" s="38" t="s">
        <v>119</v>
      </c>
      <c r="I67" s="38" t="str">
        <f aca="false">TRIM(PROPER(Q67))</f>
        <v>Bengaluru</v>
      </c>
      <c r="J67" s="38" t="str">
        <f aca="false">TRIM(PROPER(R67))</f>
        <v>Refunded</v>
      </c>
      <c r="K67" s="41" t="n">
        <f aca="false">IF(N67="",F67*G67,0)</f>
        <v>220</v>
      </c>
      <c r="L67" s="42" t="str">
        <f aca="false">IF(N67&lt;&gt;"","",IF(F67&gt;=3,"Bulk (3+ items)","Regular"))</f>
        <v>Regular</v>
      </c>
      <c r="M67" s="42" t="str">
        <f aca="false">IF(J67="Completed","Yes","No")</f>
        <v>No</v>
      </c>
      <c r="N67" s="42" t="str">
        <f aca="false">IF(F67="","Quantity missing",IF(F67&lt;=0,"Quantity invalid",IF(G67="","Price missing","")))</f>
        <v/>
      </c>
      <c r="O67" s="38"/>
      <c r="P67" s="43" t="s">
        <v>275</v>
      </c>
      <c r="Q67" s="43" t="s">
        <v>102</v>
      </c>
      <c r="R67" s="43" t="s">
        <v>107</v>
      </c>
    </row>
    <row r="68" customFormat="false" ht="15" hidden="false" customHeight="true" outlineLevel="0" collapsed="false">
      <c r="A68" s="38" t="s">
        <v>276</v>
      </c>
      <c r="B68" s="39" t="n">
        <v>46101</v>
      </c>
      <c r="C68" s="38" t="str">
        <f aca="false">TRIM(PROPER(P68))</f>
        <v>Ananya Iyer</v>
      </c>
      <c r="D68" s="38" t="s">
        <v>192</v>
      </c>
      <c r="E68" s="38" t="s">
        <v>118</v>
      </c>
      <c r="F68" s="40" t="n">
        <v>3</v>
      </c>
      <c r="G68" s="41" t="n">
        <v>180</v>
      </c>
      <c r="H68" s="38" t="s">
        <v>123</v>
      </c>
      <c r="I68" s="38" t="str">
        <f aca="false">TRIM(PROPER(Q68))</f>
        <v>Chennai</v>
      </c>
      <c r="J68" s="38" t="str">
        <f aca="false">TRIM(PROPER(R68))</f>
        <v>Refunded</v>
      </c>
      <c r="K68" s="41" t="n">
        <f aca="false">IF(N68="",F68*G68,0)</f>
        <v>540</v>
      </c>
      <c r="L68" s="42" t="str">
        <f aca="false">IF(N68&lt;&gt;"","",IF(F68&gt;=3,"Bulk (3+ items)","Regular"))</f>
        <v>Bulk (3+ items)</v>
      </c>
      <c r="M68" s="42" t="str">
        <f aca="false">IF(J68="Completed","Yes","No")</f>
        <v>No</v>
      </c>
      <c r="N68" s="42" t="str">
        <f aca="false">IF(F68="","Quantity missing",IF(F68&lt;=0,"Quantity invalid",IF(G68="","Price missing","")))</f>
        <v/>
      </c>
      <c r="O68" s="38"/>
      <c r="P68" s="43" t="s">
        <v>173</v>
      </c>
      <c r="Q68" s="43" t="s">
        <v>230</v>
      </c>
      <c r="R68" s="43" t="s">
        <v>184</v>
      </c>
    </row>
    <row r="69" customFormat="false" ht="15" hidden="false" customHeight="true" outlineLevel="0" collapsed="false">
      <c r="A69" s="38" t="s">
        <v>277</v>
      </c>
      <c r="B69" s="39" t="n">
        <v>46109</v>
      </c>
      <c r="C69" s="38" t="str">
        <f aca="false">TRIM(PROPER(P69))</f>
        <v>Rohit Sharma</v>
      </c>
      <c r="D69" s="38" t="s">
        <v>180</v>
      </c>
      <c r="E69" s="38" t="s">
        <v>118</v>
      </c>
      <c r="F69" s="40" t="n">
        <v>3</v>
      </c>
      <c r="G69" s="41" t="n">
        <v>210</v>
      </c>
      <c r="H69" s="38" t="s">
        <v>123</v>
      </c>
      <c r="I69" s="38" t="str">
        <f aca="false">TRIM(PROPER(Q69))</f>
        <v>Bengaluru</v>
      </c>
      <c r="J69" s="38" t="str">
        <f aca="false">TRIM(PROPER(R69))</f>
        <v>Completed</v>
      </c>
      <c r="K69" s="41" t="n">
        <f aca="false">IF(N69="",F69*G69,0)</f>
        <v>630</v>
      </c>
      <c r="L69" s="42" t="str">
        <f aca="false">IF(N69&lt;&gt;"","",IF(F69&gt;=3,"Bulk (3+ items)","Regular"))</f>
        <v>Bulk (3+ items)</v>
      </c>
      <c r="M69" s="42" t="str">
        <f aca="false">IF(J69="Completed","Yes","No")</f>
        <v>Yes</v>
      </c>
      <c r="N69" s="42" t="str">
        <f aca="false">IF(F69="","Quantity missing",IF(F69&lt;=0,"Quantity invalid",IF(G69="","Price missing","")))</f>
        <v/>
      </c>
      <c r="O69" s="38"/>
      <c r="P69" s="43" t="s">
        <v>211</v>
      </c>
      <c r="Q69" s="43" t="s">
        <v>197</v>
      </c>
      <c r="R69" s="43" t="s">
        <v>103</v>
      </c>
    </row>
    <row r="70" customFormat="false" ht="15" hidden="false" customHeight="true" outlineLevel="0" collapsed="false">
      <c r="A70" s="38" t="s">
        <v>278</v>
      </c>
      <c r="B70" s="39" t="n">
        <v>46109</v>
      </c>
      <c r="C70" s="38" t="str">
        <f aca="false">TRIM(PROPER(P70))</f>
        <v>Lavanya Nair</v>
      </c>
      <c r="D70" s="38" t="s">
        <v>154</v>
      </c>
      <c r="E70" s="38" t="s">
        <v>122</v>
      </c>
      <c r="F70" s="40" t="n">
        <v>1</v>
      </c>
      <c r="G70" s="41" t="n">
        <v>220</v>
      </c>
      <c r="H70" s="38" t="s">
        <v>121</v>
      </c>
      <c r="I70" s="38" t="str">
        <f aca="false">TRIM(PROPER(Q70))</f>
        <v>Chennai</v>
      </c>
      <c r="J70" s="38" t="str">
        <f aca="false">TRIM(PROPER(R70))</f>
        <v>Completed</v>
      </c>
      <c r="K70" s="41" t="n">
        <f aca="false">IF(N70="",F70*G70,0)</f>
        <v>220</v>
      </c>
      <c r="L70" s="42" t="str">
        <f aca="false">IF(N70&lt;&gt;"","",IF(F70&gt;=3,"Bulk (3+ items)","Regular"))</f>
        <v>Regular</v>
      </c>
      <c r="M70" s="42" t="str">
        <f aca="false">IF(J70="Completed","Yes","No")</f>
        <v>Yes</v>
      </c>
      <c r="N70" s="42" t="str">
        <f aca="false">IF(F70="","Quantity missing",IF(F70&lt;=0,"Quantity invalid",IF(G70="","Price missing","")))</f>
        <v/>
      </c>
      <c r="O70" s="38"/>
      <c r="P70" s="43" t="s">
        <v>247</v>
      </c>
      <c r="Q70" s="43" t="s">
        <v>104</v>
      </c>
      <c r="R70" s="43" t="s">
        <v>170</v>
      </c>
    </row>
    <row r="71" customFormat="false" ht="15" hidden="false" customHeight="true" outlineLevel="0" collapsed="false">
      <c r="A71" s="38" t="s">
        <v>279</v>
      </c>
      <c r="B71" s="39" t="n">
        <v>46096</v>
      </c>
      <c r="C71" s="38" t="str">
        <f aca="false">TRIM(PROPER(P71))</f>
        <v>Devansh Rao</v>
      </c>
      <c r="D71" s="38" t="s">
        <v>139</v>
      </c>
      <c r="E71" s="38" t="s">
        <v>120</v>
      </c>
      <c r="F71" s="40" t="n">
        <v>2</v>
      </c>
      <c r="G71" s="41" t="n">
        <v>110</v>
      </c>
      <c r="H71" s="38" t="s">
        <v>119</v>
      </c>
      <c r="I71" s="38" t="str">
        <f aca="false">TRIM(PROPER(Q71))</f>
        <v>Mumbai</v>
      </c>
      <c r="J71" s="38" t="str">
        <f aca="false">TRIM(PROPER(R71))</f>
        <v>Completed</v>
      </c>
      <c r="K71" s="41" t="n">
        <f aca="false">IF(N71="",F71*G71,0)</f>
        <v>220</v>
      </c>
      <c r="L71" s="42" t="str">
        <f aca="false">IF(N71&lt;&gt;"","",IF(F71&gt;=3,"Bulk (3+ items)","Regular"))</f>
        <v>Regular</v>
      </c>
      <c r="M71" s="42" t="str">
        <f aca="false">IF(J71="Completed","Yes","No")</f>
        <v>Yes</v>
      </c>
      <c r="N71" s="42" t="str">
        <f aca="false">IF(F71="","Quantity missing",IF(F71&lt;=0,"Quantity invalid",IF(G71="","Price missing","")))</f>
        <v/>
      </c>
      <c r="O71" s="38"/>
      <c r="P71" s="43" t="s">
        <v>203</v>
      </c>
      <c r="Q71" s="43" t="s">
        <v>190</v>
      </c>
      <c r="R71" s="43" t="s">
        <v>103</v>
      </c>
    </row>
    <row r="72" customFormat="false" ht="15" hidden="false" customHeight="true" outlineLevel="0" collapsed="false">
      <c r="A72" s="38" t="s">
        <v>280</v>
      </c>
      <c r="B72" s="39" t="n">
        <v>46106</v>
      </c>
      <c r="C72" s="38" t="str">
        <f aca="false">TRIM(PROPER(P72))</f>
        <v>Rohit Sharma</v>
      </c>
      <c r="D72" s="38" t="s">
        <v>238</v>
      </c>
      <c r="E72" s="38" t="s">
        <v>118</v>
      </c>
      <c r="F72" s="40" t="n">
        <v>1</v>
      </c>
      <c r="G72" s="41" t="n">
        <v>200</v>
      </c>
      <c r="H72" s="38" t="s">
        <v>123</v>
      </c>
      <c r="I72" s="38" t="str">
        <f aca="false">TRIM(PROPER(Q72))</f>
        <v>Pune</v>
      </c>
      <c r="J72" s="38" t="str">
        <f aca="false">TRIM(PROPER(R72))</f>
        <v>Completed</v>
      </c>
      <c r="K72" s="41" t="n">
        <f aca="false">IF(N72="",F72*G72,0)</f>
        <v>200</v>
      </c>
      <c r="L72" s="42" t="str">
        <f aca="false">IF(N72&lt;&gt;"","",IF(F72&gt;=3,"Bulk (3+ items)","Regular"))</f>
        <v>Regular</v>
      </c>
      <c r="M72" s="42" t="str">
        <f aca="false">IF(J72="Completed","Yes","No")</f>
        <v>Yes</v>
      </c>
      <c r="N72" s="42" t="str">
        <f aca="false">IF(F72="","Quantity missing",IF(F72&lt;=0,"Quantity invalid",IF(G72="","Price missing","")))</f>
        <v/>
      </c>
      <c r="O72" s="38"/>
      <c r="P72" s="43" t="s">
        <v>211</v>
      </c>
      <c r="Q72" s="43" t="s">
        <v>110</v>
      </c>
      <c r="R72" s="43" t="s">
        <v>103</v>
      </c>
    </row>
    <row r="73" customFormat="false" ht="15" hidden="false" customHeight="true" outlineLevel="0" collapsed="false">
      <c r="A73" s="38" t="s">
        <v>281</v>
      </c>
      <c r="B73" s="39" t="n">
        <v>46091</v>
      </c>
      <c r="C73" s="38" t="str">
        <f aca="false">TRIM(PROPER(P73))</f>
        <v>Kunal Verma</v>
      </c>
      <c r="D73" s="38" t="s">
        <v>238</v>
      </c>
      <c r="E73" s="38" t="s">
        <v>118</v>
      </c>
      <c r="F73" s="40" t="n">
        <v>1</v>
      </c>
      <c r="G73" s="41" t="n">
        <v>200</v>
      </c>
      <c r="H73" s="38" t="s">
        <v>123</v>
      </c>
      <c r="I73" s="38" t="str">
        <f aca="false">TRIM(PROPER(Q73))</f>
        <v>Mumbai</v>
      </c>
      <c r="J73" s="38" t="str">
        <f aca="false">TRIM(PROPER(R73))</f>
        <v>Completed</v>
      </c>
      <c r="K73" s="41" t="n">
        <f aca="false">IF(N73="",F73*G73,0)</f>
        <v>200</v>
      </c>
      <c r="L73" s="42" t="str">
        <f aca="false">IF(N73&lt;&gt;"","",IF(F73&gt;=3,"Bulk (3+ items)","Regular"))</f>
        <v>Regular</v>
      </c>
      <c r="M73" s="42" t="str">
        <f aca="false">IF(J73="Completed","Yes","No")</f>
        <v>Yes</v>
      </c>
      <c r="N73" s="42" t="str">
        <f aca="false">IF(F73="","Quantity missing",IF(F73&lt;=0,"Quantity invalid",IF(G73="","Price missing","")))</f>
        <v/>
      </c>
      <c r="O73" s="38"/>
      <c r="P73" s="43" t="s">
        <v>168</v>
      </c>
      <c r="Q73" s="43" t="s">
        <v>108</v>
      </c>
      <c r="R73" s="43" t="s">
        <v>103</v>
      </c>
    </row>
    <row r="74" customFormat="false" ht="15" hidden="false" customHeight="true" outlineLevel="0" collapsed="false">
      <c r="A74" s="38" t="s">
        <v>282</v>
      </c>
      <c r="B74" s="39" t="n">
        <v>46111</v>
      </c>
      <c r="C74" s="38" t="str">
        <f aca="false">TRIM(PROPER(P74))</f>
        <v>Ritika Shah</v>
      </c>
      <c r="D74" s="38" t="s">
        <v>180</v>
      </c>
      <c r="E74" s="38" t="s">
        <v>118</v>
      </c>
      <c r="F74" s="40" t="n">
        <v>3</v>
      </c>
      <c r="G74" s="41" t="n">
        <v>210</v>
      </c>
      <c r="H74" s="38" t="s">
        <v>121</v>
      </c>
      <c r="I74" s="38" t="str">
        <f aca="false">TRIM(PROPER(Q74))</f>
        <v>Pune</v>
      </c>
      <c r="J74" s="38" t="str">
        <f aca="false">TRIM(PROPER(R74))</f>
        <v>Cancelled</v>
      </c>
      <c r="K74" s="41" t="n">
        <f aca="false">IF(N74="",F74*G74,0)</f>
        <v>630</v>
      </c>
      <c r="L74" s="42" t="str">
        <f aca="false">IF(N74&lt;&gt;"","",IF(F74&gt;=3,"Bulk (3+ items)","Regular"))</f>
        <v>Bulk (3+ items)</v>
      </c>
      <c r="M74" s="42" t="str">
        <f aca="false">IF(J74="Completed","Yes","No")</f>
        <v>No</v>
      </c>
      <c r="N74" s="42" t="str">
        <f aca="false">IF(F74="","Quantity missing",IF(F74&lt;=0,"Quantity invalid",IF(G74="","Price missing","")))</f>
        <v/>
      </c>
      <c r="O74" s="38"/>
      <c r="P74" s="43" t="s">
        <v>283</v>
      </c>
      <c r="Q74" s="43" t="s">
        <v>194</v>
      </c>
      <c r="R74" s="43" t="s">
        <v>105</v>
      </c>
    </row>
    <row r="75" customFormat="false" ht="15" hidden="false" customHeight="true" outlineLevel="0" collapsed="false">
      <c r="A75" s="38" t="s">
        <v>284</v>
      </c>
      <c r="B75" s="39" t="n">
        <v>46098</v>
      </c>
      <c r="C75" s="38" t="str">
        <f aca="false">TRIM(PROPER(P75))</f>
        <v>Ira Menon</v>
      </c>
      <c r="D75" s="38" t="s">
        <v>150</v>
      </c>
      <c r="E75" s="38" t="s">
        <v>118</v>
      </c>
      <c r="F75" s="40" t="n">
        <v>1</v>
      </c>
      <c r="G75" s="41" t="n">
        <v>120</v>
      </c>
      <c r="H75" s="38" t="s">
        <v>119</v>
      </c>
      <c r="I75" s="38" t="str">
        <f aca="false">TRIM(PROPER(Q75))</f>
        <v>Bengaluru</v>
      </c>
      <c r="J75" s="38" t="str">
        <f aca="false">TRIM(PROPER(R75))</f>
        <v>Cancelled</v>
      </c>
      <c r="K75" s="41" t="n">
        <f aca="false">IF(N75="",F75*G75,0)</f>
        <v>120</v>
      </c>
      <c r="L75" s="42" t="str">
        <f aca="false">IF(N75&lt;&gt;"","",IF(F75&gt;=3,"Bulk (3+ items)","Regular"))</f>
        <v>Regular</v>
      </c>
      <c r="M75" s="42" t="str">
        <f aca="false">IF(J75="Completed","Yes","No")</f>
        <v>No</v>
      </c>
      <c r="N75" s="42" t="str">
        <f aca="false">IF(F75="","Quantity missing",IF(F75&lt;=0,"Quantity invalid",IF(G75="","Price missing","")))</f>
        <v/>
      </c>
      <c r="O75" s="38"/>
      <c r="P75" s="43" t="s">
        <v>249</v>
      </c>
      <c r="Q75" s="43" t="s">
        <v>102</v>
      </c>
      <c r="R75" s="43" t="s">
        <v>285</v>
      </c>
    </row>
    <row r="76" customFormat="false" ht="15" hidden="false" customHeight="true" outlineLevel="0" collapsed="false">
      <c r="A76" s="38" t="s">
        <v>286</v>
      </c>
      <c r="B76" s="39" t="n">
        <v>46106</v>
      </c>
      <c r="C76" s="38" t="str">
        <f aca="false">TRIM(PROPER(P76))</f>
        <v>Devansh Rao</v>
      </c>
      <c r="D76" s="38" t="s">
        <v>180</v>
      </c>
      <c r="E76" s="38" t="s">
        <v>118</v>
      </c>
      <c r="F76" s="40" t="n">
        <v>1</v>
      </c>
      <c r="G76" s="41" t="n">
        <v>210</v>
      </c>
      <c r="H76" s="38" t="s">
        <v>123</v>
      </c>
      <c r="I76" s="38" t="str">
        <f aca="false">TRIM(PROPER(Q76))</f>
        <v>Mumbai</v>
      </c>
      <c r="J76" s="38" t="str">
        <f aca="false">TRIM(PROPER(R76))</f>
        <v>Refunded</v>
      </c>
      <c r="K76" s="41" t="n">
        <f aca="false">IF(N76="",F76*G76,0)</f>
        <v>210</v>
      </c>
      <c r="L76" s="42" t="str">
        <f aca="false">IF(N76&lt;&gt;"","",IF(F76&gt;=3,"Bulk (3+ items)","Regular"))</f>
        <v>Regular</v>
      </c>
      <c r="M76" s="42" t="str">
        <f aca="false">IF(J76="Completed","Yes","No")</f>
        <v>No</v>
      </c>
      <c r="N76" s="42" t="str">
        <f aca="false">IF(F76="","Quantity missing",IF(F76&lt;=0,"Quantity invalid",IF(G76="","Price missing","")))</f>
        <v/>
      </c>
      <c r="O76" s="38"/>
      <c r="P76" s="43" t="s">
        <v>234</v>
      </c>
      <c r="Q76" s="43" t="s">
        <v>146</v>
      </c>
      <c r="R76" s="43" t="s">
        <v>107</v>
      </c>
    </row>
    <row r="77" customFormat="false" ht="15" hidden="false" customHeight="true" outlineLevel="0" collapsed="false">
      <c r="A77" s="38" t="s">
        <v>287</v>
      </c>
      <c r="B77" s="39" t="n">
        <v>46102</v>
      </c>
      <c r="C77" s="38" t="str">
        <f aca="false">TRIM(PROPER(P77))</f>
        <v>Ananya Iyer</v>
      </c>
      <c r="D77" s="38" t="s">
        <v>238</v>
      </c>
      <c r="E77" s="38" t="s">
        <v>118</v>
      </c>
      <c r="F77" s="40" t="n">
        <v>2</v>
      </c>
      <c r="G77" s="41" t="n">
        <v>200</v>
      </c>
      <c r="H77" s="38" t="s">
        <v>123</v>
      </c>
      <c r="I77" s="38" t="str">
        <f aca="false">TRIM(PROPER(Q77))</f>
        <v>Delhi</v>
      </c>
      <c r="J77" s="38" t="str">
        <f aca="false">TRIM(PROPER(R77))</f>
        <v>Completed</v>
      </c>
      <c r="K77" s="41" t="n">
        <f aca="false">IF(N77="",F77*G77,0)</f>
        <v>400</v>
      </c>
      <c r="L77" s="42" t="str">
        <f aca="false">IF(N77&lt;&gt;"","",IF(F77&gt;=3,"Bulk (3+ items)","Regular"))</f>
        <v>Regular</v>
      </c>
      <c r="M77" s="42" t="str">
        <f aca="false">IF(J77="Completed","Yes","No")</f>
        <v>Yes</v>
      </c>
      <c r="N77" s="42" t="str">
        <f aca="false">IF(F77="","Quantity missing",IF(F77&lt;=0,"Quantity invalid",IF(G77="","Price missing","")))</f>
        <v/>
      </c>
      <c r="O77" s="38"/>
      <c r="P77" s="43" t="s">
        <v>288</v>
      </c>
      <c r="Q77" s="43" t="s">
        <v>205</v>
      </c>
      <c r="R77" s="43" t="s">
        <v>170</v>
      </c>
    </row>
    <row r="78" customFormat="false" ht="15" hidden="false" customHeight="true" outlineLevel="0" collapsed="false">
      <c r="A78" s="38" t="s">
        <v>289</v>
      </c>
      <c r="B78" s="39" t="n">
        <v>46090</v>
      </c>
      <c r="C78" s="38" t="str">
        <f aca="false">TRIM(PROPER(P78))</f>
        <v>Fahad Khan</v>
      </c>
      <c r="D78" s="38" t="s">
        <v>139</v>
      </c>
      <c r="E78" s="38" t="s">
        <v>120</v>
      </c>
      <c r="F78" s="40" t="n">
        <v>1</v>
      </c>
      <c r="G78" s="41" t="n">
        <v>110</v>
      </c>
      <c r="H78" s="38" t="s">
        <v>123</v>
      </c>
      <c r="I78" s="38" t="str">
        <f aca="false">TRIM(PROPER(Q78))</f>
        <v>Delhi</v>
      </c>
      <c r="J78" s="38" t="str">
        <f aca="false">TRIM(PROPER(R78))</f>
        <v>Completed</v>
      </c>
      <c r="K78" s="41" t="n">
        <f aca="false">IF(N78="",F78*G78,0)</f>
        <v>110</v>
      </c>
      <c r="L78" s="42" t="str">
        <f aca="false">IF(N78&lt;&gt;"","",IF(F78&gt;=3,"Bulk (3+ items)","Regular"))</f>
        <v>Regular</v>
      </c>
      <c r="M78" s="42" t="str">
        <f aca="false">IF(J78="Completed","Yes","No")</f>
        <v>Yes</v>
      </c>
      <c r="N78" s="42" t="str">
        <f aca="false">IF(F78="","Quantity missing",IF(F78&lt;=0,"Quantity invalid",IF(G78="","Price missing","")))</f>
        <v/>
      </c>
      <c r="O78" s="38"/>
      <c r="P78" s="43" t="s">
        <v>290</v>
      </c>
      <c r="Q78" s="43" t="s">
        <v>106</v>
      </c>
      <c r="R78" s="43" t="s">
        <v>103</v>
      </c>
    </row>
    <row r="79" customFormat="false" ht="15" hidden="false" customHeight="true" outlineLevel="0" collapsed="false">
      <c r="A79" s="38" t="s">
        <v>291</v>
      </c>
      <c r="B79" s="39" t="n">
        <v>46108</v>
      </c>
      <c r="C79" s="38" t="str">
        <f aca="false">TRIM(PROPER(P79))</f>
        <v>Aditya Joshi</v>
      </c>
      <c r="D79" s="38" t="s">
        <v>238</v>
      </c>
      <c r="E79" s="38" t="s">
        <v>118</v>
      </c>
      <c r="F79" s="40" t="n">
        <v>1</v>
      </c>
      <c r="G79" s="41" t="n">
        <v>200</v>
      </c>
      <c r="H79" s="38" t="s">
        <v>119</v>
      </c>
      <c r="I79" s="38" t="str">
        <f aca="false">TRIM(PROPER(Q79))</f>
        <v>Delhi</v>
      </c>
      <c r="J79" s="38" t="str">
        <f aca="false">TRIM(PROPER(R79))</f>
        <v>Completed</v>
      </c>
      <c r="K79" s="41" t="n">
        <f aca="false">IF(N79="",F79*G79,0)</f>
        <v>200</v>
      </c>
      <c r="L79" s="42" t="str">
        <f aca="false">IF(N79&lt;&gt;"","",IF(F79&gt;=3,"Bulk (3+ items)","Regular"))</f>
        <v>Regular</v>
      </c>
      <c r="M79" s="42" t="str">
        <f aca="false">IF(J79="Completed","Yes","No")</f>
        <v>Yes</v>
      </c>
      <c r="N79" s="42" t="str">
        <f aca="false">IF(F79="","Quantity missing",IF(F79&lt;=0,"Quantity invalid",IF(G79="","Price missing","")))</f>
        <v/>
      </c>
      <c r="O79" s="38"/>
      <c r="P79" s="43" t="s">
        <v>245</v>
      </c>
      <c r="Q79" s="43" t="s">
        <v>106</v>
      </c>
      <c r="R79" s="43" t="s">
        <v>103</v>
      </c>
    </row>
    <row r="80" customFormat="false" ht="15" hidden="false" customHeight="true" outlineLevel="0" collapsed="false">
      <c r="A80" s="38" t="s">
        <v>292</v>
      </c>
      <c r="B80" s="39" t="n">
        <v>46088</v>
      </c>
      <c r="C80" s="38" t="str">
        <f aca="false">TRIM(PROPER(P80))</f>
        <v>Aditya Joshi</v>
      </c>
      <c r="D80" s="38" t="s">
        <v>150</v>
      </c>
      <c r="E80" s="38" t="s">
        <v>118</v>
      </c>
      <c r="F80" s="40"/>
      <c r="G80" s="41" t="n">
        <v>120</v>
      </c>
      <c r="H80" s="38" t="s">
        <v>121</v>
      </c>
      <c r="I80" s="38" t="str">
        <f aca="false">TRIM(PROPER(Q80))</f>
        <v>Delhi</v>
      </c>
      <c r="J80" s="38" t="str">
        <f aca="false">TRIM(PROPER(R80))</f>
        <v>Completed</v>
      </c>
      <c r="K80" s="41" t="n">
        <f aca="false">IF(N80="",F80*G80,0)</f>
        <v>0</v>
      </c>
      <c r="L80" s="42" t="str">
        <f aca="false">IF(N80&lt;&gt;"","",IF(F80&gt;=3,"Bulk (3+ items)","Regular"))</f>
        <v/>
      </c>
      <c r="M80" s="42" t="str">
        <f aca="false">IF(J80="Completed","Yes","No")</f>
        <v>Yes</v>
      </c>
      <c r="N80" s="42" t="str">
        <f aca="false">IF(F80="","Quantity missing",IF(F80&lt;=0,"Quantity invalid",IF(G80="","Price missing","")))</f>
        <v>Quantity missing</v>
      </c>
      <c r="O80" s="38"/>
      <c r="P80" s="43" t="s">
        <v>140</v>
      </c>
      <c r="Q80" s="43" t="s">
        <v>199</v>
      </c>
      <c r="R80" s="43" t="s">
        <v>103</v>
      </c>
    </row>
    <row r="81" customFormat="false" ht="15" hidden="false" customHeight="true" outlineLevel="0" collapsed="false">
      <c r="A81" s="38" t="s">
        <v>293</v>
      </c>
      <c r="B81" s="39" t="n">
        <v>46086</v>
      </c>
      <c r="C81" s="38" t="str">
        <f aca="false">TRIM(PROPER(P81))</f>
        <v>Rohit Sharma</v>
      </c>
      <c r="D81" s="38" t="s">
        <v>192</v>
      </c>
      <c r="E81" s="38" t="s">
        <v>118</v>
      </c>
      <c r="F81" s="40"/>
      <c r="G81" s="41" t="n">
        <v>180</v>
      </c>
      <c r="H81" s="38" t="s">
        <v>121</v>
      </c>
      <c r="I81" s="38" t="str">
        <f aca="false">TRIM(PROPER(Q81))</f>
        <v>Mumbai</v>
      </c>
      <c r="J81" s="38" t="str">
        <f aca="false">TRIM(PROPER(R81))</f>
        <v>Completed</v>
      </c>
      <c r="K81" s="41" t="n">
        <f aca="false">IF(N81="",F81*G81,0)</f>
        <v>0</v>
      </c>
      <c r="L81" s="42" t="str">
        <f aca="false">IF(N81&lt;&gt;"","",IF(F81&gt;=3,"Bulk (3+ items)","Regular"))</f>
        <v/>
      </c>
      <c r="M81" s="42" t="str">
        <f aca="false">IF(J81="Completed","Yes","No")</f>
        <v>Yes</v>
      </c>
      <c r="N81" s="42" t="str">
        <f aca="false">IF(F81="","Quantity missing",IF(F81&lt;=0,"Quantity invalid",IF(G81="","Price missing","")))</f>
        <v>Quantity missing</v>
      </c>
      <c r="O81" s="38"/>
      <c r="P81" s="43" t="s">
        <v>294</v>
      </c>
      <c r="Q81" s="43" t="s">
        <v>108</v>
      </c>
      <c r="R81" s="43" t="s">
        <v>103</v>
      </c>
    </row>
    <row r="82" customFormat="false" ht="15" hidden="false" customHeight="true" outlineLevel="0" collapsed="false">
      <c r="A82" s="38" t="s">
        <v>295</v>
      </c>
      <c r="B82" s="39" t="n">
        <v>46105</v>
      </c>
      <c r="C82" s="38" t="str">
        <f aca="false">TRIM(PROPER(P82))</f>
        <v>Rohit Sharma</v>
      </c>
      <c r="D82" s="38" t="s">
        <v>154</v>
      </c>
      <c r="E82" s="38" t="s">
        <v>122</v>
      </c>
      <c r="F82" s="40" t="n">
        <v>2</v>
      </c>
      <c r="G82" s="41" t="n">
        <v>220</v>
      </c>
      <c r="H82" s="38" t="s">
        <v>119</v>
      </c>
      <c r="I82" s="38" t="str">
        <f aca="false">TRIM(PROPER(Q82))</f>
        <v>Chennai</v>
      </c>
      <c r="J82" s="38" t="str">
        <f aca="false">TRIM(PROPER(R82))</f>
        <v>Completed</v>
      </c>
      <c r="K82" s="41" t="n">
        <f aca="false">IF(N82="",F82*G82,0)</f>
        <v>440</v>
      </c>
      <c r="L82" s="42" t="str">
        <f aca="false">IF(N82&lt;&gt;"","",IF(F82&gt;=3,"Bulk (3+ items)","Regular"))</f>
        <v>Regular</v>
      </c>
      <c r="M82" s="42" t="str">
        <f aca="false">IF(J82="Completed","Yes","No")</f>
        <v>Yes</v>
      </c>
      <c r="N82" s="42" t="str">
        <f aca="false">IF(F82="","Quantity missing",IF(F82&lt;=0,"Quantity invalid",IF(G82="","Price missing","")))</f>
        <v/>
      </c>
      <c r="O82" s="38"/>
      <c r="P82" s="43" t="s">
        <v>211</v>
      </c>
      <c r="Q82" s="43" t="s">
        <v>264</v>
      </c>
      <c r="R82" s="43" t="s">
        <v>206</v>
      </c>
    </row>
    <row r="83" customFormat="false" ht="15" hidden="false" customHeight="true" outlineLevel="0" collapsed="false">
      <c r="A83" s="38" t="s">
        <v>296</v>
      </c>
      <c r="B83" s="39" t="n">
        <v>46105</v>
      </c>
      <c r="C83" s="38" t="str">
        <f aca="false">TRIM(PROPER(P83))</f>
        <v>Ritika Shah</v>
      </c>
      <c r="D83" s="38" t="s">
        <v>164</v>
      </c>
      <c r="E83" s="38" t="s">
        <v>118</v>
      </c>
      <c r="F83" s="40" t="n">
        <v>2</v>
      </c>
      <c r="G83" s="41" t="n">
        <v>160</v>
      </c>
      <c r="H83" s="38" t="s">
        <v>121</v>
      </c>
      <c r="I83" s="38" t="str">
        <f aca="false">TRIM(PROPER(Q83))</f>
        <v>Pune</v>
      </c>
      <c r="J83" s="38" t="str">
        <f aca="false">TRIM(PROPER(R83))</f>
        <v>Refunded</v>
      </c>
      <c r="K83" s="41" t="n">
        <f aca="false">IF(N83="",F83*G83,0)</f>
        <v>320</v>
      </c>
      <c r="L83" s="42" t="str">
        <f aca="false">IF(N83&lt;&gt;"","",IF(F83&gt;=3,"Bulk (3+ items)","Regular"))</f>
        <v>Regular</v>
      </c>
      <c r="M83" s="42" t="str">
        <f aca="false">IF(J83="Completed","Yes","No")</f>
        <v>No</v>
      </c>
      <c r="N83" s="42" t="str">
        <f aca="false">IF(F83="","Quantity missing",IF(F83&lt;=0,"Quantity invalid",IF(G83="","Price missing","")))</f>
        <v/>
      </c>
      <c r="O83" s="38"/>
      <c r="P83" s="43" t="s">
        <v>223</v>
      </c>
      <c r="Q83" s="43" t="s">
        <v>297</v>
      </c>
      <c r="R83" s="43" t="s">
        <v>187</v>
      </c>
    </row>
    <row r="84" customFormat="false" ht="15" hidden="false" customHeight="true" outlineLevel="0" collapsed="false">
      <c r="A84" s="38" t="s">
        <v>298</v>
      </c>
      <c r="B84" s="39" t="n">
        <v>46085</v>
      </c>
      <c r="C84" s="38" t="str">
        <f aca="false">TRIM(PROPER(P84))</f>
        <v>Kunal Verma</v>
      </c>
      <c r="D84" s="38" t="s">
        <v>192</v>
      </c>
      <c r="E84" s="38" t="s">
        <v>118</v>
      </c>
      <c r="F84" s="40" t="n">
        <v>2</v>
      </c>
      <c r="G84" s="41" t="n">
        <v>180</v>
      </c>
      <c r="H84" s="38" t="s">
        <v>121</v>
      </c>
      <c r="I84" s="38" t="str">
        <f aca="false">TRIM(PROPER(Q84))</f>
        <v>Delhi</v>
      </c>
      <c r="J84" s="38" t="str">
        <f aca="false">TRIM(PROPER(R84))</f>
        <v>Cancelled</v>
      </c>
      <c r="K84" s="41" t="n">
        <f aca="false">IF(N84="",F84*G84,0)</f>
        <v>360</v>
      </c>
      <c r="L84" s="42" t="str">
        <f aca="false">IF(N84&lt;&gt;"","",IF(F84&gt;=3,"Bulk (3+ items)","Regular"))</f>
        <v>Regular</v>
      </c>
      <c r="M84" s="42" t="str">
        <f aca="false">IF(J84="Completed","Yes","No")</f>
        <v>No</v>
      </c>
      <c r="N84" s="42" t="str">
        <f aca="false">IF(F84="","Quantity missing",IF(F84&lt;=0,"Quantity invalid",IF(G84="","Price missing","")))</f>
        <v/>
      </c>
      <c r="O84" s="38"/>
      <c r="P84" s="43" t="s">
        <v>219</v>
      </c>
      <c r="Q84" s="43" t="s">
        <v>106</v>
      </c>
      <c r="R84" s="43" t="s">
        <v>105</v>
      </c>
    </row>
    <row r="85" customFormat="false" ht="15" hidden="false" customHeight="true" outlineLevel="0" collapsed="false">
      <c r="A85" s="38" t="s">
        <v>299</v>
      </c>
      <c r="B85" s="39" t="n">
        <v>46082</v>
      </c>
      <c r="C85" s="38" t="str">
        <f aca="false">TRIM(PROPER(P85))</f>
        <v>Om Prakash</v>
      </c>
      <c r="D85" s="38" t="s">
        <v>154</v>
      </c>
      <c r="E85" s="38" t="s">
        <v>122</v>
      </c>
      <c r="F85" s="40" t="n">
        <v>3</v>
      </c>
      <c r="G85" s="41" t="n">
        <v>220</v>
      </c>
      <c r="H85" s="38" t="s">
        <v>121</v>
      </c>
      <c r="I85" s="38" t="str">
        <f aca="false">TRIM(PROPER(Q85))</f>
        <v>Mumbai</v>
      </c>
      <c r="J85" s="38" t="str">
        <f aca="false">TRIM(PROPER(R85))</f>
        <v>Cancelled</v>
      </c>
      <c r="K85" s="41" t="n">
        <f aca="false">IF(N85="",F85*G85,0)</f>
        <v>660</v>
      </c>
      <c r="L85" s="42" t="str">
        <f aca="false">IF(N85&lt;&gt;"","",IF(F85&gt;=3,"Bulk (3+ items)","Regular"))</f>
        <v>Bulk (3+ items)</v>
      </c>
      <c r="M85" s="42" t="str">
        <f aca="false">IF(J85="Completed","Yes","No")</f>
        <v>No</v>
      </c>
      <c r="N85" s="42" t="str">
        <f aca="false">IF(F85="","Quantity missing",IF(F85&lt;=0,"Quantity invalid",IF(G85="","Price missing","")))</f>
        <v/>
      </c>
      <c r="O85" s="38"/>
      <c r="P85" s="43" t="s">
        <v>300</v>
      </c>
      <c r="Q85" s="43" t="s">
        <v>108</v>
      </c>
      <c r="R85" s="43" t="s">
        <v>105</v>
      </c>
    </row>
    <row r="86" customFormat="false" ht="15" hidden="false" customHeight="true" outlineLevel="0" collapsed="false">
      <c r="A86" s="38" t="s">
        <v>301</v>
      </c>
      <c r="B86" s="39" t="n">
        <v>46085</v>
      </c>
      <c r="C86" s="38" t="str">
        <f aca="false">TRIM(PROPER(P86))</f>
        <v>Rohit Sharma</v>
      </c>
      <c r="D86" s="38" t="s">
        <v>150</v>
      </c>
      <c r="E86" s="38" t="s">
        <v>118</v>
      </c>
      <c r="F86" s="40" t="n">
        <v>4</v>
      </c>
      <c r="G86" s="41" t="n">
        <v>120</v>
      </c>
      <c r="H86" s="38" t="s">
        <v>121</v>
      </c>
      <c r="I86" s="38" t="str">
        <f aca="false">TRIM(PROPER(Q86))</f>
        <v>Delhi</v>
      </c>
      <c r="J86" s="38" t="str">
        <f aca="false">TRIM(PROPER(R86))</f>
        <v>Completed</v>
      </c>
      <c r="K86" s="41" t="n">
        <f aca="false">IF(N86="",F86*G86,0)</f>
        <v>480</v>
      </c>
      <c r="L86" s="42" t="str">
        <f aca="false">IF(N86&lt;&gt;"","",IF(F86&gt;=3,"Bulk (3+ items)","Regular"))</f>
        <v>Bulk (3+ items)</v>
      </c>
      <c r="M86" s="42" t="str">
        <f aca="false">IF(J86="Completed","Yes","No")</f>
        <v>Yes</v>
      </c>
      <c r="N86" s="42" t="str">
        <f aca="false">IF(F86="","Quantity missing",IF(F86&lt;=0,"Quantity invalid",IF(G86="","Price missing","")))</f>
        <v/>
      </c>
      <c r="O86" s="38"/>
      <c r="P86" s="43" t="s">
        <v>211</v>
      </c>
      <c r="Q86" s="43" t="s">
        <v>199</v>
      </c>
      <c r="R86" s="43" t="s">
        <v>103</v>
      </c>
    </row>
    <row r="87" customFormat="false" ht="15" hidden="false" customHeight="true" outlineLevel="0" collapsed="false">
      <c r="A87" s="38" t="s">
        <v>302</v>
      </c>
      <c r="B87" s="39" t="n">
        <v>46105</v>
      </c>
      <c r="C87" s="38" t="str">
        <f aca="false">TRIM(PROPER(P87))</f>
        <v>Ritika Shah</v>
      </c>
      <c r="D87" s="38" t="s">
        <v>172</v>
      </c>
      <c r="E87" s="38" t="s">
        <v>120</v>
      </c>
      <c r="F87" s="40"/>
      <c r="G87" s="41" t="n">
        <v>140</v>
      </c>
      <c r="H87" s="38" t="s">
        <v>121</v>
      </c>
      <c r="I87" s="38" t="str">
        <f aca="false">TRIM(PROPER(Q87))</f>
        <v>Chennai</v>
      </c>
      <c r="J87" s="38" t="str">
        <f aca="false">TRIM(PROPER(R87))</f>
        <v>Refunded</v>
      </c>
      <c r="K87" s="41" t="n">
        <f aca="false">IF(N87="",F87*G87,0)</f>
        <v>0</v>
      </c>
      <c r="L87" s="42" t="str">
        <f aca="false">IF(N87&lt;&gt;"","",IF(F87&gt;=3,"Bulk (3+ items)","Regular"))</f>
        <v/>
      </c>
      <c r="M87" s="42" t="str">
        <f aca="false">IF(J87="Completed","Yes","No")</f>
        <v>No</v>
      </c>
      <c r="N87" s="42" t="str">
        <f aca="false">IF(F87="","Quantity missing",IF(F87&lt;=0,"Quantity invalid",IF(G87="","Price missing","")))</f>
        <v>Quantity missing</v>
      </c>
      <c r="O87" s="38"/>
      <c r="P87" s="43" t="s">
        <v>223</v>
      </c>
      <c r="Q87" s="43" t="s">
        <v>104</v>
      </c>
      <c r="R87" s="43" t="s">
        <v>107</v>
      </c>
    </row>
    <row r="88" customFormat="false" ht="15" hidden="false" customHeight="true" outlineLevel="0" collapsed="false">
      <c r="A88" s="38" t="s">
        <v>303</v>
      </c>
      <c r="B88" s="39" t="n">
        <v>46102</v>
      </c>
      <c r="C88" s="38" t="str">
        <f aca="false">TRIM(PROPER(P88))</f>
        <v>Ananya Iyer</v>
      </c>
      <c r="D88" s="38" t="s">
        <v>202</v>
      </c>
      <c r="E88" s="38" t="s">
        <v>120</v>
      </c>
      <c r="F88" s="40" t="n">
        <v>1</v>
      </c>
      <c r="G88" s="41" t="n">
        <v>150</v>
      </c>
      <c r="H88" s="38" t="s">
        <v>119</v>
      </c>
      <c r="I88" s="38" t="str">
        <f aca="false">TRIM(PROPER(Q88))</f>
        <v>Mumbai</v>
      </c>
      <c r="J88" s="38" t="str">
        <f aca="false">TRIM(PROPER(R88))</f>
        <v>Completed</v>
      </c>
      <c r="K88" s="41" t="n">
        <f aca="false">IF(N88="",F88*G88,0)</f>
        <v>150</v>
      </c>
      <c r="L88" s="42" t="str">
        <f aca="false">IF(N88&lt;&gt;"","",IF(F88&gt;=3,"Bulk (3+ items)","Regular"))</f>
        <v>Regular</v>
      </c>
      <c r="M88" s="42" t="str">
        <f aca="false">IF(J88="Completed","Yes","No")</f>
        <v>Yes</v>
      </c>
      <c r="N88" s="42" t="str">
        <f aca="false">IF(F88="","Quantity missing",IF(F88&lt;=0,"Quantity invalid",IF(G88="","Price missing","")))</f>
        <v/>
      </c>
      <c r="O88" s="38"/>
      <c r="P88" s="43" t="s">
        <v>304</v>
      </c>
      <c r="Q88" s="43" t="s">
        <v>108</v>
      </c>
      <c r="R88" s="43" t="s">
        <v>103</v>
      </c>
    </row>
    <row r="89" customFormat="false" ht="15" hidden="false" customHeight="true" outlineLevel="0" collapsed="false">
      <c r="A89" s="38" t="s">
        <v>305</v>
      </c>
      <c r="B89" s="39" t="n">
        <v>46090</v>
      </c>
      <c r="C89" s="38" t="str">
        <f aca="false">TRIM(PROPER(P89))</f>
        <v>Meher Dutta</v>
      </c>
      <c r="D89" s="38" t="s">
        <v>164</v>
      </c>
      <c r="E89" s="38" t="s">
        <v>118</v>
      </c>
      <c r="F89" s="40" t="n">
        <v>1</v>
      </c>
      <c r="G89" s="41" t="n">
        <v>160</v>
      </c>
      <c r="H89" s="38" t="s">
        <v>119</v>
      </c>
      <c r="I89" s="38" t="str">
        <f aca="false">TRIM(PROPER(Q89))</f>
        <v>Delhi</v>
      </c>
      <c r="J89" s="38" t="str">
        <f aca="false">TRIM(PROPER(R89))</f>
        <v>Completed</v>
      </c>
      <c r="K89" s="41" t="n">
        <f aca="false">IF(N89="",F89*G89,0)</f>
        <v>160</v>
      </c>
      <c r="L89" s="42" t="str">
        <f aca="false">IF(N89&lt;&gt;"","",IF(F89&gt;=3,"Bulk (3+ items)","Regular"))</f>
        <v>Regular</v>
      </c>
      <c r="M89" s="42" t="str">
        <f aca="false">IF(J89="Completed","Yes","No")</f>
        <v>Yes</v>
      </c>
      <c r="N89" s="42" t="str">
        <f aca="false">IF(F89="","Quantity missing",IF(F89&lt;=0,"Quantity invalid",IF(G89="","Price missing","")))</f>
        <v/>
      </c>
      <c r="O89" s="38"/>
      <c r="P89" s="43" t="s">
        <v>251</v>
      </c>
      <c r="Q89" s="43" t="s">
        <v>205</v>
      </c>
      <c r="R89" s="43" t="s">
        <v>206</v>
      </c>
    </row>
    <row r="90" customFormat="false" ht="15" hidden="false" customHeight="true" outlineLevel="0" collapsed="false">
      <c r="A90" s="38" t="s">
        <v>306</v>
      </c>
      <c r="B90" s="39" t="n">
        <v>46084</v>
      </c>
      <c r="C90" s="38" t="str">
        <f aca="false">TRIM(PROPER(P90))</f>
        <v>Simran Kaur</v>
      </c>
      <c r="D90" s="38" t="s">
        <v>139</v>
      </c>
      <c r="E90" s="38" t="s">
        <v>120</v>
      </c>
      <c r="F90" s="40" t="n">
        <v>4</v>
      </c>
      <c r="G90" s="41" t="n">
        <v>110</v>
      </c>
      <c r="H90" s="38" t="s">
        <v>123</v>
      </c>
      <c r="I90" s="38" t="str">
        <f aca="false">TRIM(PROPER(Q90))</f>
        <v>Delhi</v>
      </c>
      <c r="J90" s="38" t="str">
        <f aca="false">TRIM(PROPER(R90))</f>
        <v>Completed</v>
      </c>
      <c r="K90" s="41" t="n">
        <f aca="false">IF(N90="",F90*G90,0)</f>
        <v>440</v>
      </c>
      <c r="L90" s="42" t="str">
        <f aca="false">IF(N90&lt;&gt;"","",IF(F90&gt;=3,"Bulk (3+ items)","Regular"))</f>
        <v>Bulk (3+ items)</v>
      </c>
      <c r="M90" s="42" t="str">
        <f aca="false">IF(J90="Completed","Yes","No")</f>
        <v>Yes</v>
      </c>
      <c r="N90" s="42" t="str">
        <f aca="false">IF(F90="","Quantity missing",IF(F90&lt;=0,"Quantity invalid",IF(G90="","Price missing","")))</f>
        <v/>
      </c>
      <c r="O90" s="38"/>
      <c r="P90" s="43" t="s">
        <v>307</v>
      </c>
      <c r="Q90" s="43" t="s">
        <v>106</v>
      </c>
      <c r="R90" s="43" t="s">
        <v>103</v>
      </c>
    </row>
    <row r="91" customFormat="false" ht="15" hidden="false" customHeight="true" outlineLevel="0" collapsed="false">
      <c r="A91" s="38" t="s">
        <v>308</v>
      </c>
      <c r="B91" s="39" t="n">
        <v>46089</v>
      </c>
      <c r="C91" s="38" t="str">
        <f aca="false">TRIM(PROPER(P91))</f>
        <v>Fahad Khan</v>
      </c>
      <c r="D91" s="38" t="s">
        <v>172</v>
      </c>
      <c r="E91" s="38" t="s">
        <v>120</v>
      </c>
      <c r="F91" s="40"/>
      <c r="G91" s="41" t="n">
        <v>140</v>
      </c>
      <c r="H91" s="38" t="s">
        <v>123</v>
      </c>
      <c r="I91" s="38" t="str">
        <f aca="false">TRIM(PROPER(Q91))</f>
        <v>Bengaluru</v>
      </c>
      <c r="J91" s="38" t="str">
        <f aca="false">TRIM(PROPER(R91))</f>
        <v>Completed</v>
      </c>
      <c r="K91" s="41" t="n">
        <f aca="false">IF(N91="",F91*G91,0)</f>
        <v>0</v>
      </c>
      <c r="L91" s="42" t="str">
        <f aca="false">IF(N91&lt;&gt;"","",IF(F91&gt;=3,"Bulk (3+ items)","Regular"))</f>
        <v/>
      </c>
      <c r="M91" s="42" t="str">
        <f aca="false">IF(J91="Completed","Yes","No")</f>
        <v>Yes</v>
      </c>
      <c r="N91" s="42" t="str">
        <f aca="false">IF(F91="","Quantity missing",IF(F91&lt;=0,"Quantity invalid",IF(G91="","Price missing","")))</f>
        <v>Quantity missing</v>
      </c>
      <c r="O91" s="38"/>
      <c r="P91" s="43" t="s">
        <v>183</v>
      </c>
      <c r="Q91" s="43" t="s">
        <v>156</v>
      </c>
      <c r="R91" s="43" t="s">
        <v>103</v>
      </c>
    </row>
    <row r="92" customFormat="false" ht="15" hidden="false" customHeight="true" outlineLevel="0" collapsed="false">
      <c r="A92" s="38" t="s">
        <v>309</v>
      </c>
      <c r="B92" s="39" t="n">
        <v>46095</v>
      </c>
      <c r="C92" s="38" t="str">
        <f aca="false">TRIM(PROPER(P92))</f>
        <v>Devansh Rao</v>
      </c>
      <c r="D92" s="38" t="s">
        <v>154</v>
      </c>
      <c r="E92" s="38" t="s">
        <v>122</v>
      </c>
      <c r="F92" s="40" t="n">
        <v>0</v>
      </c>
      <c r="G92" s="41" t="n">
        <v>220</v>
      </c>
      <c r="H92" s="38" t="s">
        <v>121</v>
      </c>
      <c r="I92" s="38" t="str">
        <f aca="false">TRIM(PROPER(Q92))</f>
        <v>Pune</v>
      </c>
      <c r="J92" s="38" t="str">
        <f aca="false">TRIM(PROPER(R92))</f>
        <v>Completed</v>
      </c>
      <c r="K92" s="41" t="n">
        <f aca="false">IF(N92="",F92*G92,0)</f>
        <v>0</v>
      </c>
      <c r="L92" s="42" t="str">
        <f aca="false">IF(N92&lt;&gt;"","",IF(F92&gt;=3,"Bulk (3+ items)","Regular"))</f>
        <v/>
      </c>
      <c r="M92" s="42" t="str">
        <f aca="false">IF(J92="Completed","Yes","No")</f>
        <v>Yes</v>
      </c>
      <c r="N92" s="42" t="str">
        <f aca="false">IF(F92="","Quantity missing",IF(F92&lt;=0,"Quantity invalid",IF(G92="","Price missing","")))</f>
        <v>Quantity invalid</v>
      </c>
      <c r="O92" s="38"/>
      <c r="P92" s="43" t="s">
        <v>310</v>
      </c>
      <c r="Q92" s="43" t="s">
        <v>110</v>
      </c>
      <c r="R92" s="43" t="s">
        <v>103</v>
      </c>
    </row>
    <row r="93" customFormat="false" ht="15" hidden="false" customHeight="true" outlineLevel="0" collapsed="false">
      <c r="A93" s="38" t="s">
        <v>311</v>
      </c>
      <c r="B93" s="39" t="n">
        <v>46082</v>
      </c>
      <c r="C93" s="38" t="str">
        <f aca="false">TRIM(PROPER(P93))</f>
        <v>Fahad Khan</v>
      </c>
      <c r="D93" s="38" t="s">
        <v>150</v>
      </c>
      <c r="E93" s="38" t="s">
        <v>118</v>
      </c>
      <c r="F93" s="40" t="n">
        <v>1</v>
      </c>
      <c r="G93" s="41" t="n">
        <v>120</v>
      </c>
      <c r="H93" s="38" t="s">
        <v>123</v>
      </c>
      <c r="I93" s="38" t="str">
        <f aca="false">TRIM(PROPER(Q93))</f>
        <v>Pune</v>
      </c>
      <c r="J93" s="38" t="str">
        <f aca="false">TRIM(PROPER(R93))</f>
        <v>Completed</v>
      </c>
      <c r="K93" s="41" t="n">
        <f aca="false">IF(N93="",F93*G93,0)</f>
        <v>120</v>
      </c>
      <c r="L93" s="42" t="str">
        <f aca="false">IF(N93&lt;&gt;"","",IF(F93&gt;=3,"Bulk (3+ items)","Regular"))</f>
        <v>Regular</v>
      </c>
      <c r="M93" s="42" t="str">
        <f aca="false">IF(J93="Completed","Yes","No")</f>
        <v>Yes</v>
      </c>
      <c r="N93" s="42" t="str">
        <f aca="false">IF(F93="","Quantity missing",IF(F93&lt;=0,"Quantity invalid",IF(G93="","Price missing","")))</f>
        <v/>
      </c>
      <c r="O93" s="38"/>
      <c r="P93" s="43" t="s">
        <v>312</v>
      </c>
      <c r="Q93" s="43" t="s">
        <v>110</v>
      </c>
      <c r="R93" s="43" t="s">
        <v>206</v>
      </c>
    </row>
    <row r="94" customFormat="false" ht="15" hidden="false" customHeight="true" outlineLevel="0" collapsed="false">
      <c r="A94" s="38" t="s">
        <v>313</v>
      </c>
      <c r="B94" s="39" t="n">
        <v>46097</v>
      </c>
      <c r="C94" s="38" t="str">
        <f aca="false">TRIM(PROPER(P94))</f>
        <v>Rohit Sharma</v>
      </c>
      <c r="D94" s="38" t="s">
        <v>202</v>
      </c>
      <c r="E94" s="38" t="s">
        <v>120</v>
      </c>
      <c r="F94" s="40" t="n">
        <v>1</v>
      </c>
      <c r="G94" s="41" t="n">
        <v>150</v>
      </c>
      <c r="H94" s="38" t="s">
        <v>121</v>
      </c>
      <c r="I94" s="38" t="str">
        <f aca="false">TRIM(PROPER(Q94))</f>
        <v>Mumbai</v>
      </c>
      <c r="J94" s="38" t="str">
        <f aca="false">TRIM(PROPER(R94))</f>
        <v>Completed</v>
      </c>
      <c r="K94" s="41" t="n">
        <f aca="false">IF(N94="",F94*G94,0)</f>
        <v>150</v>
      </c>
      <c r="L94" s="42" t="str">
        <f aca="false">IF(N94&lt;&gt;"","",IF(F94&gt;=3,"Bulk (3+ items)","Regular"))</f>
        <v>Regular</v>
      </c>
      <c r="M94" s="42" t="str">
        <f aca="false">IF(J94="Completed","Yes","No")</f>
        <v>Yes</v>
      </c>
      <c r="N94" s="42" t="str">
        <f aca="false">IF(F94="","Quantity missing",IF(F94&lt;=0,"Quantity invalid",IF(G94="","Price missing","")))</f>
        <v/>
      </c>
      <c r="O94" s="38"/>
      <c r="P94" s="43" t="s">
        <v>211</v>
      </c>
      <c r="Q94" s="43" t="s">
        <v>108</v>
      </c>
      <c r="R94" s="43" t="s">
        <v>103</v>
      </c>
    </row>
    <row r="95" customFormat="false" ht="15" hidden="false" customHeight="true" outlineLevel="0" collapsed="false">
      <c r="A95" s="38" t="s">
        <v>314</v>
      </c>
      <c r="B95" s="39" t="n">
        <v>46089</v>
      </c>
      <c r="C95" s="38" t="str">
        <f aca="false">TRIM(PROPER(P95))</f>
        <v>Naina Bose</v>
      </c>
      <c r="D95" s="38" t="s">
        <v>159</v>
      </c>
      <c r="E95" s="38" t="s">
        <v>118</v>
      </c>
      <c r="F95" s="40" t="n">
        <v>1</v>
      </c>
      <c r="G95" s="41" t="n">
        <v>190</v>
      </c>
      <c r="H95" s="38" t="s">
        <v>121</v>
      </c>
      <c r="I95" s="38" t="str">
        <f aca="false">TRIM(PROPER(Q95))</f>
        <v>Bengaluru</v>
      </c>
      <c r="J95" s="38" t="str">
        <f aca="false">TRIM(PROPER(R95))</f>
        <v>Completed</v>
      </c>
      <c r="K95" s="41" t="n">
        <f aca="false">IF(N95="",F95*G95,0)</f>
        <v>190</v>
      </c>
      <c r="L95" s="42" t="str">
        <f aca="false">IF(N95&lt;&gt;"","",IF(F95&gt;=3,"Bulk (3+ items)","Regular"))</f>
        <v>Regular</v>
      </c>
      <c r="M95" s="42" t="str">
        <f aca="false">IF(J95="Completed","Yes","No")</f>
        <v>Yes</v>
      </c>
      <c r="N95" s="42" t="str">
        <f aca="false">IF(F95="","Quantity missing",IF(F95&lt;=0,"Quantity invalid",IF(G95="","Price missing","")))</f>
        <v/>
      </c>
      <c r="O95" s="38"/>
      <c r="P95" s="43" t="s">
        <v>151</v>
      </c>
      <c r="Q95" s="43" t="s">
        <v>102</v>
      </c>
      <c r="R95" s="43" t="s">
        <v>103</v>
      </c>
    </row>
    <row r="96" customFormat="false" ht="15" hidden="false" customHeight="true" outlineLevel="0" collapsed="false">
      <c r="A96" s="38" t="s">
        <v>315</v>
      </c>
      <c r="B96" s="39" t="n">
        <v>46103</v>
      </c>
      <c r="C96" s="38" t="str">
        <f aca="false">TRIM(PROPER(P96))</f>
        <v>Rohit Sharma</v>
      </c>
      <c r="D96" s="38" t="s">
        <v>238</v>
      </c>
      <c r="E96" s="38" t="s">
        <v>118</v>
      </c>
      <c r="F96" s="40" t="n">
        <v>2</v>
      </c>
      <c r="G96" s="41" t="n">
        <v>200</v>
      </c>
      <c r="H96" s="38" t="s">
        <v>119</v>
      </c>
      <c r="I96" s="38" t="str">
        <f aca="false">TRIM(PROPER(Q96))</f>
        <v>Pune</v>
      </c>
      <c r="J96" s="38" t="str">
        <f aca="false">TRIM(PROPER(R96))</f>
        <v>Cancelled</v>
      </c>
      <c r="K96" s="41" t="n">
        <f aca="false">IF(N96="",F96*G96,0)</f>
        <v>400</v>
      </c>
      <c r="L96" s="42" t="str">
        <f aca="false">IF(N96&lt;&gt;"","",IF(F96&gt;=3,"Bulk (3+ items)","Regular"))</f>
        <v>Regular</v>
      </c>
      <c r="M96" s="42" t="str">
        <f aca="false">IF(J96="Completed","Yes","No")</f>
        <v>No</v>
      </c>
      <c r="N96" s="42" t="str">
        <f aca="false">IF(F96="","Quantity missing",IF(F96&lt;=0,"Quantity invalid",IF(G96="","Price missing","")))</f>
        <v/>
      </c>
      <c r="O96" s="38"/>
      <c r="P96" s="43" t="s">
        <v>211</v>
      </c>
      <c r="Q96" s="43" t="s">
        <v>110</v>
      </c>
      <c r="R96" s="43" t="s">
        <v>200</v>
      </c>
    </row>
    <row r="97" customFormat="false" ht="15" hidden="false" customHeight="true" outlineLevel="0" collapsed="false">
      <c r="A97" s="38" t="s">
        <v>316</v>
      </c>
      <c r="B97" s="39" t="n">
        <v>46107</v>
      </c>
      <c r="C97" s="38" t="str">
        <f aca="false">TRIM(PROPER(P97))</f>
        <v>Devansh Rao</v>
      </c>
      <c r="D97" s="38" t="s">
        <v>164</v>
      </c>
      <c r="E97" s="38" t="s">
        <v>118</v>
      </c>
      <c r="F97" s="40" t="n">
        <v>2</v>
      </c>
      <c r="G97" s="41" t="n">
        <v>160</v>
      </c>
      <c r="H97" s="38" t="s">
        <v>121</v>
      </c>
      <c r="I97" s="38" t="str">
        <f aca="false">TRIM(PROPER(Q97))</f>
        <v>Bengaluru</v>
      </c>
      <c r="J97" s="38" t="str">
        <f aca="false">TRIM(PROPER(R97))</f>
        <v>Completed</v>
      </c>
      <c r="K97" s="41" t="n">
        <f aca="false">IF(N97="",F97*G97,0)</f>
        <v>320</v>
      </c>
      <c r="L97" s="42" t="str">
        <f aca="false">IF(N97&lt;&gt;"","",IF(F97&gt;=3,"Bulk (3+ items)","Regular"))</f>
        <v>Regular</v>
      </c>
      <c r="M97" s="42" t="str">
        <f aca="false">IF(J97="Completed","Yes","No")</f>
        <v>Yes</v>
      </c>
      <c r="N97" s="42" t="str">
        <f aca="false">IF(F97="","Quantity missing",IF(F97&lt;=0,"Quantity invalid",IF(G97="","Price missing","")))</f>
        <v/>
      </c>
      <c r="O97" s="38"/>
      <c r="P97" s="43" t="s">
        <v>310</v>
      </c>
      <c r="Q97" s="43" t="s">
        <v>102</v>
      </c>
      <c r="R97" s="43" t="s">
        <v>103</v>
      </c>
    </row>
    <row r="98" customFormat="false" ht="15" hidden="false" customHeight="true" outlineLevel="0" collapsed="false">
      <c r="A98" s="38" t="s">
        <v>317</v>
      </c>
      <c r="B98" s="39" t="n">
        <v>46085</v>
      </c>
      <c r="C98" s="38" t="str">
        <f aca="false">TRIM(PROPER(P98))</f>
        <v>Rohit Sharma</v>
      </c>
      <c r="D98" s="38" t="s">
        <v>164</v>
      </c>
      <c r="E98" s="38" t="s">
        <v>118</v>
      </c>
      <c r="F98" s="40" t="n">
        <v>2</v>
      </c>
      <c r="G98" s="41" t="n">
        <v>160</v>
      </c>
      <c r="H98" s="38" t="s">
        <v>119</v>
      </c>
      <c r="I98" s="38" t="str">
        <f aca="false">TRIM(PROPER(Q98))</f>
        <v>Mumbai</v>
      </c>
      <c r="J98" s="38" t="str">
        <f aca="false">TRIM(PROPER(R98))</f>
        <v>Cancelled</v>
      </c>
      <c r="K98" s="41" t="n">
        <f aca="false">IF(N98="",F98*G98,0)</f>
        <v>320</v>
      </c>
      <c r="L98" s="42" t="str">
        <f aca="false">IF(N98&lt;&gt;"","",IF(F98&gt;=3,"Bulk (3+ items)","Regular"))</f>
        <v>Regular</v>
      </c>
      <c r="M98" s="42" t="str">
        <f aca="false">IF(J98="Completed","Yes","No")</f>
        <v>No</v>
      </c>
      <c r="N98" s="42" t="str">
        <f aca="false">IF(F98="","Quantity missing",IF(F98&lt;=0,"Quantity invalid",IF(G98="","Price missing","")))</f>
        <v/>
      </c>
      <c r="O98" s="38"/>
      <c r="P98" s="43" t="s">
        <v>145</v>
      </c>
      <c r="Q98" s="43" t="s">
        <v>190</v>
      </c>
      <c r="R98" s="43" t="s">
        <v>105</v>
      </c>
    </row>
    <row r="99" customFormat="false" ht="15" hidden="false" customHeight="true" outlineLevel="0" collapsed="false">
      <c r="A99" s="38" t="s">
        <v>318</v>
      </c>
      <c r="B99" s="39" t="n">
        <v>46104</v>
      </c>
      <c r="C99" s="38" t="str">
        <f aca="false">TRIM(PROPER(P99))</f>
        <v>Devansh Rao</v>
      </c>
      <c r="D99" s="38" t="s">
        <v>164</v>
      </c>
      <c r="E99" s="38" t="s">
        <v>118</v>
      </c>
      <c r="F99" s="40" t="n">
        <v>4</v>
      </c>
      <c r="G99" s="41" t="n">
        <v>160</v>
      </c>
      <c r="H99" s="38" t="s">
        <v>119</v>
      </c>
      <c r="I99" s="38" t="str">
        <f aca="false">TRIM(PROPER(Q99))</f>
        <v>Mumbai</v>
      </c>
      <c r="J99" s="38" t="str">
        <f aca="false">TRIM(PROPER(R99))</f>
        <v>Completed</v>
      </c>
      <c r="K99" s="41" t="n">
        <f aca="false">IF(N99="",F99*G99,0)</f>
        <v>640</v>
      </c>
      <c r="L99" s="42" t="str">
        <f aca="false">IF(N99&lt;&gt;"","",IF(F99&gt;=3,"Bulk (3+ items)","Regular"))</f>
        <v>Bulk (3+ items)</v>
      </c>
      <c r="M99" s="42" t="str">
        <f aca="false">IF(J99="Completed","Yes","No")</f>
        <v>Yes</v>
      </c>
      <c r="N99" s="42" t="str">
        <f aca="false">IF(F99="","Quantity missing",IF(F99&lt;=0,"Quantity invalid",IF(G99="","Price missing","")))</f>
        <v/>
      </c>
      <c r="O99" s="38"/>
      <c r="P99" s="43" t="s">
        <v>234</v>
      </c>
      <c r="Q99" s="43" t="s">
        <v>108</v>
      </c>
      <c r="R99" s="43" t="s">
        <v>103</v>
      </c>
    </row>
    <row r="100" customFormat="false" ht="15" hidden="false" customHeight="true" outlineLevel="0" collapsed="false">
      <c r="A100" s="38" t="s">
        <v>319</v>
      </c>
      <c r="B100" s="39" t="n">
        <v>46084</v>
      </c>
      <c r="C100" s="38" t="str">
        <f aca="false">TRIM(PROPER(P100))</f>
        <v>Devansh Rao</v>
      </c>
      <c r="D100" s="38" t="s">
        <v>154</v>
      </c>
      <c r="E100" s="38" t="s">
        <v>122</v>
      </c>
      <c r="F100" s="40" t="n">
        <v>1</v>
      </c>
      <c r="G100" s="41" t="n">
        <v>220</v>
      </c>
      <c r="H100" s="38" t="s">
        <v>121</v>
      </c>
      <c r="I100" s="38" t="str">
        <f aca="false">TRIM(PROPER(Q100))</f>
        <v>Chennai</v>
      </c>
      <c r="J100" s="38" t="str">
        <f aca="false">TRIM(PROPER(R100))</f>
        <v>Completed</v>
      </c>
      <c r="K100" s="41" t="n">
        <f aca="false">IF(N100="",F100*G100,0)</f>
        <v>220</v>
      </c>
      <c r="L100" s="42" t="str">
        <f aca="false">IF(N100&lt;&gt;"","",IF(F100&gt;=3,"Bulk (3+ items)","Regular"))</f>
        <v>Regular</v>
      </c>
      <c r="M100" s="42" t="str">
        <f aca="false">IF(J100="Completed","Yes","No")</f>
        <v>Yes</v>
      </c>
      <c r="N100" s="42" t="str">
        <f aca="false">IF(F100="","Quantity missing",IF(F100&lt;=0,"Quantity invalid",IF(G100="","Price missing","")))</f>
        <v/>
      </c>
      <c r="O100" s="38"/>
      <c r="P100" s="43" t="s">
        <v>310</v>
      </c>
      <c r="Q100" s="43" t="s">
        <v>104</v>
      </c>
      <c r="R100" s="43" t="s">
        <v>103</v>
      </c>
    </row>
    <row r="101" customFormat="false" ht="15" hidden="false" customHeight="true" outlineLevel="0" collapsed="false">
      <c r="A101" s="38" t="s">
        <v>320</v>
      </c>
      <c r="B101" s="39" t="n">
        <v>46093</v>
      </c>
      <c r="C101" s="38" t="str">
        <f aca="false">TRIM(PROPER(P101))</f>
        <v>Trisha Reddy</v>
      </c>
      <c r="D101" s="38" t="s">
        <v>238</v>
      </c>
      <c r="E101" s="38" t="s">
        <v>118</v>
      </c>
      <c r="F101" s="40" t="n">
        <v>4</v>
      </c>
      <c r="G101" s="41"/>
      <c r="H101" s="38" t="s">
        <v>121</v>
      </c>
      <c r="I101" s="38" t="str">
        <f aca="false">TRIM(PROPER(Q101))</f>
        <v>Pune</v>
      </c>
      <c r="J101" s="38" t="str">
        <f aca="false">TRIM(PROPER(R101))</f>
        <v>Completed</v>
      </c>
      <c r="K101" s="41" t="n">
        <f aca="false">IF(N101="",F101*G101,0)</f>
        <v>0</v>
      </c>
      <c r="L101" s="42" t="str">
        <f aca="false">IF(N101&lt;&gt;"","",IF(F101&gt;=3,"Bulk (3+ items)","Regular"))</f>
        <v/>
      </c>
      <c r="M101" s="42" t="str">
        <f aca="false">IF(J101="Completed","Yes","No")</f>
        <v>Yes</v>
      </c>
      <c r="N101" s="42" t="str">
        <f aca="false">IF(F101="","Quantity missing",IF(F101&lt;=0,"Quantity invalid",IF(G101="","Price missing","")))</f>
        <v>Price missing</v>
      </c>
      <c r="O101" s="38"/>
      <c r="P101" s="43" t="s">
        <v>162</v>
      </c>
      <c r="Q101" s="43" t="s">
        <v>194</v>
      </c>
      <c r="R101" s="43" t="s">
        <v>103</v>
      </c>
    </row>
    <row r="102" customFormat="false" ht="15" hidden="false" customHeight="true" outlineLevel="0" collapsed="false">
      <c r="A102" s="38" t="s">
        <v>321</v>
      </c>
      <c r="B102" s="39" t="n">
        <v>46106</v>
      </c>
      <c r="C102" s="38" t="str">
        <f aca="false">TRIM(PROPER(P102))</f>
        <v>Devansh Rao</v>
      </c>
      <c r="D102" s="38" t="s">
        <v>238</v>
      </c>
      <c r="E102" s="38" t="s">
        <v>118</v>
      </c>
      <c r="F102" s="40" t="n">
        <v>1</v>
      </c>
      <c r="G102" s="41" t="n">
        <v>200</v>
      </c>
      <c r="H102" s="38" t="s">
        <v>119</v>
      </c>
      <c r="I102" s="38" t="str">
        <f aca="false">TRIM(PROPER(Q102))</f>
        <v>Delhi</v>
      </c>
      <c r="J102" s="38" t="str">
        <f aca="false">TRIM(PROPER(R102))</f>
        <v>Completed</v>
      </c>
      <c r="K102" s="41" t="n">
        <f aca="false">IF(N102="",F102*G102,0)</f>
        <v>200</v>
      </c>
      <c r="L102" s="42" t="str">
        <f aca="false">IF(N102&lt;&gt;"","",IF(F102&gt;=3,"Bulk (3+ items)","Regular"))</f>
        <v>Regular</v>
      </c>
      <c r="M102" s="42" t="str">
        <f aca="false">IF(J102="Completed","Yes","No")</f>
        <v>Yes</v>
      </c>
      <c r="N102" s="42" t="str">
        <f aca="false">IF(F102="","Quantity missing",IF(F102&lt;=0,"Quantity invalid",IF(G102="","Price missing","")))</f>
        <v/>
      </c>
      <c r="O102" s="38"/>
      <c r="P102" s="43" t="s">
        <v>234</v>
      </c>
      <c r="Q102" s="43" t="s">
        <v>205</v>
      </c>
      <c r="R102" s="43" t="s">
        <v>103</v>
      </c>
    </row>
    <row r="103" customFormat="false" ht="15" hidden="false" customHeight="true" outlineLevel="0" collapsed="false">
      <c r="A103" s="38" t="s">
        <v>322</v>
      </c>
      <c r="B103" s="39" t="n">
        <v>46102</v>
      </c>
      <c r="C103" s="38" t="str">
        <f aca="false">TRIM(PROPER(P103))</f>
        <v>Ananya Iyer</v>
      </c>
      <c r="D103" s="38" t="s">
        <v>164</v>
      </c>
      <c r="E103" s="38" t="s">
        <v>118</v>
      </c>
      <c r="F103" s="40" t="n">
        <v>2</v>
      </c>
      <c r="G103" s="41" t="n">
        <v>160</v>
      </c>
      <c r="H103" s="38" t="s">
        <v>123</v>
      </c>
      <c r="I103" s="38" t="str">
        <f aca="false">TRIM(PROPER(Q103))</f>
        <v>Mumbai</v>
      </c>
      <c r="J103" s="38" t="str">
        <f aca="false">TRIM(PROPER(R103))</f>
        <v>Completed</v>
      </c>
      <c r="K103" s="41" t="n">
        <f aca="false">IF(N103="",F103*G103,0)</f>
        <v>320</v>
      </c>
      <c r="L103" s="42" t="str">
        <f aca="false">IF(N103&lt;&gt;"","",IF(F103&gt;=3,"Bulk (3+ items)","Regular"))</f>
        <v>Regular</v>
      </c>
      <c r="M103" s="42" t="str">
        <f aca="false">IF(J103="Completed","Yes","No")</f>
        <v>Yes</v>
      </c>
      <c r="N103" s="42" t="str">
        <f aca="false">IF(F103="","Quantity missing",IF(F103&lt;=0,"Quantity invalid",IF(G103="","Price missing","")))</f>
        <v/>
      </c>
      <c r="O103" s="38"/>
      <c r="P103" s="43" t="s">
        <v>173</v>
      </c>
      <c r="Q103" s="43" t="s">
        <v>108</v>
      </c>
      <c r="R103" s="43" t="s">
        <v>103</v>
      </c>
    </row>
    <row r="104" customFormat="false" ht="15" hidden="false" customHeight="true" outlineLevel="0" collapsed="false">
      <c r="A104" s="38" t="s">
        <v>323</v>
      </c>
      <c r="B104" s="39" t="n">
        <v>46091</v>
      </c>
      <c r="C104" s="38" t="str">
        <f aca="false">TRIM(PROPER(P104))</f>
        <v>Ananya Iyer</v>
      </c>
      <c r="D104" s="38" t="s">
        <v>192</v>
      </c>
      <c r="E104" s="38" t="s">
        <v>118</v>
      </c>
      <c r="F104" s="40" t="n">
        <v>1</v>
      </c>
      <c r="G104" s="41" t="n">
        <v>180</v>
      </c>
      <c r="H104" s="38" t="s">
        <v>119</v>
      </c>
      <c r="I104" s="38" t="str">
        <f aca="false">TRIM(PROPER(Q104))</f>
        <v>Bengaluru</v>
      </c>
      <c r="J104" s="38" t="str">
        <f aca="false">TRIM(PROPER(R104))</f>
        <v>Completed</v>
      </c>
      <c r="K104" s="41" t="n">
        <f aca="false">IF(N104="",F104*G104,0)</f>
        <v>180</v>
      </c>
      <c r="L104" s="42" t="str">
        <f aca="false">IF(N104&lt;&gt;"","",IF(F104&gt;=3,"Bulk (3+ items)","Regular"))</f>
        <v>Regular</v>
      </c>
      <c r="M104" s="42" t="str">
        <f aca="false">IF(J104="Completed","Yes","No")</f>
        <v>Yes</v>
      </c>
      <c r="N104" s="42" t="str">
        <f aca="false">IF(F104="","Quantity missing",IF(F104&lt;=0,"Quantity invalid",IF(G104="","Price missing","")))</f>
        <v/>
      </c>
      <c r="O104" s="38"/>
      <c r="P104" s="43" t="s">
        <v>173</v>
      </c>
      <c r="Q104" s="43" t="s">
        <v>156</v>
      </c>
      <c r="R104" s="43" t="s">
        <v>206</v>
      </c>
    </row>
    <row r="105" customFormat="false" ht="15" hidden="false" customHeight="true" outlineLevel="0" collapsed="false">
      <c r="A105" s="38" t="s">
        <v>324</v>
      </c>
      <c r="B105" s="39" t="n">
        <v>46086</v>
      </c>
      <c r="C105" s="38" t="str">
        <f aca="false">TRIM(PROPER(P105))</f>
        <v>Fahad Khan</v>
      </c>
      <c r="D105" s="38" t="s">
        <v>150</v>
      </c>
      <c r="E105" s="38" t="s">
        <v>118</v>
      </c>
      <c r="F105" s="40" t="n">
        <v>1</v>
      </c>
      <c r="G105" s="41"/>
      <c r="H105" s="38" t="s">
        <v>119</v>
      </c>
      <c r="I105" s="38" t="str">
        <f aca="false">TRIM(PROPER(Q105))</f>
        <v>Mumbai</v>
      </c>
      <c r="J105" s="38" t="str">
        <f aca="false">TRIM(PROPER(R105))</f>
        <v>Cancelled</v>
      </c>
      <c r="K105" s="41" t="n">
        <f aca="false">IF(N105="",F105*G105,0)</f>
        <v>0</v>
      </c>
      <c r="L105" s="42" t="str">
        <f aca="false">IF(N105&lt;&gt;"","",IF(F105&gt;=3,"Bulk (3+ items)","Regular"))</f>
        <v/>
      </c>
      <c r="M105" s="42" t="str">
        <f aca="false">IF(J105="Completed","Yes","No")</f>
        <v>No</v>
      </c>
      <c r="N105" s="42" t="str">
        <f aca="false">IF(F105="","Quantity missing",IF(F105&lt;=0,"Quantity invalid",IF(G105="","Price missing","")))</f>
        <v>Price missing</v>
      </c>
      <c r="O105" s="38"/>
      <c r="P105" s="43" t="s">
        <v>290</v>
      </c>
      <c r="Q105" s="43" t="s">
        <v>190</v>
      </c>
      <c r="R105" s="43" t="s">
        <v>200</v>
      </c>
    </row>
    <row r="106" customFormat="false" ht="15" hidden="false" customHeight="true" outlineLevel="0" collapsed="false">
      <c r="A106" s="38" t="s">
        <v>325</v>
      </c>
      <c r="B106" s="39" t="n">
        <v>46105</v>
      </c>
      <c r="C106" s="38" t="str">
        <f aca="false">TRIM(PROPER(P106))</f>
        <v>Rohit Sharma</v>
      </c>
      <c r="D106" s="38" t="s">
        <v>154</v>
      </c>
      <c r="E106" s="38" t="s">
        <v>122</v>
      </c>
      <c r="F106" s="40" t="n">
        <v>3</v>
      </c>
      <c r="G106" s="41" t="n">
        <v>220</v>
      </c>
      <c r="H106" s="38" t="s">
        <v>119</v>
      </c>
      <c r="I106" s="38" t="str">
        <f aca="false">TRIM(PROPER(Q106))</f>
        <v>Bengaluru</v>
      </c>
      <c r="J106" s="38" t="str">
        <f aca="false">TRIM(PROPER(R106))</f>
        <v>Completed</v>
      </c>
      <c r="K106" s="41" t="n">
        <f aca="false">IF(N106="",F106*G106,0)</f>
        <v>660</v>
      </c>
      <c r="L106" s="42" t="str">
        <f aca="false">IF(N106&lt;&gt;"","",IF(F106&gt;=3,"Bulk (3+ items)","Regular"))</f>
        <v>Bulk (3+ items)</v>
      </c>
      <c r="M106" s="42" t="str">
        <f aca="false">IF(J106="Completed","Yes","No")</f>
        <v>Yes</v>
      </c>
      <c r="N106" s="42" t="str">
        <f aca="false">IF(F106="","Quantity missing",IF(F106&lt;=0,"Quantity invalid",IF(G106="","Price missing","")))</f>
        <v/>
      </c>
      <c r="O106" s="38"/>
      <c r="P106" s="43" t="s">
        <v>294</v>
      </c>
      <c r="Q106" s="43" t="s">
        <v>102</v>
      </c>
      <c r="R106" s="43" t="s">
        <v>209</v>
      </c>
    </row>
    <row r="107" customFormat="false" ht="15" hidden="false" customHeight="true" outlineLevel="0" collapsed="false">
      <c r="A107" s="38" t="s">
        <v>326</v>
      </c>
      <c r="B107" s="39" t="n">
        <v>46098</v>
      </c>
      <c r="C107" s="38" t="str">
        <f aca="false">TRIM(PROPER(P107))</f>
        <v>Lavanya Nair</v>
      </c>
      <c r="D107" s="38" t="s">
        <v>180</v>
      </c>
      <c r="E107" s="38" t="s">
        <v>118</v>
      </c>
      <c r="F107" s="40" t="n">
        <v>2</v>
      </c>
      <c r="G107" s="41" t="n">
        <v>210</v>
      </c>
      <c r="H107" s="38" t="s">
        <v>119</v>
      </c>
      <c r="I107" s="38" t="str">
        <f aca="false">TRIM(PROPER(Q107))</f>
        <v>Bengaluru</v>
      </c>
      <c r="J107" s="38" t="str">
        <f aca="false">TRIM(PROPER(R107))</f>
        <v>Completed</v>
      </c>
      <c r="K107" s="41" t="n">
        <f aca="false">IF(N107="",F107*G107,0)</f>
        <v>420</v>
      </c>
      <c r="L107" s="42" t="str">
        <f aca="false">IF(N107&lt;&gt;"","",IF(F107&gt;=3,"Bulk (3+ items)","Regular"))</f>
        <v>Regular</v>
      </c>
      <c r="M107" s="42" t="str">
        <f aca="false">IF(J107="Completed","Yes","No")</f>
        <v>Yes</v>
      </c>
      <c r="N107" s="42" t="str">
        <f aca="false">IF(F107="","Quantity missing",IF(F107&lt;=0,"Quantity invalid",IF(G107="","Price missing","")))</f>
        <v/>
      </c>
      <c r="O107" s="38"/>
      <c r="P107" s="43" t="s">
        <v>247</v>
      </c>
      <c r="Q107" s="43" t="s">
        <v>102</v>
      </c>
      <c r="R107" s="43" t="s">
        <v>170</v>
      </c>
    </row>
    <row r="108" customFormat="false" ht="15" hidden="false" customHeight="true" outlineLevel="0" collapsed="false">
      <c r="A108" s="38" t="s">
        <v>327</v>
      </c>
      <c r="B108" s="39" t="n">
        <v>46102</v>
      </c>
      <c r="C108" s="38" t="str">
        <f aca="false">TRIM(PROPER(P108))</f>
        <v>Devansh Rao</v>
      </c>
      <c r="D108" s="38" t="s">
        <v>164</v>
      </c>
      <c r="E108" s="38" t="s">
        <v>118</v>
      </c>
      <c r="F108" s="40" t="n">
        <v>4</v>
      </c>
      <c r="G108" s="41" t="n">
        <v>160</v>
      </c>
      <c r="H108" s="38" t="s">
        <v>119</v>
      </c>
      <c r="I108" s="38" t="str">
        <f aca="false">TRIM(PROPER(Q108))</f>
        <v>Delhi</v>
      </c>
      <c r="J108" s="38" t="str">
        <f aca="false">TRIM(PROPER(R108))</f>
        <v>Cancelled</v>
      </c>
      <c r="K108" s="41" t="n">
        <f aca="false">IF(N108="",F108*G108,0)</f>
        <v>640</v>
      </c>
      <c r="L108" s="42" t="str">
        <f aca="false">IF(N108&lt;&gt;"","",IF(F108&gt;=3,"Bulk (3+ items)","Regular"))</f>
        <v>Bulk (3+ items)</v>
      </c>
      <c r="M108" s="42" t="str">
        <f aca="false">IF(J108="Completed","Yes","No")</f>
        <v>No</v>
      </c>
      <c r="N108" s="42" t="str">
        <f aca="false">IF(F108="","Quantity missing",IF(F108&lt;=0,"Quantity invalid",IF(G108="","Price missing","")))</f>
        <v/>
      </c>
      <c r="O108" s="38"/>
      <c r="P108" s="43" t="s">
        <v>234</v>
      </c>
      <c r="Q108" s="43" t="s">
        <v>205</v>
      </c>
      <c r="R108" s="43" t="s">
        <v>200</v>
      </c>
    </row>
    <row r="109" customFormat="false" ht="15" hidden="false" customHeight="true" outlineLevel="0" collapsed="false">
      <c r="A109" s="38" t="s">
        <v>328</v>
      </c>
      <c r="B109" s="39" t="n">
        <v>46092</v>
      </c>
      <c r="C109" s="38" t="str">
        <f aca="false">TRIM(PROPER(P109))</f>
        <v>Devansh Rao</v>
      </c>
      <c r="D109" s="38" t="s">
        <v>202</v>
      </c>
      <c r="E109" s="38" t="s">
        <v>120</v>
      </c>
      <c r="F109" s="40" t="n">
        <v>4</v>
      </c>
      <c r="G109" s="41" t="n">
        <v>150</v>
      </c>
      <c r="H109" s="38" t="s">
        <v>123</v>
      </c>
      <c r="I109" s="38" t="str">
        <f aca="false">TRIM(PROPER(Q109))</f>
        <v>Chennai</v>
      </c>
      <c r="J109" s="38" t="str">
        <f aca="false">TRIM(PROPER(R109))</f>
        <v>Cancelled</v>
      </c>
      <c r="K109" s="41" t="n">
        <f aca="false">IF(N109="",F109*G109,0)</f>
        <v>600</v>
      </c>
      <c r="L109" s="42" t="str">
        <f aca="false">IF(N109&lt;&gt;"","",IF(F109&gt;=3,"Bulk (3+ items)","Regular"))</f>
        <v>Bulk (3+ items)</v>
      </c>
      <c r="M109" s="42" t="str">
        <f aca="false">IF(J109="Completed","Yes","No")</f>
        <v>No</v>
      </c>
      <c r="N109" s="42" t="str">
        <f aca="false">IF(F109="","Quantity missing",IF(F109&lt;=0,"Quantity invalid",IF(G109="","Price missing","")))</f>
        <v/>
      </c>
      <c r="O109" s="38"/>
      <c r="P109" s="43" t="s">
        <v>329</v>
      </c>
      <c r="Q109" s="43" t="s">
        <v>104</v>
      </c>
      <c r="R109" s="43" t="s">
        <v>285</v>
      </c>
    </row>
    <row r="110" customFormat="false" ht="15" hidden="false" customHeight="true" outlineLevel="0" collapsed="false">
      <c r="A110" s="38" t="s">
        <v>330</v>
      </c>
      <c r="B110" s="39" t="n">
        <v>46092</v>
      </c>
      <c r="C110" s="38" t="str">
        <f aca="false">TRIM(PROPER(P110))</f>
        <v>Sahil Kapoor</v>
      </c>
      <c r="D110" s="38" t="s">
        <v>202</v>
      </c>
      <c r="E110" s="38" t="s">
        <v>120</v>
      </c>
      <c r="F110" s="40" t="n">
        <v>1</v>
      </c>
      <c r="G110" s="41" t="n">
        <v>150</v>
      </c>
      <c r="H110" s="38" t="s">
        <v>121</v>
      </c>
      <c r="I110" s="38" t="str">
        <f aca="false">TRIM(PROPER(Q110))</f>
        <v>Mumbai</v>
      </c>
      <c r="J110" s="38" t="str">
        <f aca="false">TRIM(PROPER(R110))</f>
        <v>Cancelled</v>
      </c>
      <c r="K110" s="41" t="n">
        <f aca="false">IF(N110="",F110*G110,0)</f>
        <v>150</v>
      </c>
      <c r="L110" s="42" t="str">
        <f aca="false">IF(N110&lt;&gt;"","",IF(F110&gt;=3,"Bulk (3+ items)","Regular"))</f>
        <v>Regular</v>
      </c>
      <c r="M110" s="42" t="str">
        <f aca="false">IF(J110="Completed","Yes","No")</f>
        <v>No</v>
      </c>
      <c r="N110" s="42" t="str">
        <f aca="false">IF(F110="","Quantity missing",IF(F110&lt;=0,"Quantity invalid",IF(G110="","Price missing","")))</f>
        <v/>
      </c>
      <c r="O110" s="38"/>
      <c r="P110" s="43" t="s">
        <v>331</v>
      </c>
      <c r="Q110" s="43" t="s">
        <v>146</v>
      </c>
      <c r="R110" s="43" t="s">
        <v>105</v>
      </c>
    </row>
    <row r="111" customFormat="false" ht="15" hidden="false" customHeight="true" outlineLevel="0" collapsed="false">
      <c r="A111" s="38" t="s">
        <v>332</v>
      </c>
      <c r="B111" s="39" t="n">
        <v>46103</v>
      </c>
      <c r="C111" s="38" t="str">
        <f aca="false">TRIM(PROPER(P111))</f>
        <v>Sahil Kapoor</v>
      </c>
      <c r="D111" s="38" t="s">
        <v>139</v>
      </c>
      <c r="E111" s="38" t="s">
        <v>120</v>
      </c>
      <c r="F111" s="40" t="n">
        <v>4</v>
      </c>
      <c r="G111" s="41" t="n">
        <v>110</v>
      </c>
      <c r="H111" s="38" t="s">
        <v>121</v>
      </c>
      <c r="I111" s="38" t="str">
        <f aca="false">TRIM(PROPER(Q111))</f>
        <v>Pune</v>
      </c>
      <c r="J111" s="38" t="str">
        <f aca="false">TRIM(PROPER(R111))</f>
        <v>Completed</v>
      </c>
      <c r="K111" s="41" t="n">
        <f aca="false">IF(N111="",F111*G111,0)</f>
        <v>440</v>
      </c>
      <c r="L111" s="42" t="str">
        <f aca="false">IF(N111&lt;&gt;"","",IF(F111&gt;=3,"Bulk (3+ items)","Regular"))</f>
        <v>Bulk (3+ items)</v>
      </c>
      <c r="M111" s="42" t="str">
        <f aca="false">IF(J111="Completed","Yes","No")</f>
        <v>Yes</v>
      </c>
      <c r="N111" s="42" t="str">
        <f aca="false">IF(F111="","Quantity missing",IF(F111&lt;=0,"Quantity invalid",IF(G111="","Price missing","")))</f>
        <v/>
      </c>
      <c r="O111" s="38"/>
      <c r="P111" s="43" t="s">
        <v>331</v>
      </c>
      <c r="Q111" s="43" t="s">
        <v>297</v>
      </c>
      <c r="R111" s="43" t="s">
        <v>103</v>
      </c>
    </row>
    <row r="112" customFormat="false" ht="15" hidden="false" customHeight="true" outlineLevel="0" collapsed="false">
      <c r="A112" s="38" t="s">
        <v>333</v>
      </c>
      <c r="B112" s="39" t="n">
        <v>46087</v>
      </c>
      <c r="C112" s="38" t="str">
        <f aca="false">TRIM(PROPER(P112))</f>
        <v>Trisha Reddy</v>
      </c>
      <c r="D112" s="38" t="s">
        <v>150</v>
      </c>
      <c r="E112" s="38" t="s">
        <v>118</v>
      </c>
      <c r="F112" s="40" t="n">
        <v>2</v>
      </c>
      <c r="G112" s="41" t="n">
        <v>120</v>
      </c>
      <c r="H112" s="38" t="s">
        <v>121</v>
      </c>
      <c r="I112" s="38" t="str">
        <f aca="false">TRIM(PROPER(Q112))</f>
        <v>Bengaluru</v>
      </c>
      <c r="J112" s="38" t="str">
        <f aca="false">TRIM(PROPER(R112))</f>
        <v>Completed</v>
      </c>
      <c r="K112" s="41" t="n">
        <f aca="false">IF(N112="",F112*G112,0)</f>
        <v>240</v>
      </c>
      <c r="L112" s="42" t="str">
        <f aca="false">IF(N112&lt;&gt;"","",IF(F112&gt;=3,"Bulk (3+ items)","Regular"))</f>
        <v>Regular</v>
      </c>
      <c r="M112" s="42" t="str">
        <f aca="false">IF(J112="Completed","Yes","No")</f>
        <v>Yes</v>
      </c>
      <c r="N112" s="42" t="str">
        <f aca="false">IF(F112="","Quantity missing",IF(F112&lt;=0,"Quantity invalid",IF(G112="","Price missing","")))</f>
        <v/>
      </c>
      <c r="O112" s="38"/>
      <c r="P112" s="43" t="s">
        <v>334</v>
      </c>
      <c r="Q112" s="43" t="s">
        <v>102</v>
      </c>
      <c r="R112" s="43" t="s">
        <v>209</v>
      </c>
    </row>
    <row r="113" customFormat="false" ht="15" hidden="false" customHeight="true" outlineLevel="0" collapsed="false">
      <c r="A113" s="38" t="s">
        <v>335</v>
      </c>
      <c r="B113" s="39" t="n">
        <v>46084</v>
      </c>
      <c r="C113" s="38" t="str">
        <f aca="false">TRIM(PROPER(P113))</f>
        <v>Rohit Sharma</v>
      </c>
      <c r="D113" s="38" t="s">
        <v>159</v>
      </c>
      <c r="E113" s="38" t="s">
        <v>118</v>
      </c>
      <c r="F113" s="40" t="n">
        <v>2</v>
      </c>
      <c r="G113" s="41" t="n">
        <v>190</v>
      </c>
      <c r="H113" s="38" t="s">
        <v>123</v>
      </c>
      <c r="I113" s="38" t="str">
        <f aca="false">TRIM(PROPER(Q113))</f>
        <v>Bengaluru</v>
      </c>
      <c r="J113" s="38" t="str">
        <f aca="false">TRIM(PROPER(R113))</f>
        <v>Cancelled</v>
      </c>
      <c r="K113" s="41" t="n">
        <f aca="false">IF(N113="",F113*G113,0)</f>
        <v>380</v>
      </c>
      <c r="L113" s="42" t="str">
        <f aca="false">IF(N113&lt;&gt;"","",IF(F113&gt;=3,"Bulk (3+ items)","Regular"))</f>
        <v>Regular</v>
      </c>
      <c r="M113" s="42" t="str">
        <f aca="false">IF(J113="Completed","Yes","No")</f>
        <v>No</v>
      </c>
      <c r="N113" s="42" t="str">
        <f aca="false">IF(F113="","Quantity missing",IF(F113&lt;=0,"Quantity invalid",IF(G113="","Price missing","")))</f>
        <v/>
      </c>
      <c r="O113" s="38"/>
      <c r="P113" s="43" t="s">
        <v>336</v>
      </c>
      <c r="Q113" s="43" t="s">
        <v>169</v>
      </c>
      <c r="R113" s="43" t="s">
        <v>147</v>
      </c>
    </row>
    <row r="114" customFormat="false" ht="15" hidden="false" customHeight="true" outlineLevel="0" collapsed="false">
      <c r="A114" s="38" t="s">
        <v>337</v>
      </c>
      <c r="B114" s="39" t="n">
        <v>46091</v>
      </c>
      <c r="C114" s="38" t="str">
        <f aca="false">TRIM(PROPER(P114))</f>
        <v>Devansh Rao</v>
      </c>
      <c r="D114" s="38" t="s">
        <v>180</v>
      </c>
      <c r="E114" s="38" t="s">
        <v>118</v>
      </c>
      <c r="F114" s="40"/>
      <c r="G114" s="41" t="n">
        <v>210</v>
      </c>
      <c r="H114" s="38" t="s">
        <v>123</v>
      </c>
      <c r="I114" s="38" t="str">
        <f aca="false">TRIM(PROPER(Q114))</f>
        <v>Pune</v>
      </c>
      <c r="J114" s="38" t="str">
        <f aca="false">TRIM(PROPER(R114))</f>
        <v>Refunded</v>
      </c>
      <c r="K114" s="41" t="n">
        <f aca="false">IF(N114="",F114*G114,0)</f>
        <v>0</v>
      </c>
      <c r="L114" s="42" t="str">
        <f aca="false">IF(N114&lt;&gt;"","",IF(F114&gt;=3,"Bulk (3+ items)","Regular"))</f>
        <v/>
      </c>
      <c r="M114" s="42" t="str">
        <f aca="false">IF(J114="Completed","Yes","No")</f>
        <v>No</v>
      </c>
      <c r="N114" s="42" t="str">
        <f aca="false">IF(F114="","Quantity missing",IF(F114&lt;=0,"Quantity invalid",IF(G114="","Price missing","")))</f>
        <v>Quantity missing</v>
      </c>
      <c r="O114" s="38"/>
      <c r="P114" s="43" t="s">
        <v>203</v>
      </c>
      <c r="Q114" s="43" t="s">
        <v>178</v>
      </c>
      <c r="R114" s="43" t="s">
        <v>187</v>
      </c>
    </row>
    <row r="115" customFormat="false" ht="15" hidden="false" customHeight="true" outlineLevel="0" collapsed="false">
      <c r="A115" s="38" t="s">
        <v>338</v>
      </c>
      <c r="B115" s="39" t="n">
        <v>46093</v>
      </c>
      <c r="C115" s="38" t="str">
        <f aca="false">TRIM(PROPER(P115))</f>
        <v>Ananya Iyer</v>
      </c>
      <c r="D115" s="38" t="s">
        <v>172</v>
      </c>
      <c r="E115" s="38" t="s">
        <v>120</v>
      </c>
      <c r="F115" s="40" t="n">
        <v>-1</v>
      </c>
      <c r="G115" s="41" t="n">
        <v>140</v>
      </c>
      <c r="H115" s="38" t="s">
        <v>119</v>
      </c>
      <c r="I115" s="38" t="str">
        <f aca="false">TRIM(PROPER(Q115))</f>
        <v>Delhi</v>
      </c>
      <c r="J115" s="38" t="str">
        <f aca="false">TRIM(PROPER(R115))</f>
        <v>Refunded</v>
      </c>
      <c r="K115" s="41" t="n">
        <f aca="false">IF(N115="",F115*G115,0)</f>
        <v>0</v>
      </c>
      <c r="L115" s="42" t="str">
        <f aca="false">IF(N115&lt;&gt;"","",IF(F115&gt;=3,"Bulk (3+ items)","Regular"))</f>
        <v/>
      </c>
      <c r="M115" s="42" t="str">
        <f aca="false">IF(J115="Completed","Yes","No")</f>
        <v>No</v>
      </c>
      <c r="N115" s="42" t="str">
        <f aca="false">IF(F115="","Quantity missing",IF(F115&lt;=0,"Quantity invalid",IF(G115="","Price missing","")))</f>
        <v>Quantity invalid</v>
      </c>
      <c r="O115" s="38"/>
      <c r="P115" s="43" t="s">
        <v>304</v>
      </c>
      <c r="Q115" s="43" t="s">
        <v>106</v>
      </c>
      <c r="R115" s="43" t="s">
        <v>107</v>
      </c>
    </row>
    <row r="116" customFormat="false" ht="15" hidden="false" customHeight="true" outlineLevel="0" collapsed="false">
      <c r="A116" s="38" t="s">
        <v>339</v>
      </c>
      <c r="B116" s="39" t="n">
        <v>46102</v>
      </c>
      <c r="C116" s="38" t="str">
        <f aca="false">TRIM(PROPER(P116))</f>
        <v>Aditya Joshi</v>
      </c>
      <c r="D116" s="38" t="s">
        <v>150</v>
      </c>
      <c r="E116" s="38" t="s">
        <v>118</v>
      </c>
      <c r="F116" s="40" t="n">
        <v>4</v>
      </c>
      <c r="G116" s="41" t="n">
        <v>120</v>
      </c>
      <c r="H116" s="38" t="s">
        <v>119</v>
      </c>
      <c r="I116" s="38" t="str">
        <f aca="false">TRIM(PROPER(Q116))</f>
        <v>Mumbai</v>
      </c>
      <c r="J116" s="38" t="str">
        <f aca="false">TRIM(PROPER(R116))</f>
        <v>Completed</v>
      </c>
      <c r="K116" s="41" t="n">
        <f aca="false">IF(N116="",F116*G116,0)</f>
        <v>480</v>
      </c>
      <c r="L116" s="42" t="str">
        <f aca="false">IF(N116&lt;&gt;"","",IF(F116&gt;=3,"Bulk (3+ items)","Regular"))</f>
        <v>Bulk (3+ items)</v>
      </c>
      <c r="M116" s="42" t="str">
        <f aca="false">IF(J116="Completed","Yes","No")</f>
        <v>Yes</v>
      </c>
      <c r="N116" s="42" t="str">
        <f aca="false">IF(F116="","Quantity missing",IF(F116&lt;=0,"Quantity invalid",IF(G116="","Price missing","")))</f>
        <v/>
      </c>
      <c r="O116" s="38"/>
      <c r="P116" s="43" t="s">
        <v>140</v>
      </c>
      <c r="Q116" s="43" t="s">
        <v>108</v>
      </c>
      <c r="R116" s="43" t="s">
        <v>206</v>
      </c>
    </row>
    <row r="117" customFormat="false" ht="15" hidden="false" customHeight="true" outlineLevel="0" collapsed="false">
      <c r="A117" s="38" t="s">
        <v>340</v>
      </c>
      <c r="B117" s="39" t="n">
        <v>46082</v>
      </c>
      <c r="C117" s="38" t="str">
        <f aca="false">TRIM(PROPER(P117))</f>
        <v>Ira Menon</v>
      </c>
      <c r="D117" s="38" t="s">
        <v>164</v>
      </c>
      <c r="E117" s="38" t="s">
        <v>118</v>
      </c>
      <c r="F117" s="40" t="n">
        <v>2</v>
      </c>
      <c r="G117" s="41" t="n">
        <v>160</v>
      </c>
      <c r="H117" s="38" t="s">
        <v>121</v>
      </c>
      <c r="I117" s="38" t="str">
        <f aca="false">TRIM(PROPER(Q117))</f>
        <v>Delhi</v>
      </c>
      <c r="J117" s="38" t="str">
        <f aca="false">TRIM(PROPER(R117))</f>
        <v>Completed</v>
      </c>
      <c r="K117" s="41" t="n">
        <f aca="false">IF(N117="",F117*G117,0)</f>
        <v>320</v>
      </c>
      <c r="L117" s="42" t="str">
        <f aca="false">IF(N117&lt;&gt;"","",IF(F117&gt;=3,"Bulk (3+ items)","Regular"))</f>
        <v>Regular</v>
      </c>
      <c r="M117" s="42" t="str">
        <f aca="false">IF(J117="Completed","Yes","No")</f>
        <v>Yes</v>
      </c>
      <c r="N117" s="42" t="str">
        <f aca="false">IF(F117="","Quantity missing",IF(F117&lt;=0,"Quantity invalid",IF(G117="","Price missing","")))</f>
        <v/>
      </c>
      <c r="O117" s="38"/>
      <c r="P117" s="43" t="s">
        <v>155</v>
      </c>
      <c r="Q117" s="43" t="s">
        <v>270</v>
      </c>
      <c r="R117" s="43" t="s">
        <v>103</v>
      </c>
    </row>
    <row r="118" customFormat="false" ht="15" hidden="false" customHeight="true" outlineLevel="0" collapsed="false">
      <c r="A118" s="38" t="s">
        <v>341</v>
      </c>
      <c r="B118" s="39" t="n">
        <v>46110</v>
      </c>
      <c r="C118" s="38" t="str">
        <f aca="false">TRIM(PROPER(P118))</f>
        <v>Trisha Reddy</v>
      </c>
      <c r="D118" s="38" t="s">
        <v>164</v>
      </c>
      <c r="E118" s="38" t="s">
        <v>118</v>
      </c>
      <c r="F118" s="40" t="n">
        <v>4</v>
      </c>
      <c r="G118" s="41" t="n">
        <v>160</v>
      </c>
      <c r="H118" s="38" t="s">
        <v>121</v>
      </c>
      <c r="I118" s="38" t="str">
        <f aca="false">TRIM(PROPER(Q118))</f>
        <v>Mumbai</v>
      </c>
      <c r="J118" s="38" t="str">
        <f aca="false">TRIM(PROPER(R118))</f>
        <v>Completed</v>
      </c>
      <c r="K118" s="41" t="n">
        <f aca="false">IF(N118="",F118*G118,0)</f>
        <v>640</v>
      </c>
      <c r="L118" s="42" t="str">
        <f aca="false">IF(N118&lt;&gt;"","",IF(F118&gt;=3,"Bulk (3+ items)","Regular"))</f>
        <v>Bulk (3+ items)</v>
      </c>
      <c r="M118" s="42" t="str">
        <f aca="false">IF(J118="Completed","Yes","No")</f>
        <v>Yes</v>
      </c>
      <c r="N118" s="42" t="str">
        <f aca="false">IF(F118="","Quantity missing",IF(F118&lt;=0,"Quantity invalid",IF(G118="","Price missing","")))</f>
        <v/>
      </c>
      <c r="O118" s="38"/>
      <c r="P118" s="43" t="s">
        <v>162</v>
      </c>
      <c r="Q118" s="43" t="s">
        <v>342</v>
      </c>
      <c r="R118" s="43" t="s">
        <v>209</v>
      </c>
    </row>
    <row r="119" customFormat="false" ht="15" hidden="false" customHeight="true" outlineLevel="0" collapsed="false">
      <c r="A119" s="38" t="s">
        <v>343</v>
      </c>
      <c r="B119" s="39" t="n">
        <v>46087</v>
      </c>
      <c r="C119" s="38" t="str">
        <f aca="false">TRIM(PROPER(P119))</f>
        <v>Ritika Shah</v>
      </c>
      <c r="D119" s="38" t="s">
        <v>238</v>
      </c>
      <c r="E119" s="38" t="s">
        <v>118</v>
      </c>
      <c r="F119" s="40" t="n">
        <v>1</v>
      </c>
      <c r="G119" s="41" t="n">
        <v>200</v>
      </c>
      <c r="H119" s="38" t="s">
        <v>123</v>
      </c>
      <c r="I119" s="38" t="str">
        <f aca="false">TRIM(PROPER(Q119))</f>
        <v>Delhi</v>
      </c>
      <c r="J119" s="38" t="str">
        <f aca="false">TRIM(PROPER(R119))</f>
        <v>Completed</v>
      </c>
      <c r="K119" s="41" t="n">
        <f aca="false">IF(N119="",F119*G119,0)</f>
        <v>200</v>
      </c>
      <c r="L119" s="42" t="str">
        <f aca="false">IF(N119&lt;&gt;"","",IF(F119&gt;=3,"Bulk (3+ items)","Regular"))</f>
        <v>Regular</v>
      </c>
      <c r="M119" s="42" t="str">
        <f aca="false">IF(J119="Completed","Yes","No")</f>
        <v>Yes</v>
      </c>
      <c r="N119" s="42" t="str">
        <f aca="false">IF(F119="","Quantity missing",IF(F119&lt;=0,"Quantity invalid",IF(G119="","Price missing","")))</f>
        <v/>
      </c>
      <c r="O119" s="38"/>
      <c r="P119" s="43" t="s">
        <v>223</v>
      </c>
      <c r="Q119" s="43" t="s">
        <v>106</v>
      </c>
      <c r="R119" s="43" t="s">
        <v>103</v>
      </c>
    </row>
    <row r="120" customFormat="false" ht="15" hidden="false" customHeight="true" outlineLevel="0" collapsed="false">
      <c r="A120" s="38" t="s">
        <v>344</v>
      </c>
      <c r="B120" s="39" t="n">
        <v>46082</v>
      </c>
      <c r="C120" s="38" t="str">
        <f aca="false">TRIM(PROPER(P120))</f>
        <v>Devansh Rao</v>
      </c>
      <c r="D120" s="38" t="s">
        <v>238</v>
      </c>
      <c r="E120" s="38" t="s">
        <v>118</v>
      </c>
      <c r="F120" s="40" t="n">
        <v>3</v>
      </c>
      <c r="G120" s="41" t="n">
        <v>200</v>
      </c>
      <c r="H120" s="38" t="s">
        <v>119</v>
      </c>
      <c r="I120" s="38" t="str">
        <f aca="false">TRIM(PROPER(Q120))</f>
        <v>Bengaluru</v>
      </c>
      <c r="J120" s="38" t="str">
        <f aca="false">TRIM(PROPER(R120))</f>
        <v>Completed</v>
      </c>
      <c r="K120" s="41" t="n">
        <f aca="false">IF(N120="",F120*G120,0)</f>
        <v>600</v>
      </c>
      <c r="L120" s="42" t="str">
        <f aca="false">IF(N120&lt;&gt;"","",IF(F120&gt;=3,"Bulk (3+ items)","Regular"))</f>
        <v>Bulk (3+ items)</v>
      </c>
      <c r="M120" s="42" t="str">
        <f aca="false">IF(J120="Completed","Yes","No")</f>
        <v>Yes</v>
      </c>
      <c r="N120" s="42" t="str">
        <f aca="false">IF(F120="","Quantity missing",IF(F120&lt;=0,"Quantity invalid",IF(G120="","Price missing","")))</f>
        <v/>
      </c>
      <c r="O120" s="38"/>
      <c r="P120" s="43" t="s">
        <v>234</v>
      </c>
      <c r="Q120" s="43" t="s">
        <v>197</v>
      </c>
      <c r="R120" s="43" t="s">
        <v>206</v>
      </c>
    </row>
    <row r="121" customFormat="false" ht="15" hidden="false" customHeight="true" outlineLevel="0" collapsed="false">
      <c r="A121" s="38" t="s">
        <v>345</v>
      </c>
      <c r="B121" s="39" t="n">
        <v>46092</v>
      </c>
      <c r="C121" s="38" t="str">
        <f aca="false">TRIM(PROPER(P121))</f>
        <v>Lavanya Nair</v>
      </c>
      <c r="D121" s="38" t="s">
        <v>150</v>
      </c>
      <c r="E121" s="38" t="s">
        <v>118</v>
      </c>
      <c r="F121" s="40" t="n">
        <v>1</v>
      </c>
      <c r="G121" s="41" t="n">
        <v>120</v>
      </c>
      <c r="H121" s="38" t="s">
        <v>119</v>
      </c>
      <c r="I121" s="38" t="str">
        <f aca="false">TRIM(PROPER(Q121))</f>
        <v>Mumbai</v>
      </c>
      <c r="J121" s="38" t="str">
        <f aca="false">TRIM(PROPER(R121))</f>
        <v>Completed</v>
      </c>
      <c r="K121" s="41" t="n">
        <f aca="false">IF(N121="",F121*G121,0)</f>
        <v>120</v>
      </c>
      <c r="L121" s="42" t="str">
        <f aca="false">IF(N121&lt;&gt;"","",IF(F121&gt;=3,"Bulk (3+ items)","Regular"))</f>
        <v>Regular</v>
      </c>
      <c r="M121" s="42" t="str">
        <f aca="false">IF(J121="Completed","Yes","No")</f>
        <v>Yes</v>
      </c>
      <c r="N121" s="42" t="str">
        <f aca="false">IF(F121="","Quantity missing",IF(F121&lt;=0,"Quantity invalid",IF(G121="","Price missing","")))</f>
        <v/>
      </c>
      <c r="O121" s="38"/>
      <c r="P121" s="43" t="s">
        <v>346</v>
      </c>
      <c r="Q121" s="43" t="s">
        <v>108</v>
      </c>
      <c r="R121" s="43" t="s">
        <v>103</v>
      </c>
    </row>
    <row r="122" customFormat="false" ht="15" hidden="false" customHeight="true" outlineLevel="0" collapsed="false">
      <c r="A122" s="38" t="s">
        <v>347</v>
      </c>
      <c r="B122" s="39" t="n">
        <v>46095</v>
      </c>
      <c r="C122" s="38" t="str">
        <f aca="false">TRIM(PROPER(P122))</f>
        <v>Ira Menon</v>
      </c>
      <c r="D122" s="38" t="s">
        <v>159</v>
      </c>
      <c r="E122" s="38" t="s">
        <v>118</v>
      </c>
      <c r="F122" s="40" t="n">
        <v>1</v>
      </c>
      <c r="G122" s="41" t="n">
        <v>190</v>
      </c>
      <c r="H122" s="38" t="s">
        <v>121</v>
      </c>
      <c r="I122" s="38" t="str">
        <f aca="false">TRIM(PROPER(Q122))</f>
        <v>Pune</v>
      </c>
      <c r="J122" s="38" t="str">
        <f aca="false">TRIM(PROPER(R122))</f>
        <v>Completed</v>
      </c>
      <c r="K122" s="41" t="n">
        <f aca="false">IF(N122="",F122*G122,0)</f>
        <v>190</v>
      </c>
      <c r="L122" s="42" t="str">
        <f aca="false">IF(N122&lt;&gt;"","",IF(F122&gt;=3,"Bulk (3+ items)","Regular"))</f>
        <v>Regular</v>
      </c>
      <c r="M122" s="42" t="str">
        <f aca="false">IF(J122="Completed","Yes","No")</f>
        <v>Yes</v>
      </c>
      <c r="N122" s="42" t="str">
        <f aca="false">IF(F122="","Quantity missing",IF(F122&lt;=0,"Quantity invalid",IF(G122="","Price missing","")))</f>
        <v/>
      </c>
      <c r="O122" s="38"/>
      <c r="P122" s="43" t="s">
        <v>155</v>
      </c>
      <c r="Q122" s="43" t="s">
        <v>110</v>
      </c>
      <c r="R122" s="43" t="s">
        <v>170</v>
      </c>
    </row>
    <row r="123" customFormat="false" ht="15" hidden="false" customHeight="true" outlineLevel="0" collapsed="false">
      <c r="A123" s="38" t="s">
        <v>348</v>
      </c>
      <c r="B123" s="39" t="n">
        <v>46106</v>
      </c>
      <c r="C123" s="38" t="str">
        <f aca="false">TRIM(PROPER(P123))</f>
        <v>Aditya Joshi</v>
      </c>
      <c r="D123" s="38" t="s">
        <v>150</v>
      </c>
      <c r="E123" s="38" t="s">
        <v>118</v>
      </c>
      <c r="F123" s="40" t="n">
        <v>2</v>
      </c>
      <c r="G123" s="41" t="n">
        <v>120</v>
      </c>
      <c r="H123" s="38" t="s">
        <v>119</v>
      </c>
      <c r="I123" s="38" t="str">
        <f aca="false">TRIM(PROPER(Q123))</f>
        <v>Bengaluru</v>
      </c>
      <c r="J123" s="38" t="str">
        <f aca="false">TRIM(PROPER(R123))</f>
        <v>Refunded</v>
      </c>
      <c r="K123" s="41" t="n">
        <f aca="false">IF(N123="",F123*G123,0)</f>
        <v>240</v>
      </c>
      <c r="L123" s="42" t="str">
        <f aca="false">IF(N123&lt;&gt;"","",IF(F123&gt;=3,"Bulk (3+ items)","Regular"))</f>
        <v>Regular</v>
      </c>
      <c r="M123" s="42" t="str">
        <f aca="false">IF(J123="Completed","Yes","No")</f>
        <v>No</v>
      </c>
      <c r="N123" s="42" t="str">
        <f aca="false">IF(F123="","Quantity missing",IF(F123&lt;=0,"Quantity invalid",IF(G123="","Price missing","")))</f>
        <v/>
      </c>
      <c r="O123" s="38"/>
      <c r="P123" s="43" t="s">
        <v>349</v>
      </c>
      <c r="Q123" s="43" t="s">
        <v>350</v>
      </c>
      <c r="R123" s="43" t="s">
        <v>142</v>
      </c>
    </row>
    <row r="124" customFormat="false" ht="15" hidden="false" customHeight="true" outlineLevel="0" collapsed="false">
      <c r="A124" s="38" t="s">
        <v>351</v>
      </c>
      <c r="B124" s="39" t="n">
        <v>46090</v>
      </c>
      <c r="C124" s="38" t="str">
        <f aca="false">TRIM(PROPER(P124))</f>
        <v>Simran Kaur</v>
      </c>
      <c r="D124" s="38" t="s">
        <v>159</v>
      </c>
      <c r="E124" s="38" t="s">
        <v>118</v>
      </c>
      <c r="F124" s="40" t="n">
        <v>1</v>
      </c>
      <c r="G124" s="41" t="n">
        <v>190</v>
      </c>
      <c r="H124" s="38" t="s">
        <v>119</v>
      </c>
      <c r="I124" s="38" t="str">
        <f aca="false">TRIM(PROPER(Q124))</f>
        <v>Delhi</v>
      </c>
      <c r="J124" s="38" t="str">
        <f aca="false">TRIM(PROPER(R124))</f>
        <v>Completed</v>
      </c>
      <c r="K124" s="41" t="n">
        <f aca="false">IF(N124="",F124*G124,0)</f>
        <v>190</v>
      </c>
      <c r="L124" s="42" t="str">
        <f aca="false">IF(N124&lt;&gt;"","",IF(F124&gt;=3,"Bulk (3+ items)","Regular"))</f>
        <v>Regular</v>
      </c>
      <c r="M124" s="42" t="str">
        <f aca="false">IF(J124="Completed","Yes","No")</f>
        <v>Yes</v>
      </c>
      <c r="N124" s="42" t="str">
        <f aca="false">IF(F124="","Quantity missing",IF(F124&lt;=0,"Quantity invalid",IF(G124="","Price missing","")))</f>
        <v/>
      </c>
      <c r="O124" s="38"/>
      <c r="P124" s="43" t="s">
        <v>307</v>
      </c>
      <c r="Q124" s="43" t="s">
        <v>106</v>
      </c>
      <c r="R124" s="43" t="s">
        <v>209</v>
      </c>
    </row>
    <row r="125" customFormat="false" ht="15" hidden="false" customHeight="true" outlineLevel="0" collapsed="false">
      <c r="A125" s="38" t="s">
        <v>352</v>
      </c>
      <c r="B125" s="39" t="n">
        <v>46095</v>
      </c>
      <c r="C125" s="38" t="str">
        <f aca="false">TRIM(PROPER(P125))</f>
        <v>Tushar Gill</v>
      </c>
      <c r="D125" s="38" t="s">
        <v>164</v>
      </c>
      <c r="E125" s="38" t="s">
        <v>118</v>
      </c>
      <c r="F125" s="40" t="n">
        <v>2</v>
      </c>
      <c r="G125" s="41" t="n">
        <v>160</v>
      </c>
      <c r="H125" s="38" t="s">
        <v>123</v>
      </c>
      <c r="I125" s="38" t="str">
        <f aca="false">TRIM(PROPER(Q125))</f>
        <v>Mumbai</v>
      </c>
      <c r="J125" s="38" t="str">
        <f aca="false">TRIM(PROPER(R125))</f>
        <v>Completed</v>
      </c>
      <c r="K125" s="41" t="n">
        <f aca="false">IF(N125="",F125*G125,0)</f>
        <v>320</v>
      </c>
      <c r="L125" s="42" t="str">
        <f aca="false">IF(N125&lt;&gt;"","",IF(F125&gt;=3,"Bulk (3+ items)","Regular"))</f>
        <v>Regular</v>
      </c>
      <c r="M125" s="42" t="str">
        <f aca="false">IF(J125="Completed","Yes","No")</f>
        <v>Yes</v>
      </c>
      <c r="N125" s="42" t="str">
        <f aca="false">IF(F125="","Quantity missing",IF(F125&lt;=0,"Quantity invalid",IF(G125="","Price missing","")))</f>
        <v/>
      </c>
      <c r="O125" s="38"/>
      <c r="P125" s="43" t="s">
        <v>353</v>
      </c>
      <c r="Q125" s="43" t="s">
        <v>108</v>
      </c>
      <c r="R125" s="43" t="s">
        <v>103</v>
      </c>
    </row>
    <row r="126" customFormat="false" ht="15" hidden="false" customHeight="true" outlineLevel="0" collapsed="false">
      <c r="A126" s="38" t="s">
        <v>354</v>
      </c>
      <c r="B126" s="39" t="n">
        <v>46108</v>
      </c>
      <c r="C126" s="38" t="str">
        <f aca="false">TRIM(PROPER(P126))</f>
        <v>Lavanya Nair</v>
      </c>
      <c r="D126" s="38" t="s">
        <v>150</v>
      </c>
      <c r="E126" s="38" t="s">
        <v>118</v>
      </c>
      <c r="F126" s="40" t="n">
        <v>-1</v>
      </c>
      <c r="G126" s="41" t="n">
        <v>120</v>
      </c>
      <c r="H126" s="38" t="s">
        <v>123</v>
      </c>
      <c r="I126" s="38" t="str">
        <f aca="false">TRIM(PROPER(Q126))</f>
        <v>Bengaluru</v>
      </c>
      <c r="J126" s="38" t="str">
        <f aca="false">TRIM(PROPER(R126))</f>
        <v>Completed</v>
      </c>
      <c r="K126" s="41" t="n">
        <f aca="false">IF(N126="",F126*G126,0)</f>
        <v>0</v>
      </c>
      <c r="L126" s="42" t="str">
        <f aca="false">IF(N126&lt;&gt;"","",IF(F126&gt;=3,"Bulk (3+ items)","Regular"))</f>
        <v/>
      </c>
      <c r="M126" s="42" t="str">
        <f aca="false">IF(J126="Completed","Yes","No")</f>
        <v>Yes</v>
      </c>
      <c r="N126" s="42" t="str">
        <f aca="false">IF(F126="","Quantity missing",IF(F126&lt;=0,"Quantity invalid",IF(G126="","Price missing","")))</f>
        <v>Quantity invalid</v>
      </c>
      <c r="O126" s="38"/>
      <c r="P126" s="43" t="s">
        <v>247</v>
      </c>
      <c r="Q126" s="43" t="s">
        <v>156</v>
      </c>
      <c r="R126" s="43" t="s">
        <v>206</v>
      </c>
    </row>
    <row r="127" customFormat="false" ht="15" hidden="false" customHeight="true" outlineLevel="0" collapsed="false">
      <c r="A127" s="38" t="s">
        <v>355</v>
      </c>
      <c r="B127" s="39" t="n">
        <v>46089</v>
      </c>
      <c r="C127" s="38" t="str">
        <f aca="false">TRIM(PROPER(P127))</f>
        <v>Rohit Sharma</v>
      </c>
      <c r="D127" s="38" t="s">
        <v>172</v>
      </c>
      <c r="E127" s="38" t="s">
        <v>120</v>
      </c>
      <c r="F127" s="40" t="n">
        <v>1</v>
      </c>
      <c r="G127" s="41"/>
      <c r="H127" s="38" t="s">
        <v>123</v>
      </c>
      <c r="I127" s="38" t="str">
        <f aca="false">TRIM(PROPER(Q127))</f>
        <v>Bengaluru</v>
      </c>
      <c r="J127" s="38" t="str">
        <f aca="false">TRIM(PROPER(R127))</f>
        <v>Cancelled</v>
      </c>
      <c r="K127" s="41" t="n">
        <f aca="false">IF(N127="",F127*G127,0)</f>
        <v>0</v>
      </c>
      <c r="L127" s="42" t="str">
        <f aca="false">IF(N127&lt;&gt;"","",IF(F127&gt;=3,"Bulk (3+ items)","Regular"))</f>
        <v/>
      </c>
      <c r="M127" s="42" t="str">
        <f aca="false">IF(J127="Completed","Yes","No")</f>
        <v>No</v>
      </c>
      <c r="N127" s="42" t="str">
        <f aca="false">IF(F127="","Quantity missing",IF(F127&lt;=0,"Quantity invalid",IF(G127="","Price missing","")))</f>
        <v>Price missing</v>
      </c>
      <c r="O127" s="38"/>
      <c r="P127" s="43" t="s">
        <v>294</v>
      </c>
      <c r="Q127" s="43" t="s">
        <v>102</v>
      </c>
      <c r="R127" s="43" t="s">
        <v>105</v>
      </c>
    </row>
    <row r="128" customFormat="false" ht="15" hidden="false" customHeight="true" outlineLevel="0" collapsed="false">
      <c r="A128" s="38" t="s">
        <v>356</v>
      </c>
      <c r="B128" s="39" t="n">
        <v>46105</v>
      </c>
      <c r="C128" s="38" t="str">
        <f aca="false">TRIM(PROPER(P128))</f>
        <v>Kunal Verma</v>
      </c>
      <c r="D128" s="38" t="s">
        <v>159</v>
      </c>
      <c r="E128" s="38" t="s">
        <v>118</v>
      </c>
      <c r="F128" s="40" t="n">
        <v>2</v>
      </c>
      <c r="G128" s="41" t="n">
        <v>190</v>
      </c>
      <c r="H128" s="38" t="s">
        <v>123</v>
      </c>
      <c r="I128" s="38" t="str">
        <f aca="false">TRIM(PROPER(Q128))</f>
        <v>Chennai</v>
      </c>
      <c r="J128" s="38" t="str">
        <f aca="false">TRIM(PROPER(R128))</f>
        <v>Completed</v>
      </c>
      <c r="K128" s="41" t="n">
        <f aca="false">IF(N128="",F128*G128,0)</f>
        <v>380</v>
      </c>
      <c r="L128" s="42" t="str">
        <f aca="false">IF(N128&lt;&gt;"","",IF(F128&gt;=3,"Bulk (3+ items)","Regular"))</f>
        <v>Regular</v>
      </c>
      <c r="M128" s="42" t="str">
        <f aca="false">IF(J128="Completed","Yes","No")</f>
        <v>Yes</v>
      </c>
      <c r="N128" s="42" t="str">
        <f aca="false">IF(F128="","Quantity missing",IF(F128&lt;=0,"Quantity invalid",IF(G128="","Price missing","")))</f>
        <v/>
      </c>
      <c r="O128" s="38"/>
      <c r="P128" s="43" t="s">
        <v>219</v>
      </c>
      <c r="Q128" s="43" t="s">
        <v>230</v>
      </c>
      <c r="R128" s="43" t="s">
        <v>206</v>
      </c>
    </row>
    <row r="129" customFormat="false" ht="15" hidden="false" customHeight="true" outlineLevel="0" collapsed="false">
      <c r="A129" s="38" t="s">
        <v>357</v>
      </c>
      <c r="B129" s="39" t="n">
        <v>46083</v>
      </c>
      <c r="C129" s="38" t="str">
        <f aca="false">TRIM(PROPER(P129))</f>
        <v>Meher Dutta</v>
      </c>
      <c r="D129" s="38" t="s">
        <v>202</v>
      </c>
      <c r="E129" s="38" t="s">
        <v>120</v>
      </c>
      <c r="F129" s="40"/>
      <c r="G129" s="41" t="n">
        <v>150</v>
      </c>
      <c r="H129" s="38" t="s">
        <v>119</v>
      </c>
      <c r="I129" s="38" t="str">
        <f aca="false">TRIM(PROPER(Q129))</f>
        <v>Pune</v>
      </c>
      <c r="J129" s="38" t="str">
        <f aca="false">TRIM(PROPER(R129))</f>
        <v>Completed</v>
      </c>
      <c r="K129" s="41" t="n">
        <f aca="false">IF(N129="",F129*G129,0)</f>
        <v>0</v>
      </c>
      <c r="L129" s="42" t="str">
        <f aca="false">IF(N129&lt;&gt;"","",IF(F129&gt;=3,"Bulk (3+ items)","Regular"))</f>
        <v/>
      </c>
      <c r="M129" s="42" t="str">
        <f aca="false">IF(J129="Completed","Yes","No")</f>
        <v>Yes</v>
      </c>
      <c r="N129" s="42" t="str">
        <f aca="false">IF(F129="","Quantity missing",IF(F129&lt;=0,"Quantity invalid",IF(G129="","Price missing","")))</f>
        <v>Quantity missing</v>
      </c>
      <c r="O129" s="38"/>
      <c r="P129" s="43" t="s">
        <v>251</v>
      </c>
      <c r="Q129" s="43" t="s">
        <v>178</v>
      </c>
      <c r="R129" s="43" t="s">
        <v>206</v>
      </c>
    </row>
    <row r="130" customFormat="false" ht="15" hidden="false" customHeight="true" outlineLevel="0" collapsed="false">
      <c r="A130" s="38" t="s">
        <v>358</v>
      </c>
      <c r="B130" s="39" t="n">
        <v>46086</v>
      </c>
      <c r="C130" s="38" t="str">
        <f aca="false">TRIM(PROPER(P130))</f>
        <v>Sahil Kapoor</v>
      </c>
      <c r="D130" s="38" t="s">
        <v>192</v>
      </c>
      <c r="E130" s="38" t="s">
        <v>118</v>
      </c>
      <c r="F130" s="40" t="n">
        <v>1</v>
      </c>
      <c r="G130" s="41" t="n">
        <v>180</v>
      </c>
      <c r="H130" s="38" t="s">
        <v>121</v>
      </c>
      <c r="I130" s="38" t="str">
        <f aca="false">TRIM(PROPER(Q130))</f>
        <v>Pune</v>
      </c>
      <c r="J130" s="38" t="str">
        <f aca="false">TRIM(PROPER(R130))</f>
        <v>Completed</v>
      </c>
      <c r="K130" s="41" t="n">
        <f aca="false">IF(N130="",F130*G130,0)</f>
        <v>180</v>
      </c>
      <c r="L130" s="42" t="str">
        <f aca="false">IF(N130&lt;&gt;"","",IF(F130&gt;=3,"Bulk (3+ items)","Regular"))</f>
        <v>Regular</v>
      </c>
      <c r="M130" s="42" t="str">
        <f aca="false">IF(J130="Completed","Yes","No")</f>
        <v>Yes</v>
      </c>
      <c r="N130" s="42" t="str">
        <f aca="false">IF(F130="","Quantity missing",IF(F130&lt;=0,"Quantity invalid",IF(G130="","Price missing","")))</f>
        <v/>
      </c>
      <c r="O130" s="38"/>
      <c r="P130" s="43" t="s">
        <v>236</v>
      </c>
      <c r="Q130" s="43" t="s">
        <v>178</v>
      </c>
      <c r="R130" s="43" t="s">
        <v>209</v>
      </c>
    </row>
    <row r="131" customFormat="false" ht="15" hidden="false" customHeight="true" outlineLevel="0" collapsed="false">
      <c r="A131" s="38" t="s">
        <v>359</v>
      </c>
      <c r="B131" s="39" t="n">
        <v>46099</v>
      </c>
      <c r="C131" s="38" t="str">
        <f aca="false">TRIM(PROPER(P131))</f>
        <v>Om Prakash</v>
      </c>
      <c r="D131" s="38" t="s">
        <v>150</v>
      </c>
      <c r="E131" s="38" t="s">
        <v>118</v>
      </c>
      <c r="F131" s="40" t="n">
        <v>3</v>
      </c>
      <c r="G131" s="41" t="n">
        <v>120</v>
      </c>
      <c r="H131" s="38" t="s">
        <v>119</v>
      </c>
      <c r="I131" s="38" t="str">
        <f aca="false">TRIM(PROPER(Q131))</f>
        <v>Mumbai</v>
      </c>
      <c r="J131" s="38" t="str">
        <f aca="false">TRIM(PROPER(R131))</f>
        <v>Completed</v>
      </c>
      <c r="K131" s="41" t="n">
        <f aca="false">IF(N131="",F131*G131,0)</f>
        <v>360</v>
      </c>
      <c r="L131" s="42" t="str">
        <f aca="false">IF(N131&lt;&gt;"","",IF(F131&gt;=3,"Bulk (3+ items)","Regular"))</f>
        <v>Bulk (3+ items)</v>
      </c>
      <c r="M131" s="42" t="str">
        <f aca="false">IF(J131="Completed","Yes","No")</f>
        <v>Yes</v>
      </c>
      <c r="N131" s="42" t="str">
        <f aca="false">IF(F131="","Quantity missing",IF(F131&lt;=0,"Quantity invalid",IF(G131="","Price missing","")))</f>
        <v/>
      </c>
      <c r="O131" s="38"/>
      <c r="P131" s="43" t="s">
        <v>160</v>
      </c>
      <c r="Q131" s="43" t="s">
        <v>108</v>
      </c>
      <c r="R131" s="43" t="s">
        <v>170</v>
      </c>
    </row>
    <row r="132" customFormat="false" ht="15" hidden="false" customHeight="true" outlineLevel="0" collapsed="false">
      <c r="A132" s="38" t="s">
        <v>360</v>
      </c>
      <c r="B132" s="39" t="n">
        <v>46090</v>
      </c>
      <c r="C132" s="38" t="str">
        <f aca="false">TRIM(PROPER(P132))</f>
        <v>Ananya Iyer</v>
      </c>
      <c r="D132" s="38" t="s">
        <v>150</v>
      </c>
      <c r="E132" s="38" t="s">
        <v>118</v>
      </c>
      <c r="F132" s="40" t="n">
        <v>1</v>
      </c>
      <c r="G132" s="41" t="n">
        <v>120</v>
      </c>
      <c r="H132" s="38" t="s">
        <v>119</v>
      </c>
      <c r="I132" s="38" t="str">
        <f aca="false">TRIM(PROPER(Q132))</f>
        <v>Bengaluru</v>
      </c>
      <c r="J132" s="38" t="str">
        <f aca="false">TRIM(PROPER(R132))</f>
        <v>Completed</v>
      </c>
      <c r="K132" s="41" t="n">
        <f aca="false">IF(N132="",F132*G132,0)</f>
        <v>120</v>
      </c>
      <c r="L132" s="42" t="str">
        <f aca="false">IF(N132&lt;&gt;"","",IF(F132&gt;=3,"Bulk (3+ items)","Regular"))</f>
        <v>Regular</v>
      </c>
      <c r="M132" s="42" t="str">
        <f aca="false">IF(J132="Completed","Yes","No")</f>
        <v>Yes</v>
      </c>
      <c r="N132" s="42" t="str">
        <f aca="false">IF(F132="","Quantity missing",IF(F132&lt;=0,"Quantity invalid",IF(G132="","Price missing","")))</f>
        <v/>
      </c>
      <c r="O132" s="38"/>
      <c r="P132" s="43" t="s">
        <v>173</v>
      </c>
      <c r="Q132" s="43" t="s">
        <v>102</v>
      </c>
      <c r="R132" s="43" t="s">
        <v>206</v>
      </c>
    </row>
    <row r="133" customFormat="false" ht="15" hidden="false" customHeight="true" outlineLevel="0" collapsed="false">
      <c r="A133" s="38" t="s">
        <v>361</v>
      </c>
      <c r="B133" s="39" t="n">
        <v>46083</v>
      </c>
      <c r="C133" s="38" t="str">
        <f aca="false">TRIM(PROPER(P133))</f>
        <v>Devansh Rao</v>
      </c>
      <c r="D133" s="38" t="s">
        <v>159</v>
      </c>
      <c r="E133" s="38" t="s">
        <v>118</v>
      </c>
      <c r="F133" s="40" t="n">
        <v>4</v>
      </c>
      <c r="G133" s="41" t="n">
        <v>190</v>
      </c>
      <c r="H133" s="38" t="s">
        <v>123</v>
      </c>
      <c r="I133" s="38" t="str">
        <f aca="false">TRIM(PROPER(Q133))</f>
        <v>Bengaluru</v>
      </c>
      <c r="J133" s="38" t="str">
        <f aca="false">TRIM(PROPER(R133))</f>
        <v>Refunded</v>
      </c>
      <c r="K133" s="41" t="n">
        <f aca="false">IF(N133="",F133*G133,0)</f>
        <v>760</v>
      </c>
      <c r="L133" s="42" t="str">
        <f aca="false">IF(N133&lt;&gt;"","",IF(F133&gt;=3,"Bulk (3+ items)","Regular"))</f>
        <v>Bulk (3+ items)</v>
      </c>
      <c r="M133" s="42" t="str">
        <f aca="false">IF(J133="Completed","Yes","No")</f>
        <v>No</v>
      </c>
      <c r="N133" s="42" t="str">
        <f aca="false">IF(F133="","Quantity missing",IF(F133&lt;=0,"Quantity invalid",IF(G133="","Price missing","")))</f>
        <v/>
      </c>
      <c r="O133" s="38"/>
      <c r="P133" s="43" t="s">
        <v>234</v>
      </c>
      <c r="Q133" s="43" t="s">
        <v>156</v>
      </c>
      <c r="R133" s="43" t="s">
        <v>107</v>
      </c>
    </row>
    <row r="134" customFormat="false" ht="15" hidden="false" customHeight="true" outlineLevel="0" collapsed="false">
      <c r="A134" s="38" t="s">
        <v>362</v>
      </c>
      <c r="B134" s="39" t="n">
        <v>46096</v>
      </c>
      <c r="C134" s="38" t="str">
        <f aca="false">TRIM(PROPER(P134))</f>
        <v>Aditya Joshi</v>
      </c>
      <c r="D134" s="38" t="s">
        <v>202</v>
      </c>
      <c r="E134" s="38" t="s">
        <v>120</v>
      </c>
      <c r="F134" s="40" t="n">
        <v>1</v>
      </c>
      <c r="G134" s="41" t="n">
        <v>150</v>
      </c>
      <c r="H134" s="38" t="s">
        <v>119</v>
      </c>
      <c r="I134" s="38" t="str">
        <f aca="false">TRIM(PROPER(Q134))</f>
        <v>Chennai</v>
      </c>
      <c r="J134" s="38" t="str">
        <f aca="false">TRIM(PROPER(R134))</f>
        <v>Refunded</v>
      </c>
      <c r="K134" s="41" t="n">
        <f aca="false">IF(N134="",F134*G134,0)</f>
        <v>150</v>
      </c>
      <c r="L134" s="42" t="str">
        <f aca="false">IF(N134&lt;&gt;"","",IF(F134&gt;=3,"Bulk (3+ items)","Regular"))</f>
        <v>Regular</v>
      </c>
      <c r="M134" s="42" t="str">
        <f aca="false">IF(J134="Completed","Yes","No")</f>
        <v>No</v>
      </c>
      <c r="N134" s="42" t="str">
        <f aca="false">IF(F134="","Quantity missing",IF(F134&lt;=0,"Quantity invalid",IF(G134="","Price missing","")))</f>
        <v/>
      </c>
      <c r="O134" s="38"/>
      <c r="P134" s="43" t="s">
        <v>140</v>
      </c>
      <c r="Q134" s="43" t="s">
        <v>230</v>
      </c>
      <c r="R134" s="43" t="s">
        <v>107</v>
      </c>
    </row>
    <row r="135" customFormat="false" ht="15" hidden="false" customHeight="true" outlineLevel="0" collapsed="false">
      <c r="A135" s="38" t="s">
        <v>363</v>
      </c>
      <c r="B135" s="39" t="n">
        <v>46084</v>
      </c>
      <c r="C135" s="38" t="str">
        <f aca="false">TRIM(PROPER(P135))</f>
        <v>Tushar Gill</v>
      </c>
      <c r="D135" s="38" t="s">
        <v>154</v>
      </c>
      <c r="E135" s="38" t="s">
        <v>122</v>
      </c>
      <c r="F135" s="40" t="n">
        <v>1</v>
      </c>
      <c r="G135" s="41" t="n">
        <v>220</v>
      </c>
      <c r="H135" s="38" t="s">
        <v>123</v>
      </c>
      <c r="I135" s="38" t="str">
        <f aca="false">TRIM(PROPER(Q135))</f>
        <v>Pune</v>
      </c>
      <c r="J135" s="38" t="str">
        <f aca="false">TRIM(PROPER(R135))</f>
        <v>Completed</v>
      </c>
      <c r="K135" s="41" t="n">
        <f aca="false">IF(N135="",F135*G135,0)</f>
        <v>220</v>
      </c>
      <c r="L135" s="42" t="str">
        <f aca="false">IF(N135&lt;&gt;"","",IF(F135&gt;=3,"Bulk (3+ items)","Regular"))</f>
        <v>Regular</v>
      </c>
      <c r="M135" s="42" t="str">
        <f aca="false">IF(J135="Completed","Yes","No")</f>
        <v>Yes</v>
      </c>
      <c r="N135" s="42" t="str">
        <f aca="false">IF(F135="","Quantity missing",IF(F135&lt;=0,"Quantity invalid",IF(G135="","Price missing","")))</f>
        <v/>
      </c>
      <c r="O135" s="38"/>
      <c r="P135" s="43" t="s">
        <v>353</v>
      </c>
      <c r="Q135" s="43" t="s">
        <v>110</v>
      </c>
      <c r="R135" s="43" t="s">
        <v>206</v>
      </c>
    </row>
    <row r="136" customFormat="false" ht="15" hidden="false" customHeight="true" outlineLevel="0" collapsed="false">
      <c r="A136" s="38" t="s">
        <v>364</v>
      </c>
      <c r="B136" s="39" t="n">
        <v>46098</v>
      </c>
      <c r="C136" s="38" t="str">
        <f aca="false">TRIM(PROPER(P136))</f>
        <v>Kunal Verma</v>
      </c>
      <c r="D136" s="38" t="s">
        <v>154</v>
      </c>
      <c r="E136" s="38" t="s">
        <v>122</v>
      </c>
      <c r="F136" s="40" t="n">
        <v>1</v>
      </c>
      <c r="G136" s="41" t="n">
        <v>220</v>
      </c>
      <c r="H136" s="38" t="s">
        <v>119</v>
      </c>
      <c r="I136" s="38" t="str">
        <f aca="false">TRIM(PROPER(Q136))</f>
        <v>Pune</v>
      </c>
      <c r="J136" s="38" t="str">
        <f aca="false">TRIM(PROPER(R136))</f>
        <v>Completed</v>
      </c>
      <c r="K136" s="41" t="n">
        <f aca="false">IF(N136="",F136*G136,0)</f>
        <v>220</v>
      </c>
      <c r="L136" s="42" t="str">
        <f aca="false">IF(N136&lt;&gt;"","",IF(F136&gt;=3,"Bulk (3+ items)","Regular"))</f>
        <v>Regular</v>
      </c>
      <c r="M136" s="42" t="str">
        <f aca="false">IF(J136="Completed","Yes","No")</f>
        <v>Yes</v>
      </c>
      <c r="N136" s="42" t="str">
        <f aca="false">IF(F136="","Quantity missing",IF(F136&lt;=0,"Quantity invalid",IF(G136="","Price missing","")))</f>
        <v/>
      </c>
      <c r="O136" s="38"/>
      <c r="P136" s="43" t="s">
        <v>365</v>
      </c>
      <c r="Q136" s="43" t="s">
        <v>110</v>
      </c>
      <c r="R136" s="43" t="s">
        <v>103</v>
      </c>
    </row>
    <row r="137" customFormat="false" ht="15" hidden="false" customHeight="true" outlineLevel="0" collapsed="false">
      <c r="A137" s="38" t="s">
        <v>366</v>
      </c>
      <c r="B137" s="39" t="n">
        <v>46084</v>
      </c>
      <c r="C137" s="38" t="str">
        <f aca="false">TRIM(PROPER(P137))</f>
        <v>Tushar Gill</v>
      </c>
      <c r="D137" s="38" t="s">
        <v>150</v>
      </c>
      <c r="E137" s="38" t="s">
        <v>118</v>
      </c>
      <c r="F137" s="40" t="n">
        <v>2</v>
      </c>
      <c r="G137" s="41" t="n">
        <v>120</v>
      </c>
      <c r="H137" s="38" t="s">
        <v>119</v>
      </c>
      <c r="I137" s="38" t="str">
        <f aca="false">TRIM(PROPER(Q137))</f>
        <v>Pune</v>
      </c>
      <c r="J137" s="38" t="str">
        <f aca="false">TRIM(PROPER(R137))</f>
        <v>Completed</v>
      </c>
      <c r="K137" s="41" t="n">
        <f aca="false">IF(N137="",F137*G137,0)</f>
        <v>240</v>
      </c>
      <c r="L137" s="42" t="str">
        <f aca="false">IF(N137&lt;&gt;"","",IF(F137&gt;=3,"Bulk (3+ items)","Regular"))</f>
        <v>Regular</v>
      </c>
      <c r="M137" s="42" t="str">
        <f aca="false">IF(J137="Completed","Yes","No")</f>
        <v>Yes</v>
      </c>
      <c r="N137" s="42" t="str">
        <f aca="false">IF(F137="","Quantity missing",IF(F137&lt;=0,"Quantity invalid",IF(G137="","Price missing","")))</f>
        <v/>
      </c>
      <c r="O137" s="38"/>
      <c r="P137" s="43" t="s">
        <v>232</v>
      </c>
      <c r="Q137" s="43" t="s">
        <v>297</v>
      </c>
      <c r="R137" s="43" t="s">
        <v>209</v>
      </c>
    </row>
    <row r="138" customFormat="false" ht="15" hidden="false" customHeight="true" outlineLevel="0" collapsed="false">
      <c r="A138" s="38" t="s">
        <v>367</v>
      </c>
      <c r="B138" s="39" t="n">
        <v>46106</v>
      </c>
      <c r="C138" s="38" t="str">
        <f aca="false">TRIM(PROPER(P138))</f>
        <v>Tushar Gill</v>
      </c>
      <c r="D138" s="38" t="s">
        <v>159</v>
      </c>
      <c r="E138" s="38" t="s">
        <v>118</v>
      </c>
      <c r="F138" s="40" t="n">
        <v>1</v>
      </c>
      <c r="G138" s="41" t="n">
        <v>190</v>
      </c>
      <c r="H138" s="38" t="s">
        <v>123</v>
      </c>
      <c r="I138" s="38" t="str">
        <f aca="false">TRIM(PROPER(Q138))</f>
        <v>Delhi</v>
      </c>
      <c r="J138" s="38" t="str">
        <f aca="false">TRIM(PROPER(R138))</f>
        <v>Completed</v>
      </c>
      <c r="K138" s="41" t="n">
        <f aca="false">IF(N138="",F138*G138,0)</f>
        <v>190</v>
      </c>
      <c r="L138" s="42" t="str">
        <f aca="false">IF(N138&lt;&gt;"","",IF(F138&gt;=3,"Bulk (3+ items)","Regular"))</f>
        <v>Regular</v>
      </c>
      <c r="M138" s="42" t="str">
        <f aca="false">IF(J138="Completed","Yes","No")</f>
        <v>Yes</v>
      </c>
      <c r="N138" s="42" t="str">
        <f aca="false">IF(F138="","Quantity missing",IF(F138&lt;=0,"Quantity invalid",IF(G138="","Price missing","")))</f>
        <v/>
      </c>
      <c r="O138" s="38"/>
      <c r="P138" s="43" t="s">
        <v>232</v>
      </c>
      <c r="Q138" s="43" t="s">
        <v>166</v>
      </c>
      <c r="R138" s="43" t="s">
        <v>209</v>
      </c>
    </row>
    <row r="139" customFormat="false" ht="15" hidden="false" customHeight="true" outlineLevel="0" collapsed="false">
      <c r="A139" s="38" t="s">
        <v>368</v>
      </c>
      <c r="B139" s="39" t="n">
        <v>46102</v>
      </c>
      <c r="C139" s="38" t="str">
        <f aca="false">TRIM(PROPER(P139))</f>
        <v>Tushar Gill</v>
      </c>
      <c r="D139" s="38" t="s">
        <v>154</v>
      </c>
      <c r="E139" s="38" t="s">
        <v>122</v>
      </c>
      <c r="F139" s="40" t="n">
        <v>1</v>
      </c>
      <c r="G139" s="41"/>
      <c r="H139" s="38" t="s">
        <v>119</v>
      </c>
      <c r="I139" s="38" t="str">
        <f aca="false">TRIM(PROPER(Q139))</f>
        <v>Chennai</v>
      </c>
      <c r="J139" s="38" t="str">
        <f aca="false">TRIM(PROPER(R139))</f>
        <v>Completed</v>
      </c>
      <c r="K139" s="41" t="n">
        <f aca="false">IF(N139="",F139*G139,0)</f>
        <v>0</v>
      </c>
      <c r="L139" s="42" t="str">
        <f aca="false">IF(N139&lt;&gt;"","",IF(F139&gt;=3,"Bulk (3+ items)","Regular"))</f>
        <v/>
      </c>
      <c r="M139" s="42" t="str">
        <f aca="false">IF(J139="Completed","Yes","No")</f>
        <v>Yes</v>
      </c>
      <c r="N139" s="42" t="str">
        <f aca="false">IF(F139="","Quantity missing",IF(F139&lt;=0,"Quantity invalid",IF(G139="","Price missing","")))</f>
        <v>Price missing</v>
      </c>
      <c r="O139" s="38"/>
      <c r="P139" s="43" t="s">
        <v>353</v>
      </c>
      <c r="Q139" s="43" t="s">
        <v>104</v>
      </c>
      <c r="R139" s="43" t="s">
        <v>103</v>
      </c>
    </row>
    <row r="140" customFormat="false" ht="15" hidden="false" customHeight="true" outlineLevel="0" collapsed="false">
      <c r="A140" s="38" t="s">
        <v>369</v>
      </c>
      <c r="B140" s="39" t="n">
        <v>46111</v>
      </c>
      <c r="C140" s="38" t="str">
        <f aca="false">TRIM(PROPER(P140))</f>
        <v>Rohit Sharma</v>
      </c>
      <c r="D140" s="38" t="s">
        <v>172</v>
      </c>
      <c r="E140" s="38" t="s">
        <v>120</v>
      </c>
      <c r="F140" s="40" t="n">
        <v>1</v>
      </c>
      <c r="G140" s="41" t="n">
        <v>140</v>
      </c>
      <c r="H140" s="38" t="s">
        <v>119</v>
      </c>
      <c r="I140" s="38" t="str">
        <f aca="false">TRIM(PROPER(Q140))</f>
        <v>Pune</v>
      </c>
      <c r="J140" s="38" t="str">
        <f aca="false">TRIM(PROPER(R140))</f>
        <v>Completed</v>
      </c>
      <c r="K140" s="41" t="n">
        <f aca="false">IF(N140="",F140*G140,0)</f>
        <v>140</v>
      </c>
      <c r="L140" s="42" t="str">
        <f aca="false">IF(N140&lt;&gt;"","",IF(F140&gt;=3,"Bulk (3+ items)","Regular"))</f>
        <v>Regular</v>
      </c>
      <c r="M140" s="42" t="str">
        <f aca="false">IF(J140="Completed","Yes","No")</f>
        <v>Yes</v>
      </c>
      <c r="N140" s="42" t="str">
        <f aca="false">IF(F140="","Quantity missing",IF(F140&lt;=0,"Quantity invalid",IF(G140="","Price missing","")))</f>
        <v/>
      </c>
      <c r="O140" s="38"/>
      <c r="P140" s="43" t="s">
        <v>211</v>
      </c>
      <c r="Q140" s="43" t="s">
        <v>297</v>
      </c>
      <c r="R140" s="43" t="s">
        <v>206</v>
      </c>
    </row>
    <row r="141" customFormat="false" ht="15" hidden="false" customHeight="true" outlineLevel="0" collapsed="false">
      <c r="A141" s="38" t="s">
        <v>370</v>
      </c>
      <c r="B141" s="39" t="n">
        <v>46100</v>
      </c>
      <c r="C141" s="38" t="str">
        <f aca="false">TRIM(PROPER(P141))</f>
        <v>Fahad Khan</v>
      </c>
      <c r="D141" s="38" t="s">
        <v>164</v>
      </c>
      <c r="E141" s="38" t="s">
        <v>118</v>
      </c>
      <c r="F141" s="40" t="n">
        <v>4</v>
      </c>
      <c r="G141" s="41" t="n">
        <v>160</v>
      </c>
      <c r="H141" s="38" t="s">
        <v>123</v>
      </c>
      <c r="I141" s="38" t="str">
        <f aca="false">TRIM(PROPER(Q141))</f>
        <v>Chennai</v>
      </c>
      <c r="J141" s="38" t="str">
        <f aca="false">TRIM(PROPER(R141))</f>
        <v>Cancelled</v>
      </c>
      <c r="K141" s="41" t="n">
        <f aca="false">IF(N141="",F141*G141,0)</f>
        <v>640</v>
      </c>
      <c r="L141" s="42" t="str">
        <f aca="false">IF(N141&lt;&gt;"","",IF(F141&gt;=3,"Bulk (3+ items)","Regular"))</f>
        <v>Bulk (3+ items)</v>
      </c>
      <c r="M141" s="42" t="str">
        <f aca="false">IF(J141="Completed","Yes","No")</f>
        <v>No</v>
      </c>
      <c r="N141" s="42" t="str">
        <f aca="false">IF(F141="","Quantity missing",IF(F141&lt;=0,"Quantity invalid",IF(G141="","Price missing","")))</f>
        <v/>
      </c>
      <c r="O141" s="38"/>
      <c r="P141" s="43" t="s">
        <v>183</v>
      </c>
      <c r="Q141" s="43" t="s">
        <v>230</v>
      </c>
      <c r="R141" s="43" t="s">
        <v>105</v>
      </c>
    </row>
    <row r="142" customFormat="false" ht="15" hidden="false" customHeight="true" outlineLevel="0" collapsed="false">
      <c r="A142" s="38" t="s">
        <v>371</v>
      </c>
      <c r="B142" s="39" t="n">
        <v>46092</v>
      </c>
      <c r="C142" s="38" t="str">
        <f aca="false">TRIM(PROPER(P142))</f>
        <v>Naina Bose</v>
      </c>
      <c r="D142" s="38" t="s">
        <v>192</v>
      </c>
      <c r="E142" s="38" t="s">
        <v>118</v>
      </c>
      <c r="F142" s="40" t="n">
        <v>1</v>
      </c>
      <c r="G142" s="41" t="n">
        <v>180</v>
      </c>
      <c r="H142" s="38" t="s">
        <v>119</v>
      </c>
      <c r="I142" s="38" t="str">
        <f aca="false">TRIM(PROPER(Q142))</f>
        <v>Bengaluru</v>
      </c>
      <c r="J142" s="38" t="str">
        <f aca="false">TRIM(PROPER(R142))</f>
        <v>Refunded</v>
      </c>
      <c r="K142" s="41" t="n">
        <f aca="false">IF(N142="",F142*G142,0)</f>
        <v>180</v>
      </c>
      <c r="L142" s="42" t="str">
        <f aca="false">IF(N142&lt;&gt;"","",IF(F142&gt;=3,"Bulk (3+ items)","Regular"))</f>
        <v>Regular</v>
      </c>
      <c r="M142" s="42" t="str">
        <f aca="false">IF(J142="Completed","Yes","No")</f>
        <v>No</v>
      </c>
      <c r="N142" s="42" t="str">
        <f aca="false">IF(F142="","Quantity missing",IF(F142&lt;=0,"Quantity invalid",IF(G142="","Price missing","")))</f>
        <v/>
      </c>
      <c r="O142" s="38"/>
      <c r="P142" s="43" t="s">
        <v>151</v>
      </c>
      <c r="Q142" s="43" t="s">
        <v>156</v>
      </c>
      <c r="R142" s="43" t="s">
        <v>184</v>
      </c>
    </row>
    <row r="143" customFormat="false" ht="15" hidden="false" customHeight="true" outlineLevel="0" collapsed="false">
      <c r="A143" s="38" t="s">
        <v>372</v>
      </c>
      <c r="B143" s="39" t="n">
        <v>46098</v>
      </c>
      <c r="C143" s="38" t="str">
        <f aca="false">TRIM(PROPER(P143))</f>
        <v>Sahil Kapoor</v>
      </c>
      <c r="D143" s="38" t="s">
        <v>164</v>
      </c>
      <c r="E143" s="38" t="s">
        <v>118</v>
      </c>
      <c r="F143" s="40" t="n">
        <v>1</v>
      </c>
      <c r="G143" s="41" t="n">
        <v>160</v>
      </c>
      <c r="H143" s="38" t="s">
        <v>123</v>
      </c>
      <c r="I143" s="38" t="str">
        <f aca="false">TRIM(PROPER(Q143))</f>
        <v>Bengaluru</v>
      </c>
      <c r="J143" s="38" t="str">
        <f aca="false">TRIM(PROPER(R143))</f>
        <v>Completed</v>
      </c>
      <c r="K143" s="41" t="n">
        <f aca="false">IF(N143="",F143*G143,0)</f>
        <v>160</v>
      </c>
      <c r="L143" s="42" t="str">
        <f aca="false">IF(N143&lt;&gt;"","",IF(F143&gt;=3,"Bulk (3+ items)","Regular"))</f>
        <v>Regular</v>
      </c>
      <c r="M143" s="42" t="str">
        <f aca="false">IF(J143="Completed","Yes","No")</f>
        <v>Yes</v>
      </c>
      <c r="N143" s="42" t="str">
        <f aca="false">IF(F143="","Quantity missing",IF(F143&lt;=0,"Quantity invalid",IF(G143="","Price missing","")))</f>
        <v/>
      </c>
      <c r="O143" s="38"/>
      <c r="P143" s="43" t="s">
        <v>373</v>
      </c>
      <c r="Q143" s="43" t="s">
        <v>156</v>
      </c>
      <c r="R143" s="43" t="s">
        <v>103</v>
      </c>
    </row>
    <row r="144" customFormat="false" ht="15" hidden="false" customHeight="true" outlineLevel="0" collapsed="false">
      <c r="A144" s="38" t="s">
        <v>374</v>
      </c>
      <c r="B144" s="39" t="n">
        <v>46082</v>
      </c>
      <c r="C144" s="38" t="str">
        <f aca="false">TRIM(PROPER(P144))</f>
        <v>Kunal Verma</v>
      </c>
      <c r="D144" s="38" t="s">
        <v>150</v>
      </c>
      <c r="E144" s="38" t="s">
        <v>118</v>
      </c>
      <c r="F144" s="40" t="n">
        <v>1</v>
      </c>
      <c r="G144" s="41" t="n">
        <v>120</v>
      </c>
      <c r="H144" s="38" t="s">
        <v>121</v>
      </c>
      <c r="I144" s="38" t="str">
        <f aca="false">TRIM(PROPER(Q144))</f>
        <v>Chennai</v>
      </c>
      <c r="J144" s="38" t="str">
        <f aca="false">TRIM(PROPER(R144))</f>
        <v>Completed</v>
      </c>
      <c r="K144" s="41" t="n">
        <f aca="false">IF(N144="",F144*G144,0)</f>
        <v>120</v>
      </c>
      <c r="L144" s="42" t="str">
        <f aca="false">IF(N144&lt;&gt;"","",IF(F144&gt;=3,"Bulk (3+ items)","Regular"))</f>
        <v>Regular</v>
      </c>
      <c r="M144" s="42" t="str">
        <f aca="false">IF(J144="Completed","Yes","No")</f>
        <v>Yes</v>
      </c>
      <c r="N144" s="42" t="str">
        <f aca="false">IF(F144="","Quantity missing",IF(F144&lt;=0,"Quantity invalid",IF(G144="","Price missing","")))</f>
        <v/>
      </c>
      <c r="O144" s="38"/>
      <c r="P144" s="43" t="s">
        <v>168</v>
      </c>
      <c r="Q144" s="43" t="s">
        <v>141</v>
      </c>
      <c r="R144" s="43" t="s">
        <v>103</v>
      </c>
    </row>
    <row r="145" customFormat="false" ht="15" hidden="false" customHeight="true" outlineLevel="0" collapsed="false">
      <c r="A145" s="38" t="s">
        <v>375</v>
      </c>
      <c r="B145" s="39" t="n">
        <v>46111</v>
      </c>
      <c r="C145" s="38" t="str">
        <f aca="false">TRIM(PROPER(P145))</f>
        <v>Ira Menon</v>
      </c>
      <c r="D145" s="38" t="s">
        <v>154</v>
      </c>
      <c r="E145" s="38" t="s">
        <v>122</v>
      </c>
      <c r="F145" s="40" t="n">
        <v>1</v>
      </c>
      <c r="G145" s="41" t="n">
        <v>220</v>
      </c>
      <c r="H145" s="38" t="s">
        <v>123</v>
      </c>
      <c r="I145" s="38" t="str">
        <f aca="false">TRIM(PROPER(Q145))</f>
        <v>Chennai</v>
      </c>
      <c r="J145" s="38" t="str">
        <f aca="false">TRIM(PROPER(R145))</f>
        <v>Completed</v>
      </c>
      <c r="K145" s="41" t="n">
        <f aca="false">IF(N145="",F145*G145,0)</f>
        <v>220</v>
      </c>
      <c r="L145" s="42" t="str">
        <f aca="false">IF(N145&lt;&gt;"","",IF(F145&gt;=3,"Bulk (3+ items)","Regular"))</f>
        <v>Regular</v>
      </c>
      <c r="M145" s="42" t="str">
        <f aca="false">IF(J145="Completed","Yes","No")</f>
        <v>Yes</v>
      </c>
      <c r="N145" s="42" t="str">
        <f aca="false">IF(F145="","Quantity missing",IF(F145&lt;=0,"Quantity invalid",IF(G145="","Price missing","")))</f>
        <v/>
      </c>
      <c r="O145" s="38"/>
      <c r="P145" s="43" t="s">
        <v>249</v>
      </c>
      <c r="Q145" s="43" t="s">
        <v>104</v>
      </c>
      <c r="R145" s="43" t="s">
        <v>103</v>
      </c>
    </row>
    <row r="146" customFormat="false" ht="15" hidden="false" customHeight="true" outlineLevel="0" collapsed="false">
      <c r="A146" s="38" t="s">
        <v>376</v>
      </c>
      <c r="B146" s="39" t="n">
        <v>46086</v>
      </c>
      <c r="C146" s="38" t="str">
        <f aca="false">TRIM(PROPER(P146))</f>
        <v>Lavanya Nair</v>
      </c>
      <c r="D146" s="38" t="s">
        <v>172</v>
      </c>
      <c r="E146" s="38" t="s">
        <v>120</v>
      </c>
      <c r="F146" s="40" t="n">
        <v>1</v>
      </c>
      <c r="G146" s="41" t="n">
        <v>140</v>
      </c>
      <c r="H146" s="38" t="s">
        <v>121</v>
      </c>
      <c r="I146" s="38" t="str">
        <f aca="false">TRIM(PROPER(Q146))</f>
        <v>Mumbai</v>
      </c>
      <c r="J146" s="38" t="str">
        <f aca="false">TRIM(PROPER(R146))</f>
        <v>Refunded</v>
      </c>
      <c r="K146" s="41" t="n">
        <f aca="false">IF(N146="",F146*G146,0)</f>
        <v>140</v>
      </c>
      <c r="L146" s="42" t="str">
        <f aca="false">IF(N146&lt;&gt;"","",IF(F146&gt;=3,"Bulk (3+ items)","Regular"))</f>
        <v>Regular</v>
      </c>
      <c r="M146" s="42" t="str">
        <f aca="false">IF(J146="Completed","Yes","No")</f>
        <v>No</v>
      </c>
      <c r="N146" s="42" t="str">
        <f aca="false">IF(F146="","Quantity missing",IF(F146&lt;=0,"Quantity invalid",IF(G146="","Price missing","")))</f>
        <v/>
      </c>
      <c r="O146" s="38"/>
      <c r="P146" s="43" t="s">
        <v>346</v>
      </c>
      <c r="Q146" s="43" t="s">
        <v>108</v>
      </c>
      <c r="R146" s="43" t="s">
        <v>107</v>
      </c>
    </row>
    <row r="147" customFormat="false" ht="15" hidden="false" customHeight="true" outlineLevel="0" collapsed="false">
      <c r="A147" s="38" t="s">
        <v>377</v>
      </c>
      <c r="B147" s="39" t="n">
        <v>46083</v>
      </c>
      <c r="C147" s="38" t="str">
        <f aca="false">TRIM(PROPER(P147))</f>
        <v>Om Prakash</v>
      </c>
      <c r="D147" s="38" t="s">
        <v>159</v>
      </c>
      <c r="E147" s="38" t="s">
        <v>118</v>
      </c>
      <c r="F147" s="40" t="n">
        <v>1</v>
      </c>
      <c r="G147" s="41" t="n">
        <v>190</v>
      </c>
      <c r="H147" s="38" t="s">
        <v>123</v>
      </c>
      <c r="I147" s="38" t="str">
        <f aca="false">TRIM(PROPER(Q147))</f>
        <v>Delhi</v>
      </c>
      <c r="J147" s="38" t="str">
        <f aca="false">TRIM(PROPER(R147))</f>
        <v>Completed</v>
      </c>
      <c r="K147" s="41" t="n">
        <f aca="false">IF(N147="",F147*G147,0)</f>
        <v>190</v>
      </c>
      <c r="L147" s="42" t="str">
        <f aca="false">IF(N147&lt;&gt;"","",IF(F147&gt;=3,"Bulk (3+ items)","Regular"))</f>
        <v>Regular</v>
      </c>
      <c r="M147" s="42" t="str">
        <f aca="false">IF(J147="Completed","Yes","No")</f>
        <v>Yes</v>
      </c>
      <c r="N147" s="42" t="str">
        <f aca="false">IF(F147="","Quantity missing",IF(F147&lt;=0,"Quantity invalid",IF(G147="","Price missing","")))</f>
        <v/>
      </c>
      <c r="O147" s="38"/>
      <c r="P147" s="43" t="s">
        <v>160</v>
      </c>
      <c r="Q147" s="43" t="s">
        <v>199</v>
      </c>
      <c r="R147" s="43" t="s">
        <v>103</v>
      </c>
    </row>
    <row r="148" customFormat="false" ht="15" hidden="false" customHeight="true" outlineLevel="0" collapsed="false">
      <c r="A148" s="38" t="s">
        <v>378</v>
      </c>
      <c r="B148" s="39" t="n">
        <v>46084</v>
      </c>
      <c r="C148" s="38" t="str">
        <f aca="false">TRIM(PROPER(P148))</f>
        <v>Simran Kaur</v>
      </c>
      <c r="D148" s="38" t="s">
        <v>192</v>
      </c>
      <c r="E148" s="38" t="s">
        <v>118</v>
      </c>
      <c r="F148" s="40" t="n">
        <v>2</v>
      </c>
      <c r="G148" s="41" t="n">
        <v>180</v>
      </c>
      <c r="H148" s="38" t="s">
        <v>119</v>
      </c>
      <c r="I148" s="38" t="str">
        <f aca="false">TRIM(PROPER(Q148))</f>
        <v>Delhi</v>
      </c>
      <c r="J148" s="38" t="str">
        <f aca="false">TRIM(PROPER(R148))</f>
        <v>Refunded</v>
      </c>
      <c r="K148" s="41" t="n">
        <f aca="false">IF(N148="",F148*G148,0)</f>
        <v>360</v>
      </c>
      <c r="L148" s="42" t="str">
        <f aca="false">IF(N148&lt;&gt;"","",IF(F148&gt;=3,"Bulk (3+ items)","Regular"))</f>
        <v>Regular</v>
      </c>
      <c r="M148" s="42" t="str">
        <f aca="false">IF(J148="Completed","Yes","No")</f>
        <v>No</v>
      </c>
      <c r="N148" s="42" t="str">
        <f aca="false">IF(F148="","Quantity missing",IF(F148&lt;=0,"Quantity invalid",IF(G148="","Price missing","")))</f>
        <v/>
      </c>
      <c r="O148" s="38"/>
      <c r="P148" s="43" t="s">
        <v>186</v>
      </c>
      <c r="Q148" s="43" t="s">
        <v>106</v>
      </c>
      <c r="R148" s="43" t="s">
        <v>107</v>
      </c>
    </row>
    <row r="149" customFormat="false" ht="15" hidden="false" customHeight="true" outlineLevel="0" collapsed="false">
      <c r="A149" s="38" t="s">
        <v>379</v>
      </c>
      <c r="B149" s="39" t="n">
        <v>46101</v>
      </c>
      <c r="C149" s="38" t="str">
        <f aca="false">TRIM(PROPER(P149))</f>
        <v>Ritika Shah</v>
      </c>
      <c r="D149" s="38" t="s">
        <v>139</v>
      </c>
      <c r="E149" s="38" t="s">
        <v>120</v>
      </c>
      <c r="F149" s="40" t="n">
        <v>2</v>
      </c>
      <c r="G149" s="41" t="n">
        <v>110</v>
      </c>
      <c r="H149" s="38" t="s">
        <v>123</v>
      </c>
      <c r="I149" s="38" t="str">
        <f aca="false">TRIM(PROPER(Q149))</f>
        <v>Bengaluru</v>
      </c>
      <c r="J149" s="38" t="str">
        <f aca="false">TRIM(PROPER(R149))</f>
        <v>Completed</v>
      </c>
      <c r="K149" s="41" t="n">
        <f aca="false">IF(N149="",F149*G149,0)</f>
        <v>220</v>
      </c>
      <c r="L149" s="42" t="str">
        <f aca="false">IF(N149&lt;&gt;"","",IF(F149&gt;=3,"Bulk (3+ items)","Regular"))</f>
        <v>Regular</v>
      </c>
      <c r="M149" s="42" t="str">
        <f aca="false">IF(J149="Completed","Yes","No")</f>
        <v>Yes</v>
      </c>
      <c r="N149" s="42" t="str">
        <f aca="false">IF(F149="","Quantity missing",IF(F149&lt;=0,"Quantity invalid",IF(G149="","Price missing","")))</f>
        <v/>
      </c>
      <c r="O149" s="38"/>
      <c r="P149" s="43" t="s">
        <v>223</v>
      </c>
      <c r="Q149" s="43" t="s">
        <v>350</v>
      </c>
      <c r="R149" s="43" t="s">
        <v>170</v>
      </c>
    </row>
    <row r="150" customFormat="false" ht="15" hidden="false" customHeight="true" outlineLevel="0" collapsed="false">
      <c r="A150" s="38" t="s">
        <v>380</v>
      </c>
      <c r="B150" s="39" t="n">
        <v>46098</v>
      </c>
      <c r="C150" s="38" t="str">
        <f aca="false">TRIM(PROPER(P150))</f>
        <v>Aditya Joshi</v>
      </c>
      <c r="D150" s="38" t="s">
        <v>192</v>
      </c>
      <c r="E150" s="38" t="s">
        <v>118</v>
      </c>
      <c r="F150" s="40" t="n">
        <v>-1</v>
      </c>
      <c r="G150" s="41" t="n">
        <v>180</v>
      </c>
      <c r="H150" s="38" t="s">
        <v>121</v>
      </c>
      <c r="I150" s="38" t="str">
        <f aca="false">TRIM(PROPER(Q150))</f>
        <v>Pune</v>
      </c>
      <c r="J150" s="38" t="str">
        <f aca="false">TRIM(PROPER(R150))</f>
        <v>Completed</v>
      </c>
      <c r="K150" s="41" t="n">
        <f aca="false">IF(N150="",F150*G150,0)</f>
        <v>0</v>
      </c>
      <c r="L150" s="42" t="str">
        <f aca="false">IF(N150&lt;&gt;"","",IF(F150&gt;=3,"Bulk (3+ items)","Regular"))</f>
        <v/>
      </c>
      <c r="M150" s="42" t="str">
        <f aca="false">IF(J150="Completed","Yes","No")</f>
        <v>Yes</v>
      </c>
      <c r="N150" s="42" t="str">
        <f aca="false">IF(F150="","Quantity missing",IF(F150&lt;=0,"Quantity invalid",IF(G150="","Price missing","")))</f>
        <v>Quantity invalid</v>
      </c>
      <c r="O150" s="38"/>
      <c r="P150" s="43" t="s">
        <v>349</v>
      </c>
      <c r="Q150" s="43" t="s">
        <v>110</v>
      </c>
      <c r="R150" s="43" t="s">
        <v>206</v>
      </c>
    </row>
    <row r="151" customFormat="false" ht="15" hidden="false" customHeight="true" outlineLevel="0" collapsed="false">
      <c r="A151" s="38" t="s">
        <v>381</v>
      </c>
      <c r="B151" s="39" t="n">
        <v>46098</v>
      </c>
      <c r="C151" s="38" t="str">
        <f aca="false">TRIM(PROPER(P151))</f>
        <v>Fahad Khan</v>
      </c>
      <c r="D151" s="38" t="s">
        <v>172</v>
      </c>
      <c r="E151" s="38" t="s">
        <v>120</v>
      </c>
      <c r="F151" s="40" t="n">
        <v>1</v>
      </c>
      <c r="G151" s="41" t="n">
        <v>140</v>
      </c>
      <c r="H151" s="38" t="s">
        <v>119</v>
      </c>
      <c r="I151" s="38" t="str">
        <f aca="false">TRIM(PROPER(Q151))</f>
        <v>Bengaluru</v>
      </c>
      <c r="J151" s="38" t="str">
        <f aca="false">TRIM(PROPER(R151))</f>
        <v>Completed</v>
      </c>
      <c r="K151" s="41" t="n">
        <f aca="false">IF(N151="",F151*G151,0)</f>
        <v>140</v>
      </c>
      <c r="L151" s="42" t="str">
        <f aca="false">IF(N151&lt;&gt;"","",IF(F151&gt;=3,"Bulk (3+ items)","Regular"))</f>
        <v>Regular</v>
      </c>
      <c r="M151" s="42" t="str">
        <f aca="false">IF(J151="Completed","Yes","No")</f>
        <v>Yes</v>
      </c>
      <c r="N151" s="42" t="str">
        <f aca="false">IF(F151="","Quantity missing",IF(F151&lt;=0,"Quantity invalid",IF(G151="","Price missing","")))</f>
        <v/>
      </c>
      <c r="O151" s="38"/>
      <c r="P151" s="43" t="s">
        <v>290</v>
      </c>
      <c r="Q151" s="43" t="s">
        <v>102</v>
      </c>
      <c r="R151" s="43" t="s">
        <v>103</v>
      </c>
    </row>
    <row r="152" customFormat="false" ht="15" hidden="false" customHeight="true" outlineLevel="0" collapsed="false">
      <c r="A152" s="38" t="s">
        <v>382</v>
      </c>
      <c r="B152" s="39" t="n">
        <v>46102</v>
      </c>
      <c r="C152" s="38" t="str">
        <f aca="false">TRIM(PROPER(P152))</f>
        <v>Devansh Rao</v>
      </c>
      <c r="D152" s="38" t="s">
        <v>202</v>
      </c>
      <c r="E152" s="38" t="s">
        <v>120</v>
      </c>
      <c r="F152" s="40" t="n">
        <v>2</v>
      </c>
      <c r="G152" s="41" t="n">
        <v>150</v>
      </c>
      <c r="H152" s="38" t="s">
        <v>119</v>
      </c>
      <c r="I152" s="38" t="str">
        <f aca="false">TRIM(PROPER(Q152))</f>
        <v>Mumbai</v>
      </c>
      <c r="J152" s="38" t="str">
        <f aca="false">TRIM(PROPER(R152))</f>
        <v>Completed</v>
      </c>
      <c r="K152" s="41" t="n">
        <f aca="false">IF(N152="",F152*G152,0)</f>
        <v>300</v>
      </c>
      <c r="L152" s="42" t="str">
        <f aca="false">IF(N152&lt;&gt;"","",IF(F152&gt;=3,"Bulk (3+ items)","Regular"))</f>
        <v>Regular</v>
      </c>
      <c r="M152" s="42" t="str">
        <f aca="false">IF(J152="Completed","Yes","No")</f>
        <v>Yes</v>
      </c>
      <c r="N152" s="42" t="str">
        <f aca="false">IF(F152="","Quantity missing",IF(F152&lt;=0,"Quantity invalid",IF(G152="","Price missing","")))</f>
        <v/>
      </c>
      <c r="O152" s="38"/>
      <c r="P152" s="43" t="s">
        <v>203</v>
      </c>
      <c r="Q152" s="43" t="s">
        <v>190</v>
      </c>
      <c r="R152" s="43" t="s">
        <v>103</v>
      </c>
    </row>
    <row r="153" customFormat="false" ht="15" hidden="false" customHeight="true" outlineLevel="0" collapsed="false">
      <c r="A153" s="38" t="s">
        <v>383</v>
      </c>
      <c r="B153" s="39" t="n">
        <v>46103</v>
      </c>
      <c r="C153" s="38" t="str">
        <f aca="false">TRIM(PROPER(P153))</f>
        <v>Kunal Verma</v>
      </c>
      <c r="D153" s="38" t="s">
        <v>202</v>
      </c>
      <c r="E153" s="38" t="s">
        <v>120</v>
      </c>
      <c r="F153" s="40" t="n">
        <v>2</v>
      </c>
      <c r="G153" s="41" t="n">
        <v>150</v>
      </c>
      <c r="H153" s="38" t="s">
        <v>121</v>
      </c>
      <c r="I153" s="38" t="str">
        <f aca="false">TRIM(PROPER(Q153))</f>
        <v>Delhi</v>
      </c>
      <c r="J153" s="38" t="str">
        <f aca="false">TRIM(PROPER(R153))</f>
        <v>Cancelled</v>
      </c>
      <c r="K153" s="41" t="n">
        <f aca="false">IF(N153="",F153*G153,0)</f>
        <v>300</v>
      </c>
      <c r="L153" s="42" t="str">
        <f aca="false">IF(N153&lt;&gt;"","",IF(F153&gt;=3,"Bulk (3+ items)","Regular"))</f>
        <v>Regular</v>
      </c>
      <c r="M153" s="42" t="str">
        <f aca="false">IF(J153="Completed","Yes","No")</f>
        <v>No</v>
      </c>
      <c r="N153" s="42" t="str">
        <f aca="false">IF(F153="","Quantity missing",IF(F153&lt;=0,"Quantity invalid",IF(G153="","Price missing","")))</f>
        <v/>
      </c>
      <c r="O153" s="38"/>
      <c r="P153" s="43" t="s">
        <v>168</v>
      </c>
      <c r="Q153" s="43" t="s">
        <v>199</v>
      </c>
      <c r="R153" s="43" t="s">
        <v>147</v>
      </c>
    </row>
    <row r="154" customFormat="false" ht="15" hidden="false" customHeight="true" outlineLevel="0" collapsed="false">
      <c r="A154" s="38" t="s">
        <v>384</v>
      </c>
      <c r="B154" s="39" t="n">
        <v>46111</v>
      </c>
      <c r="C154" s="38" t="str">
        <f aca="false">TRIM(PROPER(P154))</f>
        <v>Naina Bose</v>
      </c>
      <c r="D154" s="38" t="s">
        <v>180</v>
      </c>
      <c r="E154" s="38" t="s">
        <v>118</v>
      </c>
      <c r="F154" s="40" t="n">
        <v>3</v>
      </c>
      <c r="G154" s="41" t="n">
        <v>210</v>
      </c>
      <c r="H154" s="38" t="s">
        <v>121</v>
      </c>
      <c r="I154" s="38" t="str">
        <f aca="false">TRIM(PROPER(Q154))</f>
        <v>Pune</v>
      </c>
      <c r="J154" s="38" t="str">
        <f aca="false">TRIM(PROPER(R154))</f>
        <v>Completed</v>
      </c>
      <c r="K154" s="41" t="n">
        <f aca="false">IF(N154="",F154*G154,0)</f>
        <v>630</v>
      </c>
      <c r="L154" s="42" t="str">
        <f aca="false">IF(N154&lt;&gt;"","",IF(F154&gt;=3,"Bulk (3+ items)","Regular"))</f>
        <v>Bulk (3+ items)</v>
      </c>
      <c r="M154" s="42" t="str">
        <f aca="false">IF(J154="Completed","Yes","No")</f>
        <v>Yes</v>
      </c>
      <c r="N154" s="42" t="str">
        <f aca="false">IF(F154="","Quantity missing",IF(F154&lt;=0,"Quantity invalid",IF(G154="","Price missing","")))</f>
        <v/>
      </c>
      <c r="O154" s="38"/>
      <c r="P154" s="43" t="s">
        <v>151</v>
      </c>
      <c r="Q154" s="43" t="s">
        <v>215</v>
      </c>
      <c r="R154" s="43" t="s">
        <v>206</v>
      </c>
    </row>
    <row r="155" customFormat="false" ht="15" hidden="false" customHeight="true" outlineLevel="0" collapsed="false">
      <c r="A155" s="38" t="s">
        <v>385</v>
      </c>
      <c r="B155" s="39" t="n">
        <v>46083</v>
      </c>
      <c r="C155" s="38" t="str">
        <f aca="false">TRIM(PROPER(P155))</f>
        <v>Tushar Gill</v>
      </c>
      <c r="D155" s="38" t="s">
        <v>154</v>
      </c>
      <c r="E155" s="38" t="s">
        <v>122</v>
      </c>
      <c r="F155" s="40" t="n">
        <v>3</v>
      </c>
      <c r="G155" s="41" t="n">
        <v>220</v>
      </c>
      <c r="H155" s="38" t="s">
        <v>123</v>
      </c>
      <c r="I155" s="38" t="str">
        <f aca="false">TRIM(PROPER(Q155))</f>
        <v>Chennai</v>
      </c>
      <c r="J155" s="38" t="str">
        <f aca="false">TRIM(PROPER(R155))</f>
        <v>Refunded</v>
      </c>
      <c r="K155" s="41" t="n">
        <f aca="false">IF(N155="",F155*G155,0)</f>
        <v>660</v>
      </c>
      <c r="L155" s="42" t="str">
        <f aca="false">IF(N155&lt;&gt;"","",IF(F155&gt;=3,"Bulk (3+ items)","Regular"))</f>
        <v>Bulk (3+ items)</v>
      </c>
      <c r="M155" s="42" t="str">
        <f aca="false">IF(J155="Completed","Yes","No")</f>
        <v>No</v>
      </c>
      <c r="N155" s="42" t="str">
        <f aca="false">IF(F155="","Quantity missing",IF(F155&lt;=0,"Quantity invalid",IF(G155="","Price missing","")))</f>
        <v/>
      </c>
      <c r="O155" s="38"/>
      <c r="P155" s="43" t="s">
        <v>232</v>
      </c>
      <c r="Q155" s="43" t="s">
        <v>264</v>
      </c>
      <c r="R155" s="43" t="s">
        <v>184</v>
      </c>
    </row>
    <row r="156" customFormat="false" ht="15" hidden="false" customHeight="true" outlineLevel="0" collapsed="false">
      <c r="A156" s="38" t="s">
        <v>386</v>
      </c>
      <c r="B156" s="39" t="n">
        <v>46100</v>
      </c>
      <c r="C156" s="38" t="str">
        <f aca="false">TRIM(PROPER(P156))</f>
        <v>Ritika Shah</v>
      </c>
      <c r="D156" s="38" t="s">
        <v>172</v>
      </c>
      <c r="E156" s="38" t="s">
        <v>120</v>
      </c>
      <c r="F156" s="40" t="n">
        <v>2</v>
      </c>
      <c r="G156" s="41" t="n">
        <v>140</v>
      </c>
      <c r="H156" s="38" t="s">
        <v>121</v>
      </c>
      <c r="I156" s="38" t="str">
        <f aca="false">TRIM(PROPER(Q156))</f>
        <v>Mumbai</v>
      </c>
      <c r="J156" s="38" t="str">
        <f aca="false">TRIM(PROPER(R156))</f>
        <v>Refunded</v>
      </c>
      <c r="K156" s="41" t="n">
        <f aca="false">IF(N156="",F156*G156,0)</f>
        <v>280</v>
      </c>
      <c r="L156" s="42" t="str">
        <f aca="false">IF(N156&lt;&gt;"","",IF(F156&gt;=3,"Bulk (3+ items)","Regular"))</f>
        <v>Regular</v>
      </c>
      <c r="M156" s="42" t="str">
        <f aca="false">IF(J156="Completed","Yes","No")</f>
        <v>No</v>
      </c>
      <c r="N156" s="42" t="str">
        <f aca="false">IF(F156="","Quantity missing",IF(F156&lt;=0,"Quantity invalid",IF(G156="","Price missing","")))</f>
        <v/>
      </c>
      <c r="O156" s="38"/>
      <c r="P156" s="43" t="s">
        <v>223</v>
      </c>
      <c r="Q156" s="43" t="s">
        <v>190</v>
      </c>
      <c r="R156" s="43" t="s">
        <v>107</v>
      </c>
    </row>
    <row r="157" customFormat="false" ht="15" hidden="false" customHeight="true" outlineLevel="0" collapsed="false">
      <c r="A157" s="38" t="s">
        <v>387</v>
      </c>
      <c r="B157" s="39" t="n">
        <v>46110</v>
      </c>
      <c r="C157" s="38" t="str">
        <f aca="false">TRIM(PROPER(P157))</f>
        <v>Simran Kaur</v>
      </c>
      <c r="D157" s="38" t="s">
        <v>192</v>
      </c>
      <c r="E157" s="38" t="s">
        <v>118</v>
      </c>
      <c r="F157" s="40" t="n">
        <v>1</v>
      </c>
      <c r="G157" s="41" t="n">
        <v>180</v>
      </c>
      <c r="H157" s="38" t="s">
        <v>121</v>
      </c>
      <c r="I157" s="38" t="str">
        <f aca="false">TRIM(PROPER(Q157))</f>
        <v>Pune</v>
      </c>
      <c r="J157" s="38" t="str">
        <f aca="false">TRIM(PROPER(R157))</f>
        <v>Completed</v>
      </c>
      <c r="K157" s="41" t="n">
        <f aca="false">IF(N157="",F157*G157,0)</f>
        <v>180</v>
      </c>
      <c r="L157" s="42" t="str">
        <f aca="false">IF(N157&lt;&gt;"","",IF(F157&gt;=3,"Bulk (3+ items)","Regular"))</f>
        <v>Regular</v>
      </c>
      <c r="M157" s="42" t="str">
        <f aca="false">IF(J157="Completed","Yes","No")</f>
        <v>Yes</v>
      </c>
      <c r="N157" s="42" t="str">
        <f aca="false">IF(F157="","Quantity missing",IF(F157&lt;=0,"Quantity invalid",IF(G157="","Price missing","")))</f>
        <v/>
      </c>
      <c r="O157" s="38"/>
      <c r="P157" s="43" t="s">
        <v>213</v>
      </c>
      <c r="Q157" s="43" t="s">
        <v>110</v>
      </c>
      <c r="R157" s="43" t="s">
        <v>103</v>
      </c>
    </row>
    <row r="158" customFormat="false" ht="15" hidden="false" customHeight="true" outlineLevel="0" collapsed="false">
      <c r="A158" s="38" t="s">
        <v>388</v>
      </c>
      <c r="B158" s="39" t="n">
        <v>46104</v>
      </c>
      <c r="C158" s="38" t="str">
        <f aca="false">TRIM(PROPER(P158))</f>
        <v>Aditya Joshi</v>
      </c>
      <c r="D158" s="38" t="s">
        <v>139</v>
      </c>
      <c r="E158" s="38" t="s">
        <v>120</v>
      </c>
      <c r="F158" s="40" t="n">
        <v>3</v>
      </c>
      <c r="G158" s="41" t="n">
        <v>110</v>
      </c>
      <c r="H158" s="38" t="s">
        <v>121</v>
      </c>
      <c r="I158" s="38" t="str">
        <f aca="false">TRIM(PROPER(Q158))</f>
        <v>Chennai</v>
      </c>
      <c r="J158" s="38" t="str">
        <f aca="false">TRIM(PROPER(R158))</f>
        <v>Completed</v>
      </c>
      <c r="K158" s="41" t="n">
        <f aca="false">IF(N158="",F158*G158,0)</f>
        <v>330</v>
      </c>
      <c r="L158" s="42" t="str">
        <f aca="false">IF(N158&lt;&gt;"","",IF(F158&gt;=3,"Bulk (3+ items)","Regular"))</f>
        <v>Bulk (3+ items)</v>
      </c>
      <c r="M158" s="42" t="str">
        <f aca="false">IF(J158="Completed","Yes","No")</f>
        <v>Yes</v>
      </c>
      <c r="N158" s="42" t="str">
        <f aca="false">IF(F158="","Quantity missing",IF(F158&lt;=0,"Quantity invalid",IF(G158="","Price missing","")))</f>
        <v/>
      </c>
      <c r="O158" s="38"/>
      <c r="P158" s="43" t="s">
        <v>140</v>
      </c>
      <c r="Q158" s="43" t="s">
        <v>104</v>
      </c>
      <c r="R158" s="43" t="s">
        <v>103</v>
      </c>
    </row>
    <row r="159" customFormat="false" ht="15" hidden="false" customHeight="true" outlineLevel="0" collapsed="false">
      <c r="A159" s="38" t="s">
        <v>389</v>
      </c>
      <c r="B159" s="39" t="n">
        <v>46085</v>
      </c>
      <c r="C159" s="38" t="str">
        <f aca="false">TRIM(PROPER(P159))</f>
        <v>Naina Bose</v>
      </c>
      <c r="D159" s="38" t="s">
        <v>159</v>
      </c>
      <c r="E159" s="38" t="s">
        <v>118</v>
      </c>
      <c r="F159" s="40" t="n">
        <v>4</v>
      </c>
      <c r="G159" s="41" t="n">
        <v>190</v>
      </c>
      <c r="H159" s="38" t="s">
        <v>123</v>
      </c>
      <c r="I159" s="38" t="str">
        <f aca="false">TRIM(PROPER(Q159))</f>
        <v>Mumbai</v>
      </c>
      <c r="J159" s="38" t="str">
        <f aca="false">TRIM(PROPER(R159))</f>
        <v>Completed</v>
      </c>
      <c r="K159" s="41" t="n">
        <f aca="false">IF(N159="",F159*G159,0)</f>
        <v>760</v>
      </c>
      <c r="L159" s="42" t="str">
        <f aca="false">IF(N159&lt;&gt;"","",IF(F159&gt;=3,"Bulk (3+ items)","Regular"))</f>
        <v>Bulk (3+ items)</v>
      </c>
      <c r="M159" s="42" t="str">
        <f aca="false">IF(J159="Completed","Yes","No")</f>
        <v>Yes</v>
      </c>
      <c r="N159" s="42" t="str">
        <f aca="false">IF(F159="","Quantity missing",IF(F159&lt;=0,"Quantity invalid",IF(G159="","Price missing","")))</f>
        <v/>
      </c>
      <c r="O159" s="38"/>
      <c r="P159" s="43" t="s">
        <v>151</v>
      </c>
      <c r="Q159" s="43" t="s">
        <v>342</v>
      </c>
      <c r="R159" s="43" t="s">
        <v>103</v>
      </c>
    </row>
    <row r="160" customFormat="false" ht="15" hidden="false" customHeight="true" outlineLevel="0" collapsed="false">
      <c r="A160" s="38" t="s">
        <v>390</v>
      </c>
      <c r="B160" s="39" t="n">
        <v>46099</v>
      </c>
      <c r="C160" s="38" t="str">
        <f aca="false">TRIM(PROPER(P160))</f>
        <v>Tushar Gill</v>
      </c>
      <c r="D160" s="38" t="s">
        <v>172</v>
      </c>
      <c r="E160" s="38" t="s">
        <v>120</v>
      </c>
      <c r="F160" s="40" t="n">
        <v>1</v>
      </c>
      <c r="G160" s="41" t="n">
        <v>140</v>
      </c>
      <c r="H160" s="38" t="s">
        <v>123</v>
      </c>
      <c r="I160" s="38" t="str">
        <f aca="false">TRIM(PROPER(Q160))</f>
        <v>Pune</v>
      </c>
      <c r="J160" s="38" t="str">
        <f aca="false">TRIM(PROPER(R160))</f>
        <v>Completed</v>
      </c>
      <c r="K160" s="41" t="n">
        <f aca="false">IF(N160="",F160*G160,0)</f>
        <v>140</v>
      </c>
      <c r="L160" s="42" t="str">
        <f aca="false">IF(N160&lt;&gt;"","",IF(F160&gt;=3,"Bulk (3+ items)","Regular"))</f>
        <v>Regular</v>
      </c>
      <c r="M160" s="42" t="str">
        <f aca="false">IF(J160="Completed","Yes","No")</f>
        <v>Yes</v>
      </c>
      <c r="N160" s="42" t="str">
        <f aca="false">IF(F160="","Quantity missing",IF(F160&lt;=0,"Quantity invalid",IF(G160="","Price missing","")))</f>
        <v/>
      </c>
      <c r="O160" s="38"/>
      <c r="P160" s="43" t="s">
        <v>232</v>
      </c>
      <c r="Q160" s="43" t="s">
        <v>215</v>
      </c>
      <c r="R160" s="43" t="s">
        <v>103</v>
      </c>
    </row>
    <row r="161" customFormat="false" ht="15" hidden="false" customHeight="true" outlineLevel="0" collapsed="false">
      <c r="A161" s="38" t="s">
        <v>391</v>
      </c>
      <c r="B161" s="39" t="n">
        <v>46082</v>
      </c>
      <c r="C161" s="38" t="str">
        <f aca="false">TRIM(PROPER(P161))</f>
        <v>Sahil Kapoor</v>
      </c>
      <c r="D161" s="38" t="s">
        <v>164</v>
      </c>
      <c r="E161" s="38" t="s">
        <v>118</v>
      </c>
      <c r="F161" s="40" t="n">
        <v>1</v>
      </c>
      <c r="G161" s="41" t="n">
        <v>160</v>
      </c>
      <c r="H161" s="38" t="s">
        <v>119</v>
      </c>
      <c r="I161" s="38" t="str">
        <f aca="false">TRIM(PROPER(Q161))</f>
        <v>Delhi</v>
      </c>
      <c r="J161" s="38" t="str">
        <f aca="false">TRIM(PROPER(R161))</f>
        <v>Completed</v>
      </c>
      <c r="K161" s="41" t="n">
        <f aca="false">IF(N161="",F161*G161,0)</f>
        <v>160</v>
      </c>
      <c r="L161" s="42" t="str">
        <f aca="false">IF(N161&lt;&gt;"","",IF(F161&gt;=3,"Bulk (3+ items)","Regular"))</f>
        <v>Regular</v>
      </c>
      <c r="M161" s="42" t="str">
        <f aca="false">IF(J161="Completed","Yes","No")</f>
        <v>Yes</v>
      </c>
      <c r="N161" s="42" t="str">
        <f aca="false">IF(F161="","Quantity missing",IF(F161&lt;=0,"Quantity invalid",IF(G161="","Price missing","")))</f>
        <v/>
      </c>
      <c r="O161" s="38"/>
      <c r="P161" s="43" t="s">
        <v>331</v>
      </c>
      <c r="Q161" s="43" t="s">
        <v>106</v>
      </c>
      <c r="R161" s="43" t="s">
        <v>206</v>
      </c>
    </row>
  </sheetData>
  <autoFilter ref="A1:N161"/>
  <conditionalFormatting sqref="A2:N161">
    <cfRule type="expression" priority="2" aboveAverage="0" equalAverage="0" bottom="0" percent="0" rank="0" text="" dxfId="6">
      <formula>$N2&lt;&gt;""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true"/>
  </sheetPr>
  <dimension ref="A1:E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7" width="16"/>
    <col collapsed="false" customWidth="true" hidden="false" outlineLevel="0" max="5" min="2" style="7" width="15"/>
  </cols>
  <sheetData>
    <row r="1" customFormat="false" ht="19.5" hidden="false" customHeight="true" outlineLevel="0" collapsed="false">
      <c r="A1" s="45" t="s">
        <v>392</v>
      </c>
    </row>
    <row r="2" customFormat="false" ht="15" hidden="false" customHeight="true" outlineLevel="0" collapsed="false">
      <c r="A2" s="46" t="s">
        <v>393</v>
      </c>
    </row>
    <row r="4" customFormat="false" ht="15" hidden="false" customHeight="true" outlineLevel="0" collapsed="false">
      <c r="A4" s="47" t="s">
        <v>92</v>
      </c>
      <c r="B4" s="47" t="s">
        <v>105</v>
      </c>
      <c r="C4" s="47" t="s">
        <v>103</v>
      </c>
      <c r="D4" s="47" t="s">
        <v>107</v>
      </c>
      <c r="E4" s="47" t="s">
        <v>394</v>
      </c>
    </row>
    <row r="5" customFormat="false" ht="15" hidden="false" customHeight="true" outlineLevel="0" collapsed="false">
      <c r="A5" s="23" t="s">
        <v>102</v>
      </c>
      <c r="B5" s="24" t="n">
        <f aca="false">SUMIFS('Orders Data'!$K$2:$K$161,'Orders Data'!$I$2:$I$161,$A5,'Orders Data'!$J$2:$J$161,B$4)</f>
        <v>1060</v>
      </c>
      <c r="C5" s="24" t="n">
        <f aca="false">SUMIFS('Orders Data'!$K$2:$K$161,'Orders Data'!$I$2:$I$161,$A5,'Orders Data'!$J$2:$J$161,C$4)</f>
        <v>7280</v>
      </c>
      <c r="D5" s="24" t="n">
        <f aca="false">SUMIFS('Orders Data'!$K$2:$K$161,'Orders Data'!$I$2:$I$161,$A5,'Orders Data'!$J$2:$J$161,D$4)</f>
        <v>1760</v>
      </c>
      <c r="E5" s="31" t="n">
        <f aca="false">SUM(B5:D5)</f>
        <v>10100</v>
      </c>
    </row>
    <row r="6" customFormat="false" ht="15" hidden="false" customHeight="true" outlineLevel="0" collapsed="false">
      <c r="A6" s="23" t="s">
        <v>104</v>
      </c>
      <c r="B6" s="24" t="n">
        <f aca="false">SUMIFS('Orders Data'!$K$2:$K$161,'Orders Data'!$I$2:$I$161,$A6,'Orders Data'!$J$2:$J$161,B$4)</f>
        <v>1240</v>
      </c>
      <c r="C6" s="24" t="n">
        <f aca="false">SUMIFS('Orders Data'!$K$2:$K$161,'Orders Data'!$I$2:$I$161,$A6,'Orders Data'!$J$2:$J$161,C$4)</f>
        <v>2600</v>
      </c>
      <c r="D6" s="24" t="n">
        <f aca="false">SUMIFS('Orders Data'!$K$2:$K$161,'Orders Data'!$I$2:$I$161,$A6,'Orders Data'!$J$2:$J$161,D$4)</f>
        <v>2380</v>
      </c>
      <c r="E6" s="31" t="n">
        <f aca="false">SUM(B6:D6)</f>
        <v>6220</v>
      </c>
    </row>
    <row r="7" customFormat="false" ht="15" hidden="false" customHeight="true" outlineLevel="0" collapsed="false">
      <c r="A7" s="23" t="s">
        <v>106</v>
      </c>
      <c r="B7" s="24" t="n">
        <f aca="false">SUMIFS('Orders Data'!$K$2:$K$161,'Orders Data'!$I$2:$I$161,$A7,'Orders Data'!$J$2:$J$161,B$4)</f>
        <v>1520</v>
      </c>
      <c r="C7" s="24" t="n">
        <f aca="false">SUMIFS('Orders Data'!$K$2:$K$161,'Orders Data'!$I$2:$I$161,$A7,'Orders Data'!$J$2:$J$161,C$4)</f>
        <v>6830</v>
      </c>
      <c r="D7" s="24" t="n">
        <f aca="false">SUMIFS('Orders Data'!$K$2:$K$161,'Orders Data'!$I$2:$I$161,$A7,'Orders Data'!$J$2:$J$161,D$4)</f>
        <v>940</v>
      </c>
      <c r="E7" s="31" t="n">
        <f aca="false">SUM(B7:D7)</f>
        <v>9290</v>
      </c>
    </row>
    <row r="8" customFormat="false" ht="15" hidden="false" customHeight="true" outlineLevel="0" collapsed="false">
      <c r="A8" s="23" t="s">
        <v>108</v>
      </c>
      <c r="B8" s="24" t="n">
        <f aca="false">SUMIFS('Orders Data'!$K$2:$K$161,'Orders Data'!$I$2:$I$161,$A8,'Orders Data'!$J$2:$J$161,B$4)</f>
        <v>1450</v>
      </c>
      <c r="C8" s="24" t="n">
        <f aca="false">SUMIFS('Orders Data'!$K$2:$K$161,'Orders Data'!$I$2:$I$161,$A8,'Orders Data'!$J$2:$J$161,C$4)</f>
        <v>7830</v>
      </c>
      <c r="D8" s="24" t="n">
        <f aca="false">SUMIFS('Orders Data'!$K$2:$K$161,'Orders Data'!$I$2:$I$161,$A8,'Orders Data'!$J$2:$J$161,D$4)</f>
        <v>1700</v>
      </c>
      <c r="E8" s="31" t="n">
        <f aca="false">SUM(B8:D8)</f>
        <v>10980</v>
      </c>
    </row>
    <row r="9" customFormat="false" ht="15" hidden="false" customHeight="true" outlineLevel="0" collapsed="false">
      <c r="A9" s="23" t="s">
        <v>110</v>
      </c>
      <c r="B9" s="24" t="n">
        <f aca="false">SUMIFS('Orders Data'!$K$2:$K$161,'Orders Data'!$I$2:$I$161,$A9,'Orders Data'!$J$2:$J$161,B$4)</f>
        <v>1140</v>
      </c>
      <c r="C9" s="24" t="n">
        <f aca="false">SUMIFS('Orders Data'!$K$2:$K$161,'Orders Data'!$I$2:$I$161,$A9,'Orders Data'!$J$2:$J$161,C$4)</f>
        <v>8450</v>
      </c>
      <c r="D9" s="24" t="n">
        <f aca="false">SUMIFS('Orders Data'!$K$2:$K$161,'Orders Data'!$I$2:$I$161,$A9,'Orders Data'!$J$2:$J$161,D$4)</f>
        <v>320</v>
      </c>
      <c r="E9" s="31" t="n">
        <f aca="false">SUM(B9:D9)</f>
        <v>9910</v>
      </c>
    </row>
    <row r="10" customFormat="false" ht="15" hidden="false" customHeight="true" outlineLevel="0" collapsed="false">
      <c r="A10" s="48" t="s">
        <v>394</v>
      </c>
      <c r="B10" s="49" t="n">
        <f aca="false">SUM(B5:B9)</f>
        <v>6410</v>
      </c>
      <c r="C10" s="49" t="n">
        <f aca="false">SUM(C5:C9)</f>
        <v>32990</v>
      </c>
      <c r="D10" s="49" t="n">
        <f aca="false">SUM(D5:D9)</f>
        <v>7100</v>
      </c>
      <c r="E10" s="49" t="n">
        <f aca="false">SUM(E5:E9)</f>
        <v>46500</v>
      </c>
    </row>
    <row r="12" customFormat="false" ht="15" hidden="false" customHeight="true" outlineLevel="0" collapsed="false">
      <c r="A12" s="32" t="str">
        <f aca="false">IF(E10=Summary!$C$6,"✔ Grand total matches Total sales on the Summary sheet","✘ Grand total does not match the Summary sheet")</f>
        <v>✔ Grand total matches Total sales on the Summary sheet</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2026-09-29T09:37:21Z</dcterms:created>
  <dc:creator>openpyxl</dc:creator>
  <dc:description/>
  <dc:language>en-US</dc:language>
  <cp:lastModifiedBy/>
  <dcterms:modified xsi:type="dcterms:W3CDTF">2026-09-29T09:40:40Z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