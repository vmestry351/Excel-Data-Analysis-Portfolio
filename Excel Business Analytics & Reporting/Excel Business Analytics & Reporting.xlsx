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Dashboard" sheetId="2" state="visible" r:id="rId4"/>
    <sheet name="Pivot Summary" sheetId="3" state="visible" r:id="rId5"/>
    <sheet name="Pivot Data" sheetId="4" state="visible" r:id="rId6"/>
    <sheet name="Lookups" sheetId="5" state="visible" r:id="rId7"/>
    <sheet name="Text Functions" sheetId="6" state="visible" r:id="rId8"/>
    <sheet name="Date Functions" sheetId="7" state="visible" r:id="rId9"/>
    <sheet name="Employee Analysis" sheetId="8" state="visible" r:id="rId10"/>
    <sheet name="Employee Data" sheetId="9" state="visible" r:id="rId11"/>
  </sheets>
  <definedNames>
    <definedName function="false" hidden="false" localSheetId="1" name="_xlnm.Print_Area" vbProcedure="false">Dashboard!$A$1:$L$47</definedName>
    <definedName function="false" hidden="true" localSheetId="3" name="_xlnm._FilterDatabase" vbProcedure="false">'Pivot Data'!$A$1:$H$301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<sst xmlns="http://schemas.openxmlformats.org/spreadsheetml/2006/main" count="1763" uniqueCount="712">
  <si>
    <t xml:space="preserve">Excel Skills Workbook</t>
  </si>
  <si>
    <t xml:space="preserve">Lookups, text and date functions, summary tables, a dashboard and a 20-question data analysis</t>
  </si>
  <si>
    <t xml:space="preserve">About</t>
  </si>
  <si>
    <t xml:space="preserve">A practice workbook where I worked through the Excel skills a data analyst uses every day. All data is simulated for practice. Every result in the workbook is a formula, so it updates if the data changes.</t>
  </si>
  <si>
    <t xml:space="preserve">Dashboard</t>
  </si>
  <si>
    <t xml:space="preserve">Six KPI cards, three insight lines and four charts for 300 sales orders. The category dropdown (yellow cell) filters the KPIs and charts, much like a slicer.</t>
  </si>
  <si>
    <t xml:space="preserve">Pivot Summary</t>
  </si>
  <si>
    <t xml:space="preserve">Revenue by region, category × region, month and salesperson, with profit, orders, averages and % of total. Built with SUMIFS, COUNTIFS and SUMPRODUCT, with a check that every table matches the source total. The Pivot Data sheet is laid out so a native PivotTable can be inserted straight from it.</t>
  </si>
  <si>
    <t xml:space="preserve">Lookups</t>
  </si>
  <si>
    <t xml:space="preserve">Product lookups, order pricing with a "Not found" fallback, and commission slabs with approximate match. The grey text shows the XLOOKUP version; the live cells use INDEX/MATCH so they work in every Excel version.</t>
  </si>
  <si>
    <t xml:space="preserve">Text Functions</t>
  </si>
  <si>
    <t xml:space="preserve">Cleaning and splitting 8 messy records: TRIM, PROPER, LEFT, MID, RIGHT, FIND, VALUE and joining with &amp;.</t>
  </si>
  <si>
    <t xml:space="preserve">Date Functions</t>
  </si>
  <si>
    <t xml:space="preserve">YEAR, MONTH, DAY, TEXT, EOMONTH, date differences and DATEDIF for age, using a fixed as-of date.</t>
  </si>
  <si>
    <t xml:space="preserve">Employee Analysis</t>
  </si>
  <si>
    <t xml:space="preserve">20 questions on 40 employee records: SUMIFS, COUNTIFS, AVERAGEIF, lookups, text cleaning, dates, RANK, MEDIAN and unique counts.</t>
  </si>
  <si>
    <t xml:space="preserve">Data sheets</t>
  </si>
  <si>
    <t xml:space="preserve">Pivot Data (300 orders) and Employee Data (40 employees).</t>
  </si>
  <si>
    <t xml:space="preserve">Skills</t>
  </si>
  <si>
    <t xml:space="preserve">SUM / AVERAGE / COUNT, SUMIFS / COUNTIFS / AVERAGEIF, XLOOKUP and INDEX/MATCH, IF / IFERROR, TRIM / PROPER / LEFT / MID / RIGHT / FIND, DATE functions, SUMPRODUCT, RANK, data validation, conditional summaries and charts.</t>
  </si>
  <si>
    <t xml:space="preserve">Sales Dashboard 2025</t>
  </si>
  <si>
    <t xml:space="preserve">300 simulated orders across four regions, four categories and eight salespeople. Amounts in rupees (₹).</t>
  </si>
  <si>
    <t xml:space="preserve">Category</t>
  </si>
  <si>
    <t xml:space="preserve">All</t>
  </si>
  <si>
    <t xml:space="preserve">Select a category to update the KPIs and charts</t>
  </si>
  <si>
    <t xml:space="preserve">Revenue</t>
  </si>
  <si>
    <t xml:space="preserve">Profit</t>
  </si>
  <si>
    <t xml:space="preserve">Profit margin</t>
  </si>
  <si>
    <t xml:space="preserve">Orders</t>
  </si>
  <si>
    <t xml:space="preserve">Avg. order value</t>
  </si>
  <si>
    <t xml:space="preserve">Units sold</t>
  </si>
  <si>
    <t xml:space="preserve">KEY INSIGHTS</t>
  </si>
  <si>
    <t xml:space="preserve">Chart data (feeds the charts above)</t>
  </si>
  <si>
    <t xml:space="preserve">Category filter</t>
  </si>
  <si>
    <t xml:space="preserve">Region</t>
  </si>
  <si>
    <t xml:space="preserve">Margin</t>
  </si>
  <si>
    <t xml:space="preserve">East</t>
  </si>
  <si>
    <t xml:space="preserve">North</t>
  </si>
  <si>
    <t xml:space="preserve">South</t>
  </si>
  <si>
    <t xml:space="preserve">West</t>
  </si>
  <si>
    <t xml:space="preserve">Month</t>
  </si>
  <si>
    <t xml:space="preserve">Salesperson</t>
  </si>
  <si>
    <t xml:space="preserve">Anita</t>
  </si>
  <si>
    <t xml:space="preserve">Bharat</t>
  </si>
  <si>
    <t xml:space="preserve">Chetan</t>
  </si>
  <si>
    <t xml:space="preserve">Divya</t>
  </si>
  <si>
    <t xml:space="preserve">Farhan</t>
  </si>
  <si>
    <t xml:space="preserve">Gita</t>
  </si>
  <si>
    <t xml:space="preserve">Harsh</t>
  </si>
  <si>
    <t xml:space="preserve">Isha</t>
  </si>
  <si>
    <t xml:space="preserve">Pivot summary</t>
  </si>
  <si>
    <t xml:space="preserve">Summary tables built with SUMIFS, COUNTIFS and SUMPRODUCT on the Pivot Data sheet. They update when the data changes.</t>
  </si>
  <si>
    <t xml:space="preserve">Revenue by region</t>
  </si>
  <si>
    <t xml:space="preserve">Quick answers</t>
  </si>
  <si>
    <t xml:space="preserve">Cost</t>
  </si>
  <si>
    <t xml:space="preserve">Avg revenue per order</t>
  </si>
  <si>
    <t xml:space="preserve">% of total revenue</t>
  </si>
  <si>
    <t xml:space="preserve">Question</t>
  </si>
  <si>
    <t xml:space="preserve">Answer</t>
  </si>
  <si>
    <t xml:space="preserve">Month with the highest revenue</t>
  </si>
  <si>
    <t xml:space="preserve">Top salesperson by revenue</t>
  </si>
  <si>
    <t xml:space="preserve">West share of total revenue</t>
  </si>
  <si>
    <t xml:space="preserve">Total profit</t>
  </si>
  <si>
    <t xml:space="preserve">Grand total</t>
  </si>
  <si>
    <t xml:space="preserve">Average revenue per East order</t>
  </si>
  <si>
    <t xml:space="preserve">Electronics revenue in South</t>
  </si>
  <si>
    <t xml:space="preserve">Revenue by category and region</t>
  </si>
  <si>
    <t xml:space="preserve">Total</t>
  </si>
  <si>
    <t xml:space="preserve">Apparel</t>
  </si>
  <si>
    <t xml:space="preserve">Electronics</t>
  </si>
  <si>
    <t xml:space="preserve">Furniture</t>
  </si>
  <si>
    <t xml:space="preserve">Stationery</t>
  </si>
  <si>
    <t xml:space="preserve">Revenue by month</t>
  </si>
  <si>
    <t xml:space="preserve">Month no.</t>
  </si>
  <si>
    <t xml:space="preserve">Revenue by salesperson</t>
  </si>
  <si>
    <t xml:space="preserve">Top 3 salespeople</t>
  </si>
  <si>
    <t xml:space="preserve">Rank</t>
  </si>
  <si>
    <t xml:space="preserve">Order ID</t>
  </si>
  <si>
    <t xml:space="preserve">Date</t>
  </si>
  <si>
    <t xml:space="preserve">Units</t>
  </si>
  <si>
    <t xml:space="preserve">S1001</t>
  </si>
  <si>
    <t xml:space="preserve">S1002</t>
  </si>
  <si>
    <t xml:space="preserve">S1003</t>
  </si>
  <si>
    <t xml:space="preserve">S1004</t>
  </si>
  <si>
    <t xml:space="preserve">S1005</t>
  </si>
  <si>
    <t xml:space="preserve">S1006</t>
  </si>
  <si>
    <t xml:space="preserve">S1007</t>
  </si>
  <si>
    <t xml:space="preserve">S1008</t>
  </si>
  <si>
    <t xml:space="preserve">S1009</t>
  </si>
  <si>
    <t xml:space="preserve">S1010</t>
  </si>
  <si>
    <t xml:space="preserve">S1011</t>
  </si>
  <si>
    <t xml:space="preserve">S1012</t>
  </si>
  <si>
    <t xml:space="preserve">S1013</t>
  </si>
  <si>
    <t xml:space="preserve">S1014</t>
  </si>
  <si>
    <t xml:space="preserve">S1015</t>
  </si>
  <si>
    <t xml:space="preserve">S1016</t>
  </si>
  <si>
    <t xml:space="preserve">S1017</t>
  </si>
  <si>
    <t xml:space="preserve">S1018</t>
  </si>
  <si>
    <t xml:space="preserve">S1019</t>
  </si>
  <si>
    <t xml:space="preserve">S1020</t>
  </si>
  <si>
    <t xml:space="preserve">S1021</t>
  </si>
  <si>
    <t xml:space="preserve">S1022</t>
  </si>
  <si>
    <t xml:space="preserve">S1023</t>
  </si>
  <si>
    <t xml:space="preserve">S1024</t>
  </si>
  <si>
    <t xml:space="preserve">S1025</t>
  </si>
  <si>
    <t xml:space="preserve">S1026</t>
  </si>
  <si>
    <t xml:space="preserve">S1027</t>
  </si>
  <si>
    <t xml:space="preserve">S1028</t>
  </si>
  <si>
    <t xml:space="preserve">S1029</t>
  </si>
  <si>
    <t xml:space="preserve">S1030</t>
  </si>
  <si>
    <t xml:space="preserve">S1031</t>
  </si>
  <si>
    <t xml:space="preserve">S1032</t>
  </si>
  <si>
    <t xml:space="preserve">S1033</t>
  </si>
  <si>
    <t xml:space="preserve">S1034</t>
  </si>
  <si>
    <t xml:space="preserve">S1035</t>
  </si>
  <si>
    <t xml:space="preserve">S1036</t>
  </si>
  <si>
    <t xml:space="preserve">S1037</t>
  </si>
  <si>
    <t xml:space="preserve">S1038</t>
  </si>
  <si>
    <t xml:space="preserve">S1039</t>
  </si>
  <si>
    <t xml:space="preserve">S1040</t>
  </si>
  <si>
    <t xml:space="preserve">S1041</t>
  </si>
  <si>
    <t xml:space="preserve">S1042</t>
  </si>
  <si>
    <t xml:space="preserve">S1043</t>
  </si>
  <si>
    <t xml:space="preserve">S1044</t>
  </si>
  <si>
    <t xml:space="preserve">S1045</t>
  </si>
  <si>
    <t xml:space="preserve">S1046</t>
  </si>
  <si>
    <t xml:space="preserve">S1047</t>
  </si>
  <si>
    <t xml:space="preserve">S1048</t>
  </si>
  <si>
    <t xml:space="preserve">S1049</t>
  </si>
  <si>
    <t xml:space="preserve">S1050</t>
  </si>
  <si>
    <t xml:space="preserve">S1051</t>
  </si>
  <si>
    <t xml:space="preserve">S1052</t>
  </si>
  <si>
    <t xml:space="preserve">S1053</t>
  </si>
  <si>
    <t xml:space="preserve">S1054</t>
  </si>
  <si>
    <t xml:space="preserve">S1055</t>
  </si>
  <si>
    <t xml:space="preserve">S1056</t>
  </si>
  <si>
    <t xml:space="preserve">S1057</t>
  </si>
  <si>
    <t xml:space="preserve">S1058</t>
  </si>
  <si>
    <t xml:space="preserve">S1059</t>
  </si>
  <si>
    <t xml:space="preserve">S1060</t>
  </si>
  <si>
    <t xml:space="preserve">S1061</t>
  </si>
  <si>
    <t xml:space="preserve">S1062</t>
  </si>
  <si>
    <t xml:space="preserve">S1063</t>
  </si>
  <si>
    <t xml:space="preserve">S1064</t>
  </si>
  <si>
    <t xml:space="preserve">S1065</t>
  </si>
  <si>
    <t xml:space="preserve">S1066</t>
  </si>
  <si>
    <t xml:space="preserve">S1067</t>
  </si>
  <si>
    <t xml:space="preserve">S1068</t>
  </si>
  <si>
    <t xml:space="preserve">S1069</t>
  </si>
  <si>
    <t xml:space="preserve">S1070</t>
  </si>
  <si>
    <t xml:space="preserve">S1071</t>
  </si>
  <si>
    <t xml:space="preserve">S1072</t>
  </si>
  <si>
    <t xml:space="preserve">S1073</t>
  </si>
  <si>
    <t xml:space="preserve">S1074</t>
  </si>
  <si>
    <t xml:space="preserve">S1075</t>
  </si>
  <si>
    <t xml:space="preserve">S1076</t>
  </si>
  <si>
    <t xml:space="preserve">S1077</t>
  </si>
  <si>
    <t xml:space="preserve">S1078</t>
  </si>
  <si>
    <t xml:space="preserve">S1079</t>
  </si>
  <si>
    <t xml:space="preserve">S1080</t>
  </si>
  <si>
    <t xml:space="preserve">S1081</t>
  </si>
  <si>
    <t xml:space="preserve">S1082</t>
  </si>
  <si>
    <t xml:space="preserve">S1083</t>
  </si>
  <si>
    <t xml:space="preserve">S1084</t>
  </si>
  <si>
    <t xml:space="preserve">S1085</t>
  </si>
  <si>
    <t xml:space="preserve">S1086</t>
  </si>
  <si>
    <t xml:space="preserve">S1087</t>
  </si>
  <si>
    <t xml:space="preserve">S1088</t>
  </si>
  <si>
    <t xml:space="preserve">S1089</t>
  </si>
  <si>
    <t xml:space="preserve">S1090</t>
  </si>
  <si>
    <t xml:space="preserve">S1091</t>
  </si>
  <si>
    <t xml:space="preserve">S1092</t>
  </si>
  <si>
    <t xml:space="preserve">S1093</t>
  </si>
  <si>
    <t xml:space="preserve">S1094</t>
  </si>
  <si>
    <t xml:space="preserve">S1095</t>
  </si>
  <si>
    <t xml:space="preserve">S1096</t>
  </si>
  <si>
    <t xml:space="preserve">S1097</t>
  </si>
  <si>
    <t xml:space="preserve">S1098</t>
  </si>
  <si>
    <t xml:space="preserve">S1099</t>
  </si>
  <si>
    <t xml:space="preserve">S1100</t>
  </si>
  <si>
    <t xml:space="preserve">S1101</t>
  </si>
  <si>
    <t xml:space="preserve">S1102</t>
  </si>
  <si>
    <t xml:space="preserve">S1103</t>
  </si>
  <si>
    <t xml:space="preserve">S1104</t>
  </si>
  <si>
    <t xml:space="preserve">S1105</t>
  </si>
  <si>
    <t xml:space="preserve">S1106</t>
  </si>
  <si>
    <t xml:space="preserve">S1107</t>
  </si>
  <si>
    <t xml:space="preserve">S1108</t>
  </si>
  <si>
    <t xml:space="preserve">S1109</t>
  </si>
  <si>
    <t xml:space="preserve">S1110</t>
  </si>
  <si>
    <t xml:space="preserve">S1111</t>
  </si>
  <si>
    <t xml:space="preserve">S1112</t>
  </si>
  <si>
    <t xml:space="preserve">S1113</t>
  </si>
  <si>
    <t xml:space="preserve">S1114</t>
  </si>
  <si>
    <t xml:space="preserve">S1115</t>
  </si>
  <si>
    <t xml:space="preserve">S1116</t>
  </si>
  <si>
    <t xml:space="preserve">S1117</t>
  </si>
  <si>
    <t xml:space="preserve">S1118</t>
  </si>
  <si>
    <t xml:space="preserve">S1119</t>
  </si>
  <si>
    <t xml:space="preserve">S1120</t>
  </si>
  <si>
    <t xml:space="preserve">S1121</t>
  </si>
  <si>
    <t xml:space="preserve">S1122</t>
  </si>
  <si>
    <t xml:space="preserve">S1123</t>
  </si>
  <si>
    <t xml:space="preserve">S1124</t>
  </si>
  <si>
    <t xml:space="preserve">S1125</t>
  </si>
  <si>
    <t xml:space="preserve">S1126</t>
  </si>
  <si>
    <t xml:space="preserve">S1127</t>
  </si>
  <si>
    <t xml:space="preserve">S1128</t>
  </si>
  <si>
    <t xml:space="preserve">S1129</t>
  </si>
  <si>
    <t xml:space="preserve">S1130</t>
  </si>
  <si>
    <t xml:space="preserve">S1131</t>
  </si>
  <si>
    <t xml:space="preserve">S1132</t>
  </si>
  <si>
    <t xml:space="preserve">S1133</t>
  </si>
  <si>
    <t xml:space="preserve">S1134</t>
  </si>
  <si>
    <t xml:space="preserve">S1135</t>
  </si>
  <si>
    <t xml:space="preserve">S1136</t>
  </si>
  <si>
    <t xml:space="preserve">S1137</t>
  </si>
  <si>
    <t xml:space="preserve">S1138</t>
  </si>
  <si>
    <t xml:space="preserve">S1139</t>
  </si>
  <si>
    <t xml:space="preserve">S1140</t>
  </si>
  <si>
    <t xml:space="preserve">S1141</t>
  </si>
  <si>
    <t xml:space="preserve">S1142</t>
  </si>
  <si>
    <t xml:space="preserve">S1143</t>
  </si>
  <si>
    <t xml:space="preserve">S1144</t>
  </si>
  <si>
    <t xml:space="preserve">S1145</t>
  </si>
  <si>
    <t xml:space="preserve">S1146</t>
  </si>
  <si>
    <t xml:space="preserve">S1147</t>
  </si>
  <si>
    <t xml:space="preserve">S1148</t>
  </si>
  <si>
    <t xml:space="preserve">S1149</t>
  </si>
  <si>
    <t xml:space="preserve">S1150</t>
  </si>
  <si>
    <t xml:space="preserve">S1151</t>
  </si>
  <si>
    <t xml:space="preserve">S1152</t>
  </si>
  <si>
    <t xml:space="preserve">S1153</t>
  </si>
  <si>
    <t xml:space="preserve">S1154</t>
  </si>
  <si>
    <t xml:space="preserve">S1155</t>
  </si>
  <si>
    <t xml:space="preserve">S1156</t>
  </si>
  <si>
    <t xml:space="preserve">S1157</t>
  </si>
  <si>
    <t xml:space="preserve">S1158</t>
  </si>
  <si>
    <t xml:space="preserve">S1159</t>
  </si>
  <si>
    <t xml:space="preserve">S1160</t>
  </si>
  <si>
    <t xml:space="preserve">S1161</t>
  </si>
  <si>
    <t xml:space="preserve">S1162</t>
  </si>
  <si>
    <t xml:space="preserve">S1163</t>
  </si>
  <si>
    <t xml:space="preserve">S1164</t>
  </si>
  <si>
    <t xml:space="preserve">S1165</t>
  </si>
  <si>
    <t xml:space="preserve">S1166</t>
  </si>
  <si>
    <t xml:space="preserve">S1167</t>
  </si>
  <si>
    <t xml:space="preserve">S1168</t>
  </si>
  <si>
    <t xml:space="preserve">S1169</t>
  </si>
  <si>
    <t xml:space="preserve">S1170</t>
  </si>
  <si>
    <t xml:space="preserve">S1171</t>
  </si>
  <si>
    <t xml:space="preserve">S1172</t>
  </si>
  <si>
    <t xml:space="preserve">S1173</t>
  </si>
  <si>
    <t xml:space="preserve">S1174</t>
  </si>
  <si>
    <t xml:space="preserve">S1175</t>
  </si>
  <si>
    <t xml:space="preserve">S1176</t>
  </si>
  <si>
    <t xml:space="preserve">S1177</t>
  </si>
  <si>
    <t xml:space="preserve">S1178</t>
  </si>
  <si>
    <t xml:space="preserve">S1179</t>
  </si>
  <si>
    <t xml:space="preserve">S1180</t>
  </si>
  <si>
    <t xml:space="preserve">S1181</t>
  </si>
  <si>
    <t xml:space="preserve">S1182</t>
  </si>
  <si>
    <t xml:space="preserve">S1183</t>
  </si>
  <si>
    <t xml:space="preserve">S1184</t>
  </si>
  <si>
    <t xml:space="preserve">S1185</t>
  </si>
  <si>
    <t xml:space="preserve">S1186</t>
  </si>
  <si>
    <t xml:space="preserve">S1187</t>
  </si>
  <si>
    <t xml:space="preserve">S1188</t>
  </si>
  <si>
    <t xml:space="preserve">S1189</t>
  </si>
  <si>
    <t xml:space="preserve">S1190</t>
  </si>
  <si>
    <t xml:space="preserve">S1191</t>
  </si>
  <si>
    <t xml:space="preserve">S1192</t>
  </si>
  <si>
    <t xml:space="preserve">S1193</t>
  </si>
  <si>
    <t xml:space="preserve">S1194</t>
  </si>
  <si>
    <t xml:space="preserve">S1195</t>
  </si>
  <si>
    <t xml:space="preserve">S1196</t>
  </si>
  <si>
    <t xml:space="preserve">S1197</t>
  </si>
  <si>
    <t xml:space="preserve">S1198</t>
  </si>
  <si>
    <t xml:space="preserve">S1199</t>
  </si>
  <si>
    <t xml:space="preserve">S1200</t>
  </si>
  <si>
    <t xml:space="preserve">S1201</t>
  </si>
  <si>
    <t xml:space="preserve">S1202</t>
  </si>
  <si>
    <t xml:space="preserve">S1203</t>
  </si>
  <si>
    <t xml:space="preserve">S1204</t>
  </si>
  <si>
    <t xml:space="preserve">S1205</t>
  </si>
  <si>
    <t xml:space="preserve">S1206</t>
  </si>
  <si>
    <t xml:space="preserve">S1207</t>
  </si>
  <si>
    <t xml:space="preserve">S1208</t>
  </si>
  <si>
    <t xml:space="preserve">S1209</t>
  </si>
  <si>
    <t xml:space="preserve">S1210</t>
  </si>
  <si>
    <t xml:space="preserve">S1211</t>
  </si>
  <si>
    <t xml:space="preserve">S1212</t>
  </si>
  <si>
    <t xml:space="preserve">S1213</t>
  </si>
  <si>
    <t xml:space="preserve">S1214</t>
  </si>
  <si>
    <t xml:space="preserve">S1215</t>
  </si>
  <si>
    <t xml:space="preserve">S1216</t>
  </si>
  <si>
    <t xml:space="preserve">S1217</t>
  </si>
  <si>
    <t xml:space="preserve">S1218</t>
  </si>
  <si>
    <t xml:space="preserve">S1219</t>
  </si>
  <si>
    <t xml:space="preserve">S1220</t>
  </si>
  <si>
    <t xml:space="preserve">S1221</t>
  </si>
  <si>
    <t xml:space="preserve">S1222</t>
  </si>
  <si>
    <t xml:space="preserve">S1223</t>
  </si>
  <si>
    <t xml:space="preserve">S1224</t>
  </si>
  <si>
    <t xml:space="preserve">S1225</t>
  </si>
  <si>
    <t xml:space="preserve">S1226</t>
  </si>
  <si>
    <t xml:space="preserve">S1227</t>
  </si>
  <si>
    <t xml:space="preserve">S1228</t>
  </si>
  <si>
    <t xml:space="preserve">S1229</t>
  </si>
  <si>
    <t xml:space="preserve">S1230</t>
  </si>
  <si>
    <t xml:space="preserve">S1231</t>
  </si>
  <si>
    <t xml:space="preserve">S1232</t>
  </si>
  <si>
    <t xml:space="preserve">S1233</t>
  </si>
  <si>
    <t xml:space="preserve">S1234</t>
  </si>
  <si>
    <t xml:space="preserve">S1235</t>
  </si>
  <si>
    <t xml:space="preserve">S1236</t>
  </si>
  <si>
    <t xml:space="preserve">S1237</t>
  </si>
  <si>
    <t xml:space="preserve">S1238</t>
  </si>
  <si>
    <t xml:space="preserve">S1239</t>
  </si>
  <si>
    <t xml:space="preserve">S1240</t>
  </si>
  <si>
    <t xml:space="preserve">S1241</t>
  </si>
  <si>
    <t xml:space="preserve">S1242</t>
  </si>
  <si>
    <t xml:space="preserve">S1243</t>
  </si>
  <si>
    <t xml:space="preserve">S1244</t>
  </si>
  <si>
    <t xml:space="preserve">S1245</t>
  </si>
  <si>
    <t xml:space="preserve">S1246</t>
  </si>
  <si>
    <t xml:space="preserve">S1247</t>
  </si>
  <si>
    <t xml:space="preserve">S1248</t>
  </si>
  <si>
    <t xml:space="preserve">S1249</t>
  </si>
  <si>
    <t xml:space="preserve">S1250</t>
  </si>
  <si>
    <t xml:space="preserve">S1251</t>
  </si>
  <si>
    <t xml:space="preserve">S1252</t>
  </si>
  <si>
    <t xml:space="preserve">S1253</t>
  </si>
  <si>
    <t xml:space="preserve">S1254</t>
  </si>
  <si>
    <t xml:space="preserve">S1255</t>
  </si>
  <si>
    <t xml:space="preserve">S1256</t>
  </si>
  <si>
    <t xml:space="preserve">S1257</t>
  </si>
  <si>
    <t xml:space="preserve">S1258</t>
  </si>
  <si>
    <t xml:space="preserve">S1259</t>
  </si>
  <si>
    <t xml:space="preserve">S1260</t>
  </si>
  <si>
    <t xml:space="preserve">S1261</t>
  </si>
  <si>
    <t xml:space="preserve">S1262</t>
  </si>
  <si>
    <t xml:space="preserve">S1263</t>
  </si>
  <si>
    <t xml:space="preserve">S1264</t>
  </si>
  <si>
    <t xml:space="preserve">S1265</t>
  </si>
  <si>
    <t xml:space="preserve">S1266</t>
  </si>
  <si>
    <t xml:space="preserve">S1267</t>
  </si>
  <si>
    <t xml:space="preserve">S1268</t>
  </si>
  <si>
    <t xml:space="preserve">S1269</t>
  </si>
  <si>
    <t xml:space="preserve">S1270</t>
  </si>
  <si>
    <t xml:space="preserve">S1271</t>
  </si>
  <si>
    <t xml:space="preserve">S1272</t>
  </si>
  <si>
    <t xml:space="preserve">S1273</t>
  </si>
  <si>
    <t xml:space="preserve">S1274</t>
  </si>
  <si>
    <t xml:space="preserve">S1275</t>
  </si>
  <si>
    <t xml:space="preserve">S1276</t>
  </si>
  <si>
    <t xml:space="preserve">S1277</t>
  </si>
  <si>
    <t xml:space="preserve">S1278</t>
  </si>
  <si>
    <t xml:space="preserve">S1279</t>
  </si>
  <si>
    <t xml:space="preserve">S1280</t>
  </si>
  <si>
    <t xml:space="preserve">S1281</t>
  </si>
  <si>
    <t xml:space="preserve">S1282</t>
  </si>
  <si>
    <t xml:space="preserve">S1283</t>
  </si>
  <si>
    <t xml:space="preserve">S1284</t>
  </si>
  <si>
    <t xml:space="preserve">S1285</t>
  </si>
  <si>
    <t xml:space="preserve">S1286</t>
  </si>
  <si>
    <t xml:space="preserve">S1287</t>
  </si>
  <si>
    <t xml:space="preserve">S1288</t>
  </si>
  <si>
    <t xml:space="preserve">S1289</t>
  </si>
  <si>
    <t xml:space="preserve">S1290</t>
  </si>
  <si>
    <t xml:space="preserve">S1291</t>
  </si>
  <si>
    <t xml:space="preserve">S1292</t>
  </si>
  <si>
    <t xml:space="preserve">S1293</t>
  </si>
  <si>
    <t xml:space="preserve">S1294</t>
  </si>
  <si>
    <t xml:space="preserve">S1295</t>
  </si>
  <si>
    <t xml:space="preserve">S1296</t>
  </si>
  <si>
    <t xml:space="preserve">S1297</t>
  </si>
  <si>
    <t xml:space="preserve">S1298</t>
  </si>
  <si>
    <t xml:space="preserve">S1299</t>
  </si>
  <si>
    <t xml:space="preserve">S1300</t>
  </si>
  <si>
    <t xml:space="preserve">Product lookups, order pricing and commission slabs. Formulas in grey text are the XLOOKUP versions.</t>
  </si>
  <si>
    <t xml:space="preserve">Product ID</t>
  </si>
  <si>
    <t xml:space="preserve">Product Name</t>
  </si>
  <si>
    <t xml:space="preserve">Price (₹)</t>
  </si>
  <si>
    <t xml:space="preserve">Stock</t>
  </si>
  <si>
    <t xml:space="preserve">Qty</t>
  </si>
  <si>
    <t xml:space="preserve">Unit Price (₹)</t>
  </si>
  <si>
    <t xml:space="preserve">Line Total (₹)</t>
  </si>
  <si>
    <t xml:space="preserve">Sales at least (₹)</t>
  </si>
  <si>
    <t xml:space="preserve">Commission rate</t>
  </si>
  <si>
    <t xml:space="preserve">P001</t>
  </si>
  <si>
    <t xml:space="preserve">Wireless Earbuds</t>
  </si>
  <si>
    <t xml:space="preserve">ORD-501</t>
  </si>
  <si>
    <t xml:space="preserve">P003</t>
  </si>
  <si>
    <t xml:space="preserve">P002</t>
  </si>
  <si>
    <t xml:space="preserve">Smart Watch</t>
  </si>
  <si>
    <t xml:space="preserve">ORD-502</t>
  </si>
  <si>
    <t xml:space="preserve">P011</t>
  </si>
  <si>
    <t xml:space="preserve">Power Bank</t>
  </si>
  <si>
    <t xml:space="preserve">ORD-503</t>
  </si>
  <si>
    <t xml:space="preserve">P009</t>
  </si>
  <si>
    <t xml:space="preserve">P004</t>
  </si>
  <si>
    <t xml:space="preserve">Bluetooth Speaker</t>
  </si>
  <si>
    <t xml:space="preserve">ORD-504</t>
  </si>
  <si>
    <t xml:space="preserve">P099</t>
  </si>
  <si>
    <t xml:space="preserve">P005</t>
  </si>
  <si>
    <t xml:space="preserve">Cotton T-Shirt</t>
  </si>
  <si>
    <t xml:space="preserve">ORD-505</t>
  </si>
  <si>
    <t xml:space="preserve">P006</t>
  </si>
  <si>
    <t xml:space="preserve">Denim Jeans</t>
  </si>
  <si>
    <t xml:space="preserve">ORD-506</t>
  </si>
  <si>
    <t xml:space="preserve">P007</t>
  </si>
  <si>
    <t xml:space="preserve">Hoodie</t>
  </si>
  <si>
    <t xml:space="preserve">ORD-507</t>
  </si>
  <si>
    <t xml:space="preserve">P014</t>
  </si>
  <si>
    <t xml:space="preserve">P008</t>
  </si>
  <si>
    <t xml:space="preserve">Cotton Bedsheet</t>
  </si>
  <si>
    <t xml:space="preserve">Home</t>
  </si>
  <si>
    <t xml:space="preserve">ORD-508</t>
  </si>
  <si>
    <t xml:space="preserve">Coffee Maker</t>
  </si>
  <si>
    <t xml:space="preserve">ORD-509</t>
  </si>
  <si>
    <t xml:space="preserve">P012</t>
  </si>
  <si>
    <t xml:space="preserve">P010</t>
  </si>
  <si>
    <t xml:space="preserve">Table Lamp</t>
  </si>
  <si>
    <t xml:space="preserve">ORD-510</t>
  </si>
  <si>
    <t xml:space="preserve">P015</t>
  </si>
  <si>
    <t xml:space="preserve">Face Serum</t>
  </si>
  <si>
    <t xml:space="preserve">Beauty</t>
  </si>
  <si>
    <t xml:space="preserve">Perfume</t>
  </si>
  <si>
    <t xml:space="preserve">Order table formulas (XLOOKUP version): Name =XLOOKUP(H5,$A$5:$A$19,$B$5:$B$19,"Not found")   Price =XLOOKUP(H5,$A$5:$A$19,$D$5:$D$19,0)   Total =K5*I5</t>
  </si>
  <si>
    <t xml:space="preserve">P013</t>
  </si>
  <si>
    <t xml:space="preserve">Notebook</t>
  </si>
  <si>
    <t xml:space="preserve">Gel Pens Pack</t>
  </si>
  <si>
    <t xml:space="preserve">Desk Organizer</t>
  </si>
  <si>
    <t xml:space="preserve">No.</t>
  </si>
  <si>
    <t xml:space="preserve">XLOOKUP formula</t>
  </si>
  <si>
    <t xml:space="preserve">Price of product P007</t>
  </si>
  <si>
    <t xml:space="preserve">=XLOOKUP("P007",A5:A19,D5:D19)</t>
  </si>
  <si>
    <t xml:space="preserve">Category of the "Smart Watch"</t>
  </si>
  <si>
    <t xml:space="preserve">=XLOOKUP("Smart Watch",B5:B19,C5:C19)</t>
  </si>
  <si>
    <t xml:space="preserve">Product ID of "Coffee Maker" (lookup to the left)</t>
  </si>
  <si>
    <t xml:space="preserve">=XLOOKUP("Coffee Maker",B5:B19,A5:A19)</t>
  </si>
  <si>
    <t xml:space="preserve">Stock of P099, or "Not found" if missing</t>
  </si>
  <si>
    <t xml:space="preserve">=XLOOKUP("P099",A5:A19,E5:E19,"Not found")</t>
  </si>
  <si>
    <t xml:space="preserve">Commission rate on a ₹37,500 sale (approximate match)</t>
  </si>
  <si>
    <t xml:space="preserve">=XLOOKUP(37500,N5:N9,O5:O9,,-1)</t>
  </si>
  <si>
    <t xml:space="preserve">Commission on a ₹1,20,000 sale</t>
  </si>
  <si>
    <t xml:space="preserve">=120000*XLOOKUP(120000,N5:N9,O5:O9,,-1)</t>
  </si>
  <si>
    <t xml:space="preserve">Total value of the 10 orders</t>
  </si>
  <si>
    <t xml:space="preserve">=SUM(L5:L14)</t>
  </si>
  <si>
    <t xml:space="preserve">Text functions</t>
  </si>
  <si>
    <t xml:space="preserve">Cleaning and splitting names, emails, phone numbers and order codes.</t>
  </si>
  <si>
    <t xml:space="preserve">Raw Name</t>
  </si>
  <si>
    <t xml:space="preserve">Email</t>
  </si>
  <si>
    <t xml:space="preserve">Phone</t>
  </si>
  <si>
    <t xml:space="preserve">Order Code</t>
  </si>
  <si>
    <t xml:space="preserve">Clean Name (trim, proper case)</t>
  </si>
  <si>
    <t xml:space="preserve">First Name</t>
  </si>
  <si>
    <t xml:space="preserve">Last Name</t>
  </si>
  <si>
    <t xml:space="preserve">Username (before @)</t>
  </si>
  <si>
    <t xml:space="preserve">Email Domain (after @)</t>
  </si>
  <si>
    <t xml:space="preserve">Phone last 4 digits</t>
  </si>
  <si>
    <t xml:space="preserve">Order Year (as a number)</t>
  </si>
  <si>
    <t xml:space="preserve">City Code (last 3 letters)</t>
  </si>
  <si>
    <t xml:space="preserve">"Last, First"</t>
  </si>
  <si>
    <t xml:space="preserve">  ravi KUMAR </t>
  </si>
  <si>
    <t xml:space="preserve">ravi.kumar@gmail.com</t>
  </si>
  <si>
    <t xml:space="preserve">+91-98765-43210</t>
  </si>
  <si>
    <t xml:space="preserve">ORD-2025-00123-MUM</t>
  </si>
  <si>
    <t xml:space="preserve">PRIYA  sharma</t>
  </si>
  <si>
    <t xml:space="preserve">priya_s@outlook.com</t>
  </si>
  <si>
    <t xml:space="preserve">+91-91234-56789</t>
  </si>
  <si>
    <t xml:space="preserve">ORD-2024-00456-DEL</t>
  </si>
  <si>
    <t xml:space="preserve">amit PATEL</t>
  </si>
  <si>
    <t xml:space="preserve">amit.patel@company.co.in</t>
  </si>
  <si>
    <t xml:space="preserve">+91-99887-76655</t>
  </si>
  <si>
    <t xml:space="preserve">ORD-2025-00789-PUN</t>
  </si>
  <si>
    <t xml:space="preserve"> sneha Iyer</t>
  </si>
  <si>
    <t xml:space="preserve">sneha.iyer@gmail.com</t>
  </si>
  <si>
    <t xml:space="preserve">+91-90000-11122</t>
  </si>
  <si>
    <t xml:space="preserve">ORD-2023-00012-BLR</t>
  </si>
  <si>
    <t xml:space="preserve">ROHAN mehta </t>
  </si>
  <si>
    <t xml:space="preserve">rohan99@yahoo.com</t>
  </si>
  <si>
    <t xml:space="preserve">+91-95555-66677</t>
  </si>
  <si>
    <t xml:space="preserve">ORD-2025-00345-MUM</t>
  </si>
  <si>
    <t xml:space="preserve">kavita  Nair</t>
  </si>
  <si>
    <t xml:space="preserve">kavita.nair@outlook.com</t>
  </si>
  <si>
    <t xml:space="preserve">+91-97777-88899</t>
  </si>
  <si>
    <t xml:space="preserve">ORD-2024-00901-CHE</t>
  </si>
  <si>
    <t xml:space="preserve"> arjun SINGH</t>
  </si>
  <si>
    <t xml:space="preserve">arjun.singh@company.co.in</t>
  </si>
  <si>
    <t xml:space="preserve">+91-93333-44455</t>
  </si>
  <si>
    <t xml:space="preserve">ORD-2025-00567-DEL</t>
  </si>
  <si>
    <t xml:space="preserve">meera Joshi </t>
  </si>
  <si>
    <t xml:space="preserve">meera_j@gmail.com</t>
  </si>
  <si>
    <t xml:space="preserve">+91-92222-33344</t>
  </si>
  <si>
    <t xml:space="preserve">ORD-2023-00234-PUN</t>
  </si>
  <si>
    <t xml:space="preserve">Formulas used (row 5)</t>
  </si>
  <si>
    <t xml:space="preserve">=PROPER(TRIM(A5))</t>
  </si>
  <si>
    <t xml:space="preserve">=LEFT(F5,FIND(" ",F5)-1)</t>
  </si>
  <si>
    <t xml:space="preserve">=MID(F5,FIND(" ",F5)+1,50)</t>
  </si>
  <si>
    <t xml:space="preserve">=LEFT(B5,FIND("@",B5)-1)</t>
  </si>
  <si>
    <t xml:space="preserve">=MID(B5,FIND("@",B5)+1,50)</t>
  </si>
  <si>
    <t xml:space="preserve">=RIGHT(C5,4)</t>
  </si>
  <si>
    <t xml:space="preserve">=VALUE(MID(D5,5,4))</t>
  </si>
  <si>
    <t xml:space="preserve">=RIGHT(D5,3)</t>
  </si>
  <si>
    <t xml:space="preserve">=H5&amp;", "&amp;G5</t>
  </si>
  <si>
    <t xml:space="preserve">Date functions</t>
  </si>
  <si>
    <t xml:space="preserve">Year, month, weekday, month-end, date differences and age. The as-of date is fixed so results stay the same.</t>
  </si>
  <si>
    <t xml:space="preserve">As of date</t>
  </si>
  <si>
    <t xml:space="preserve">Order Date</t>
  </si>
  <si>
    <t xml:space="preserve">Ship Date</t>
  </si>
  <si>
    <t xml:space="preserve">Due Date</t>
  </si>
  <si>
    <t xml:space="preserve">Date of Birth</t>
  </si>
  <si>
    <t xml:space="preserve">Year of order</t>
  </si>
  <si>
    <t xml:space="preserve">Month number</t>
  </si>
  <si>
    <t xml:space="preserve">Day of month</t>
  </si>
  <si>
    <t xml:space="preserve">Month name</t>
  </si>
  <si>
    <t xml:space="preserve">Days from order to ship</t>
  </si>
  <si>
    <t xml:space="preserve">Weekday of order</t>
  </si>
  <si>
    <t xml:space="preserve">Last day of order month</t>
  </si>
  <si>
    <t xml:space="preserve">Days left to due date (negative = overdue)</t>
  </si>
  <si>
    <t xml:space="preserve">Age in complete years</t>
  </si>
  <si>
    <t xml:space="preserve">Formulas used (row 6)</t>
  </si>
  <si>
    <t xml:space="preserve">=YEAR(A6)</t>
  </si>
  <si>
    <t xml:space="preserve">=MONTH(A6)</t>
  </si>
  <si>
    <t xml:space="preserve">=DAY(A6)</t>
  </si>
  <si>
    <t xml:space="preserve">=TEXT(A6,"mmmm")</t>
  </si>
  <si>
    <t xml:space="preserve">=B6-A6</t>
  </si>
  <si>
    <t xml:space="preserve">=TEXT(A6,"dddd")</t>
  </si>
  <si>
    <t xml:space="preserve">=EOMONTH(A6,0)</t>
  </si>
  <si>
    <t xml:space="preserve">=C6-$B$3</t>
  </si>
  <si>
    <t xml:space="preserve">=DATEDIF(D6,$B$3,"Y")</t>
  </si>
  <si>
    <t xml:space="preserve">Employee analysis</t>
  </si>
  <si>
    <t xml:space="preserve">20 questions on the Employee Data sheet, answered with formulas.</t>
  </si>
  <si>
    <t xml:space="preserve">Formula (Excel 2021 / 365 version)</t>
  </si>
  <si>
    <t xml:space="preserve">Department</t>
  </si>
  <si>
    <t xml:space="preserve">Total salary</t>
  </si>
  <si>
    <t xml:space="preserve">Total salary of all employees</t>
  </si>
  <si>
    <t xml:space="preserve">=SUM(E2:E41)</t>
  </si>
  <si>
    <t xml:space="preserve">Sales</t>
  </si>
  <si>
    <t xml:space="preserve">Average salary of the Sales department (nearest whole number)</t>
  </si>
  <si>
    <t xml:space="preserve">=ROUND(AVERAGEIF(C2:C41,"Sales",E2:E41),0)</t>
  </si>
  <si>
    <t xml:space="preserve">Finance</t>
  </si>
  <si>
    <t xml:space="preserve">Employees based in Pune</t>
  </si>
  <si>
    <t xml:space="preserve">=COUNTIF(F2:F41,"Pune")</t>
  </si>
  <si>
    <t xml:space="preserve">HR</t>
  </si>
  <si>
    <t xml:space="preserve">Salary of employee E017</t>
  </si>
  <si>
    <t xml:space="preserve">=XLOOKUP("E017",A2:A41,E2:E41)</t>
  </si>
  <si>
    <t xml:space="preserve">IT</t>
  </si>
  <si>
    <t xml:space="preserve">Highest-paid employee (trimmed, proper case)</t>
  </si>
  <si>
    <t xml:space="preserve">=PROPER(TRIM(XLOOKUP(MAX(E2:E41),E2:E41,B2:B41)))</t>
  </si>
  <si>
    <t xml:space="preserve">Operations</t>
  </si>
  <si>
    <t xml:space="preserve">IT employees earning more than 60,000</t>
  </si>
  <si>
    <t xml:space="preserve">=COUNTIFS(C2:C41,"IT",E2:E41,"&gt;60000")</t>
  </si>
  <si>
    <t xml:space="preserve">Total salary of Delhi employees who joined on or after 1-Jan-2023</t>
  </si>
  <si>
    <t xml:space="preserve">=SUMIFS(E2:E41,F2:F41,"Delhi",D2:D41,"&gt;="&amp;DATE(2023,1,1))</t>
  </si>
  <si>
    <t xml:space="preserve">Clean name of employee E005</t>
  </si>
  <si>
    <t xml:space="preserve">=PROPER(TRIM(XLOOKUP("E005",A2:A41,B2:B41)))</t>
  </si>
  <si>
    <t xml:space="preserve">First name of employee E010</t>
  </si>
  <si>
    <t xml:space="preserve">=LEFT(x,FIND(" ",x)-1)  where x = PROPER(TRIM(name))</t>
  </si>
  <si>
    <t xml:space="preserve">Email domain of employee E003</t>
  </si>
  <si>
    <t xml:space="preserve">=MID(x,FIND("@",x)+1,50)  where x = email</t>
  </si>
  <si>
    <t xml:space="preserve">Year employee E020 joined</t>
  </si>
  <si>
    <t xml:space="preserve">=YEAR(XLOOKUP("E020",A2:A41,D2:D41))</t>
  </si>
  <si>
    <t xml:space="preserve">Complete years of service of E001 as of 30-Sep-2026</t>
  </si>
  <si>
    <t xml:space="preserve">=DATEDIF(XLOOKUP("E001",A2:A41,D2:D41),DATE(2026,9,30),"Y")</t>
  </si>
  <si>
    <t xml:space="preserve">Employees who joined in March (any year)</t>
  </si>
  <si>
    <t xml:space="preserve">=SUMPRODUCT(--(MONTH(D2:D41)=3))</t>
  </si>
  <si>
    <t xml:space="preserve">Department with the highest total salary</t>
  </si>
  <si>
    <t xml:space="preserve">=INDEX(F5:F9,MATCH(MAX(G5:G9),G5:G9,0))  (helper table at F4:G9)</t>
  </si>
  <si>
    <t xml:space="preserve">Bonus for E008: 10% if salary is 70,000 or more, otherwise 5%</t>
  </si>
  <si>
    <t xml:space="preserve">=IF(x&gt;=70000,0.1,0.05)*x  where x = salary</t>
  </si>
  <si>
    <t xml:space="preserve">Number of unique cities</t>
  </si>
  <si>
    <t xml:space="preserve">=SUMPRODUCT(1/COUNTIF(F2:F41,F2:F41))</t>
  </si>
  <si>
    <t xml:space="preserve">Salary rank of employee E012 (1 = highest)</t>
  </si>
  <si>
    <t xml:space="preserve">=RANK(XLOOKUP("E012",A2:A41,E2:E41),E2:E41)</t>
  </si>
  <si>
    <t xml:space="preserve">Median salary</t>
  </si>
  <si>
    <t xml:space="preserve">=MEDIAN(E2:E41)</t>
  </si>
  <si>
    <t xml:space="preserve">Average salary of HR (same as a pivot of average salary by department)</t>
  </si>
  <si>
    <t xml:space="preserve">=ROUND(AVERAGEIF(C2:C41,"HR",E2:E41),0)</t>
  </si>
  <si>
    <t xml:space="preserve">Share of employees in Mumbai</t>
  </si>
  <si>
    <t xml:space="preserve">=COUNTIF(F2:F41,"Mumbai")/COUNTA(F2:F41)</t>
  </si>
  <si>
    <t xml:space="preserve">Emp ID</t>
  </si>
  <si>
    <t xml:space="preserve">Name</t>
  </si>
  <si>
    <t xml:space="preserve">Join Date</t>
  </si>
  <si>
    <t xml:space="preserve">Salary</t>
  </si>
  <si>
    <t xml:space="preserve">City</t>
  </si>
  <si>
    <t xml:space="preserve">E001</t>
  </si>
  <si>
    <t xml:space="preserve">KARAN DESAI</t>
  </si>
  <si>
    <t xml:space="preserve">Pune</t>
  </si>
  <si>
    <t xml:space="preserve">karan.desai@gmail.com</t>
  </si>
  <si>
    <t xml:space="preserve">E002</t>
  </si>
  <si>
    <t xml:space="preserve">pooja joshi</t>
  </si>
  <si>
    <t xml:space="preserve">Bengaluru</t>
  </si>
  <si>
    <t xml:space="preserve">pooja.joshi@gmail.com</t>
  </si>
  <si>
    <t xml:space="preserve">E003</t>
  </si>
  <si>
    <t xml:space="preserve"> Priya Mehta </t>
  </si>
  <si>
    <t xml:space="preserve">priya.mehta@outlook.com</t>
  </si>
  <si>
    <t xml:space="preserve">E004</t>
  </si>
  <si>
    <t xml:space="preserve">Suresh Singh</t>
  </si>
  <si>
    <t xml:space="preserve">Mumbai</t>
  </si>
  <si>
    <t xml:space="preserve">suresh.singh@company.co.in</t>
  </si>
  <si>
    <t xml:space="preserve">E005</t>
  </si>
  <si>
    <t xml:space="preserve">Neha Joshi</t>
  </si>
  <si>
    <t xml:space="preserve">neha.joshi@company.co.in</t>
  </si>
  <si>
    <t xml:space="preserve">E006</t>
  </si>
  <si>
    <t xml:space="preserve">Pooja Gupta</t>
  </si>
  <si>
    <t xml:space="preserve">pooja.gupta@outlook.com</t>
  </si>
  <si>
    <t xml:space="preserve">E007</t>
  </si>
  <si>
    <t xml:space="preserve">Neha Mehta</t>
  </si>
  <si>
    <t xml:space="preserve">Delhi</t>
  </si>
  <si>
    <t xml:space="preserve">neha.mehta@company.co.in</t>
  </si>
  <si>
    <t xml:space="preserve">E008</t>
  </si>
  <si>
    <t xml:space="preserve">SNEHA REDDY</t>
  </si>
  <si>
    <t xml:space="preserve">sneha.reddy@outlook.com</t>
  </si>
  <si>
    <t xml:space="preserve">E009</t>
  </si>
  <si>
    <t xml:space="preserve">vikram  SINGH</t>
  </si>
  <si>
    <t xml:space="preserve">vikram.singh@outlook.com</t>
  </si>
  <si>
    <t xml:space="preserve">E010</t>
  </si>
  <si>
    <t xml:space="preserve">sneha sharma</t>
  </si>
  <si>
    <t xml:space="preserve">sneha.sharma@company.co.in</t>
  </si>
  <si>
    <t xml:space="preserve">E011</t>
  </si>
  <si>
    <t xml:space="preserve">ROHAN PATEL</t>
  </si>
  <si>
    <t xml:space="preserve">rohan.patel@gmail.com</t>
  </si>
  <si>
    <t xml:space="preserve">E012</t>
  </si>
  <si>
    <t xml:space="preserve">Karan Gupta</t>
  </si>
  <si>
    <t xml:space="preserve">karan.gupta@outlook.com</t>
  </si>
  <si>
    <t xml:space="preserve">E013</t>
  </si>
  <si>
    <t xml:space="preserve"> Arjun Gupta </t>
  </si>
  <si>
    <t xml:space="preserve">arjun.gupta@outlook.com</t>
  </si>
  <si>
    <t xml:space="preserve">E014</t>
  </si>
  <si>
    <t xml:space="preserve">Amit Patel</t>
  </si>
  <si>
    <t xml:space="preserve">amit.patel@outlook.com</t>
  </si>
  <si>
    <t xml:space="preserve">E015</t>
  </si>
  <si>
    <t xml:space="preserve">pooja sharma</t>
  </si>
  <si>
    <t xml:space="preserve">pooja.sharma@outlook.com</t>
  </si>
  <si>
    <t xml:space="preserve">E016</t>
  </si>
  <si>
    <t xml:space="preserve">Swati Verma</t>
  </si>
  <si>
    <t xml:space="preserve">swati.verma@gmail.com</t>
  </si>
  <si>
    <t xml:space="preserve">E017</t>
  </si>
  <si>
    <t xml:space="preserve">SNEHA SINGH</t>
  </si>
  <si>
    <t xml:space="preserve">sneha.singh@company.co.in</t>
  </si>
  <si>
    <t xml:space="preserve">E018</t>
  </si>
  <si>
    <t xml:space="preserve">Divya Singh</t>
  </si>
  <si>
    <t xml:space="preserve">divya.singh@company.co.in</t>
  </si>
  <si>
    <t xml:space="preserve">E019</t>
  </si>
  <si>
    <t xml:space="preserve">pooja verma</t>
  </si>
  <si>
    <t xml:space="preserve">pooja.verma@outlook.com</t>
  </si>
  <si>
    <t xml:space="preserve">E020</t>
  </si>
  <si>
    <t xml:space="preserve">Suresh Iyer</t>
  </si>
  <si>
    <t xml:space="preserve">suresh.iyer@outlook.com</t>
  </si>
  <si>
    <t xml:space="preserve">E021</t>
  </si>
  <si>
    <t xml:space="preserve">nikhil desai</t>
  </si>
  <si>
    <t xml:space="preserve">nikhil.desai@company.co.in</t>
  </si>
  <si>
    <t xml:space="preserve">E022</t>
  </si>
  <si>
    <t xml:space="preserve">Karan Nair</t>
  </si>
  <si>
    <t xml:space="preserve">karan.nair@outlook.com</t>
  </si>
  <si>
    <t xml:space="preserve">E023</t>
  </si>
  <si>
    <t xml:space="preserve">amit mehta</t>
  </si>
  <si>
    <t xml:space="preserve">amit.mehta@outlook.com</t>
  </si>
  <si>
    <t xml:space="preserve">E024</t>
  </si>
  <si>
    <t xml:space="preserve"> Kavita Singh </t>
  </si>
  <si>
    <t xml:space="preserve">kavita.singh@gmail.com</t>
  </si>
  <si>
    <t xml:space="preserve">E025</t>
  </si>
  <si>
    <t xml:space="preserve">Kavita Gupta</t>
  </si>
  <si>
    <t xml:space="preserve">kavita.gupta@gmail.com</t>
  </si>
  <si>
    <t xml:space="preserve">E026</t>
  </si>
  <si>
    <t xml:space="preserve">Neha Gupta</t>
  </si>
  <si>
    <t xml:space="preserve">neha.gupta@gmail.com</t>
  </si>
  <si>
    <t xml:space="preserve">E027</t>
  </si>
  <si>
    <t xml:space="preserve">MANOJ NAIR</t>
  </si>
  <si>
    <t xml:space="preserve">manoj.nair@gmail.com</t>
  </si>
  <si>
    <t xml:space="preserve">E028</t>
  </si>
  <si>
    <t xml:space="preserve">Isha Nair</t>
  </si>
  <si>
    <t xml:space="preserve">isha.nair@company.co.in</t>
  </si>
  <si>
    <t xml:space="preserve">E029</t>
  </si>
  <si>
    <t xml:space="preserve">Suresh Nair</t>
  </si>
  <si>
    <t xml:space="preserve">suresh.nair@company.co.in</t>
  </si>
  <si>
    <t xml:space="preserve">E030</t>
  </si>
  <si>
    <t xml:space="preserve"> Ravi Patel </t>
  </si>
  <si>
    <t xml:space="preserve">ravi.patel@outlook.com</t>
  </si>
  <si>
    <t xml:space="preserve">E031</t>
  </si>
  <si>
    <t xml:space="preserve">rohan mehta</t>
  </si>
  <si>
    <t xml:space="preserve">rohan.mehta@company.co.in</t>
  </si>
  <si>
    <t xml:space="preserve">E032</t>
  </si>
  <si>
    <t xml:space="preserve">nikhil patel</t>
  </si>
  <si>
    <t xml:space="preserve">nikhil.patel@outlook.com</t>
  </si>
  <si>
    <t xml:space="preserve">E033</t>
  </si>
  <si>
    <t xml:space="preserve">kavita  REDDY</t>
  </si>
  <si>
    <t xml:space="preserve">kavita.reddy@company.co.in</t>
  </si>
  <si>
    <t xml:space="preserve">E034</t>
  </si>
  <si>
    <t xml:space="preserve"> Neha Desai </t>
  </si>
  <si>
    <t xml:space="preserve">neha.desai@company.co.in</t>
  </si>
  <si>
    <t xml:space="preserve">E035</t>
  </si>
  <si>
    <t xml:space="preserve"> Arjun Desai </t>
  </si>
  <si>
    <t xml:space="preserve">arjun.desai@outlook.com</t>
  </si>
  <si>
    <t xml:space="preserve">E036</t>
  </si>
  <si>
    <t xml:space="preserve">sneha  GUPTA</t>
  </si>
  <si>
    <t xml:space="preserve">sneha.gupta@outlook.com</t>
  </si>
  <si>
    <t xml:space="preserve">E037</t>
  </si>
  <si>
    <t xml:space="preserve">SNEHA IYER</t>
  </si>
  <si>
    <t xml:space="preserve">sneha.iyer@outlook.com</t>
  </si>
  <si>
    <t xml:space="preserve">E038</t>
  </si>
  <si>
    <t xml:space="preserve"> Ravi Singh </t>
  </si>
  <si>
    <t xml:space="preserve">ravi.singh@company.co.in</t>
  </si>
  <si>
    <t xml:space="preserve">E039</t>
  </si>
  <si>
    <t xml:space="preserve"> Kavita Sharma </t>
  </si>
  <si>
    <t xml:space="preserve">kavita.sharma@company.co.in</t>
  </si>
  <si>
    <t xml:space="preserve">E040</t>
  </si>
  <si>
    <t xml:space="preserve">Rohan Joshi</t>
  </si>
  <si>
    <t xml:space="preserve">rohan.joshi@gmail.com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</si>
</sst>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₹#,##0"/>
    <numFmt numFmtId="166" formatCode="0.0%"/>
    <numFmt numFmtId="167" formatCode="#,##0"/>
    <numFmt numFmtId="168" formatCode="0%"/>
    <numFmt numFmtId="169" formatCode="dd\-mmm\-yyyy"/>
    <numFmt numFmtId="170" formatCode="\₹#,##0"/>
    <numFmt numFmtId="171" formatCode="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548235"/>
      <name val="Arial"/>
      <family val="0"/>
      <charset val="1"/>
    </font>
    <font>
      <sz val="9"/>
      <name val="Consolas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  <fill>
      <patternFill patternType="solid">
        <fgColor rgb="FF2F5597"/>
        <bgColor rgb="FF1F3864"/>
      </patternFill>
    </fill>
    <fill>
      <patternFill patternType="solid">
        <fgColor rgb="FF548235"/>
        <bgColor rgb="FF3399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8" fontId="13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71" fontId="13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2F559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595959"/>
      <rgbColor rgb="FFB3B3B3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Dashboard!B55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f3864"/>
            </a:solidFill>
            <a:ln w="0">
              <a:solidFill>
                <a:srgbClr val="1f3864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Dashboard!$A$56:$A$59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Dashboard!$B$56:$B$59</c:f>
              <c:numCache>
                <c:formatCode>#,##0</c:formatCode>
                <c:ptCount val="4"/>
                <c:pt idx="0">
                  <c:v>973504</c:v>
                </c:pt>
                <c:pt idx="1">
                  <c:v>815766</c:v>
                </c:pt>
                <c:pt idx="2">
                  <c:v>868983</c:v>
                </c:pt>
                <c:pt idx="3">
                  <c:v>516517</c:v>
                </c:pt>
              </c:numCache>
            </c:numRef>
          </c:val>
        </c:ser>
        <c:gapWidth val="150"/>
        <c:overlap val="0"/>
        <c:axId val="83600212"/>
        <c:axId val="27326093"/>
      </c:barChart>
      <c:catAx>
        <c:axId val="836002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326093"/>
        <c:crosses val="autoZero"/>
        <c:auto val="1"/>
        <c:lblAlgn val="ctr"/>
        <c:lblOffset val="100"/>
        <c:noMultiLvlLbl val="0"/>
      </c:catAx>
      <c:valAx>
        <c:axId val="2732609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60021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revenue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Dashboard!B65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f5597"/>
            </a:solidFill>
            <a:ln w="28440">
              <a:solidFill>
                <a:srgbClr val="2f559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Dashboard!$A$66:$A$77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Dashboard!$B$66:$B$77</c:f>
              <c:numCache>
                <c:formatCode>#,##0</c:formatCode>
                <c:ptCount val="12"/>
                <c:pt idx="0">
                  <c:v>420579</c:v>
                </c:pt>
                <c:pt idx="1">
                  <c:v>231035</c:v>
                </c:pt>
                <c:pt idx="2">
                  <c:v>217972</c:v>
                </c:pt>
                <c:pt idx="3">
                  <c:v>246620</c:v>
                </c:pt>
                <c:pt idx="4">
                  <c:v>155695</c:v>
                </c:pt>
                <c:pt idx="5">
                  <c:v>227916</c:v>
                </c:pt>
                <c:pt idx="6">
                  <c:v>257182</c:v>
                </c:pt>
                <c:pt idx="7">
                  <c:v>317784</c:v>
                </c:pt>
                <c:pt idx="8">
                  <c:v>208938</c:v>
                </c:pt>
                <c:pt idx="9">
                  <c:v>278922</c:v>
                </c:pt>
                <c:pt idx="10">
                  <c:v>368091</c:v>
                </c:pt>
                <c:pt idx="11">
                  <c:v>244036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6163708"/>
        <c:axId val="90516475"/>
      </c:lineChart>
      <c:catAx>
        <c:axId val="461637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516475"/>
        <c:crosses val="autoZero"/>
        <c:auto val="1"/>
        <c:lblAlgn val="ctr"/>
        <c:lblOffset val="100"/>
        <c:noMultiLvlLbl val="0"/>
      </c:catAx>
      <c:valAx>
        <c:axId val="9051647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16370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by salesperson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Dashboard!B80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548235"/>
            </a:solidFill>
            <a:ln w="0">
              <a:solidFill>
                <a:srgbClr val="548235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Dashboard!$A$81:$A$88</c:f>
              <c:strCache>
                <c:ptCount val="8"/>
                <c:pt idx="0">
                  <c:v>Anita</c:v>
                </c:pt>
                <c:pt idx="1">
                  <c:v>Bharat</c:v>
                </c:pt>
                <c:pt idx="2">
                  <c:v>Chetan</c:v>
                </c:pt>
                <c:pt idx="3">
                  <c:v>Divya</c:v>
                </c:pt>
                <c:pt idx="4">
                  <c:v>Farhan</c:v>
                </c:pt>
                <c:pt idx="5">
                  <c:v>Gita</c:v>
                </c:pt>
                <c:pt idx="6">
                  <c:v>Harsh</c:v>
                </c:pt>
                <c:pt idx="7">
                  <c:v>Isha</c:v>
                </c:pt>
              </c:strCache>
            </c:strRef>
          </c:cat>
          <c:val>
            <c:numRef>
              <c:f>Dashboard!$B$81:$B$88</c:f>
              <c:numCache>
                <c:formatCode>#,##0</c:formatCode>
                <c:ptCount val="8"/>
                <c:pt idx="0">
                  <c:v>354327</c:v>
                </c:pt>
                <c:pt idx="1">
                  <c:v>443986</c:v>
                </c:pt>
                <c:pt idx="2">
                  <c:v>259292</c:v>
                </c:pt>
                <c:pt idx="3">
                  <c:v>469132</c:v>
                </c:pt>
                <c:pt idx="4">
                  <c:v>465415</c:v>
                </c:pt>
                <c:pt idx="5">
                  <c:v>290308</c:v>
                </c:pt>
                <c:pt idx="6">
                  <c:v>506447</c:v>
                </c:pt>
                <c:pt idx="7">
                  <c:v>385863</c:v>
                </c:pt>
              </c:numCache>
            </c:numRef>
          </c:val>
        </c:ser>
        <c:gapWidth val="150"/>
        <c:overlap val="0"/>
        <c:axId val="64984431"/>
        <c:axId val="15078207"/>
      </c:barChart>
      <c:catAx>
        <c:axId val="64984431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078207"/>
        <c:crosses val="autoZero"/>
        <c:auto val="1"/>
        <c:lblAlgn val="ctr"/>
        <c:lblOffset val="100"/>
        <c:noMultiLvlLbl val="0"/>
      </c:catAx>
      <c:valAx>
        <c:axId val="1507820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98443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margin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Dashboard!D55</c:f>
              <c:strCache>
                <c:ptCount val="1"/>
                <c:pt idx="0">
                  <c:v>Margin</c:v>
                </c:pt>
              </c:strCache>
            </c:strRef>
          </c:tx>
          <c:spPr>
            <a:solidFill>
              <a:srgbClr val="ed7d31"/>
            </a:solidFill>
            <a:ln w="0">
              <a:solidFill>
                <a:srgbClr val="ed7d31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Dashboard!$A$56:$A$59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Dashboard!$D$56:$D$59</c:f>
              <c:numCache>
                <c:formatCode>0.0%</c:formatCode>
                <c:ptCount val="4"/>
                <c:pt idx="0">
                  <c:v>0.34474229176254</c:v>
                </c:pt>
                <c:pt idx="1">
                  <c:v>0.327216383129476</c:v>
                </c:pt>
                <c:pt idx="2">
                  <c:v>0.344941155350565</c:v>
                </c:pt>
                <c:pt idx="3">
                  <c:v>0.33449431480474</c:v>
                </c:pt>
              </c:numCache>
            </c:numRef>
          </c:val>
        </c:ser>
        <c:gapWidth val="150"/>
        <c:overlap val="0"/>
        <c:axId val="51719429"/>
        <c:axId val="23510649"/>
      </c:barChart>
      <c:catAx>
        <c:axId val="517194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510649"/>
        <c:crosses val="autoZero"/>
        <c:auto val="1"/>
        <c:lblAlgn val="ctr"/>
        <c:lblOffset val="100"/>
        <c:noMultiLvlLbl val="0"/>
      </c:catAx>
      <c:valAx>
        <c:axId val="2351064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7194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70200</xdr:rowOff>
    </xdr:from>
    <xdr:to>
      <xdr:col>5</xdr:col>
      <xdr:colOff>704880</xdr:colOff>
      <xdr:row>27</xdr:row>
      <xdr:rowOff>66960</xdr:rowOff>
    </xdr:to>
    <xdr:graphicFrame>
      <xdr:nvGraphicFramePr>
        <xdr:cNvPr id="0" name="Chart 1"/>
        <xdr:cNvGraphicFramePr/>
      </xdr:nvGraphicFramePr>
      <xdr:xfrm>
        <a:off x="0" y="3019320"/>
        <a:ext cx="5111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13</xdr:row>
      <xdr:rowOff>70200</xdr:rowOff>
    </xdr:from>
    <xdr:to>
      <xdr:col>11</xdr:col>
      <xdr:colOff>704880</xdr:colOff>
      <xdr:row>27</xdr:row>
      <xdr:rowOff>66960</xdr:rowOff>
    </xdr:to>
    <xdr:graphicFrame>
      <xdr:nvGraphicFramePr>
        <xdr:cNvPr id="1" name="Chart 2"/>
        <xdr:cNvGraphicFramePr/>
      </xdr:nvGraphicFramePr>
      <xdr:xfrm>
        <a:off x="5288400" y="3019320"/>
        <a:ext cx="5111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29</xdr:row>
      <xdr:rowOff>70560</xdr:rowOff>
    </xdr:from>
    <xdr:to>
      <xdr:col>5</xdr:col>
      <xdr:colOff>704880</xdr:colOff>
      <xdr:row>43</xdr:row>
      <xdr:rowOff>66960</xdr:rowOff>
    </xdr:to>
    <xdr:graphicFrame>
      <xdr:nvGraphicFramePr>
        <xdr:cNvPr id="2" name="Chart 3"/>
        <xdr:cNvGraphicFramePr/>
      </xdr:nvGraphicFramePr>
      <xdr:xfrm>
        <a:off x="0" y="6067440"/>
        <a:ext cx="5111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6</xdr:col>
      <xdr:colOff>0</xdr:colOff>
      <xdr:row>29</xdr:row>
      <xdr:rowOff>70560</xdr:rowOff>
    </xdr:from>
    <xdr:to>
      <xdr:col>11</xdr:col>
      <xdr:colOff>704880</xdr:colOff>
      <xdr:row>43</xdr:row>
      <xdr:rowOff>66960</xdr:rowOff>
    </xdr:to>
    <xdr:graphicFrame>
      <xdr:nvGraphicFramePr>
        <xdr:cNvPr id="3" name="Chart 4"/>
        <xdr:cNvGraphicFramePr/>
      </xdr:nvGraphicFramePr>
      <xdr:xfrm>
        <a:off x="5288400" y="6067440"/>
        <a:ext cx="5111640" cy="266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00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51" hidden="false" customHeight="true" outlineLevel="0" collapsed="false">
      <c r="A4" s="3" t="s">
        <v>2</v>
      </c>
      <c r="B4" s="4" t="s">
        <v>3</v>
      </c>
    </row>
    <row r="5" customFormat="false" ht="36" hidden="false" customHeight="true" outlineLevel="0" collapsed="false">
      <c r="A5" s="3" t="s">
        <v>4</v>
      </c>
      <c r="B5" s="4" t="s">
        <v>5</v>
      </c>
    </row>
    <row r="6" customFormat="false" ht="66" hidden="false" customHeight="true" outlineLevel="0" collapsed="false">
      <c r="A6" s="3" t="s">
        <v>6</v>
      </c>
      <c r="B6" s="4" t="s">
        <v>7</v>
      </c>
    </row>
    <row r="7" customFormat="false" ht="51" hidden="false" customHeight="true" outlineLevel="0" collapsed="false">
      <c r="A7" s="3" t="s">
        <v>8</v>
      </c>
      <c r="B7" s="4" t="s">
        <v>9</v>
      </c>
    </row>
    <row r="8" customFormat="false" ht="36" hidden="false" customHeight="true" outlineLevel="0" collapsed="false">
      <c r="A8" s="3" t="s">
        <v>10</v>
      </c>
      <c r="B8" s="4" t="s">
        <v>11</v>
      </c>
    </row>
    <row r="9" customFormat="false" ht="36" hidden="false" customHeight="true" outlineLevel="0" collapsed="false">
      <c r="A9" s="3" t="s">
        <v>12</v>
      </c>
      <c r="B9" s="4" t="s">
        <v>13</v>
      </c>
    </row>
    <row r="10" customFormat="false" ht="36" hidden="false" customHeight="true" outlineLevel="0" collapsed="false">
      <c r="A10" s="3" t="s">
        <v>14</v>
      </c>
      <c r="B10" s="4" t="s">
        <v>15</v>
      </c>
    </row>
    <row r="11" customFormat="false" ht="21" hidden="false" customHeight="true" outlineLevel="0" collapsed="false">
      <c r="A11" s="3" t="s">
        <v>16</v>
      </c>
      <c r="B11" s="4" t="s">
        <v>17</v>
      </c>
    </row>
    <row r="12" customFormat="false" ht="51" hidden="false" customHeight="true" outlineLevel="0" collapsed="false">
      <c r="A12" s="3" t="s">
        <v>18</v>
      </c>
      <c r="B12" s="4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2.5"/>
  </cols>
  <sheetData>
    <row r="1" customFormat="false" ht="24.45" hidden="false" customHeight="false" outlineLevel="0" collapsed="false">
      <c r="A1" s="5" t="s">
        <v>20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customFormat="false" ht="15" hidden="false" customHeight="false" outlineLevel="0" collapsed="false">
      <c r="A2" s="6" t="s">
        <v>21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4" customFormat="false" ht="15" hidden="false" customHeight="false" outlineLevel="0" collapsed="false">
      <c r="A4" s="7" t="s">
        <v>22</v>
      </c>
      <c r="C4" s="8" t="s">
        <v>23</v>
      </c>
      <c r="E4" s="9" t="s">
        <v>24</v>
      </c>
    </row>
    <row r="6" customFormat="false" ht="15" hidden="false" customHeight="false" outlineLevel="0" collapsed="false">
      <c r="A6" s="10" t="s">
        <v>25</v>
      </c>
      <c r="B6" s="10"/>
      <c r="C6" s="10" t="s">
        <v>26</v>
      </c>
      <c r="D6" s="10"/>
      <c r="E6" s="10" t="s">
        <v>27</v>
      </c>
      <c r="F6" s="10"/>
      <c r="G6" s="10" t="s">
        <v>28</v>
      </c>
      <c r="H6" s="10"/>
      <c r="I6" s="10" t="s">
        <v>29</v>
      </c>
      <c r="J6" s="10"/>
      <c r="K6" s="10" t="s">
        <v>30</v>
      </c>
      <c r="L6" s="10"/>
    </row>
    <row r="7" customFormat="false" ht="33.75" hidden="false" customHeight="true" outlineLevel="0" collapsed="false">
      <c r="A7" s="11" t="n">
        <f aca="false">SUMIFS('Pivot Data'!$G$2:$G$301,'Pivot Data'!$D$2:$D$301,$B$52)</f>
        <v>3174770</v>
      </c>
      <c r="B7" s="11"/>
      <c r="C7" s="11" t="n">
        <f aca="false">A7-SUMIFS('Pivot Data'!$H$2:$H$301,'Pivot Data'!$D$2:$D$301,$B$52)</f>
        <v>1075060</v>
      </c>
      <c r="D7" s="11"/>
      <c r="E7" s="12" t="n">
        <f aca="false">IF(A7=0,0,C7/A7)</f>
        <v>0.338626105198172</v>
      </c>
      <c r="F7" s="12"/>
      <c r="G7" s="13" t="n">
        <f aca="false">COUNTIFS('Pivot Data'!$D$2:$D$301,$B$52)</f>
        <v>300</v>
      </c>
      <c r="H7" s="13"/>
      <c r="I7" s="11" t="n">
        <f aca="false">IF(G7=0,0,A7/G7)</f>
        <v>10582.5666666667</v>
      </c>
      <c r="J7" s="11"/>
      <c r="K7" s="13" t="n">
        <f aca="false">SUMIFS('Pivot Data'!$F$2:$F$301,'Pivot Data'!$D$2:$D$301,$B$52)</f>
        <v>1333</v>
      </c>
      <c r="L7" s="13"/>
    </row>
    <row r="9" customFormat="false" ht="15" hidden="false" customHeight="false" outlineLevel="0" collapsed="false">
      <c r="A9" s="14" t="s">
        <v>31</v>
      </c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</row>
    <row r="10" customFormat="false" ht="18" hidden="false" customHeight="true" outlineLevel="0" collapsed="false">
      <c r="A10" s="15" t="str">
        <f aca="false">"•  "&amp;INDEX($A$66:$A$77,MATCH(MAX($B$66:$B$77),$B$66:$B$77,0))&amp;" is the strongest month, with "&amp;TEXT(MAX($B$66:$B$77),"₹#,##0")&amp;" in revenue."</f>
        <v>•  Jan is the strongest month, with ₹420,579 in revenue.</v>
      </c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</row>
    <row r="11" customFormat="false" ht="18" hidden="false" customHeight="true" outlineLevel="0" collapsed="false">
      <c r="A11" s="15" t="str">
        <f aca="false">"•  "&amp;INDEX($A$56:$A$59,MATCH(MAX($B$56:$B$59),$B$56:$B$59,0))&amp;" is the top region ("&amp;TEXT(MAX($B$56:$B$59),"₹#,##0")&amp;"), and "&amp;INDEX($A$56:$A$59,MATCH(MAX($D$56:$D$59),$D$56:$D$59,0))&amp;" has the best margin ("&amp;TEXT(MAX($D$56:$D$59),"0%")&amp;")."</f>
        <v>•  East is the top region (₹973,504), and South has the best margin (34%).</v>
      </c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</row>
    <row r="12" customFormat="false" ht="18" hidden="false" customHeight="true" outlineLevel="0" collapsed="false">
      <c r="A12" s="15" t="str">
        <f aca="false">"•  "&amp;INDEX($A$81:$A$88,MATCH(MAX($B$81:$B$88),$B$81:$B$88,0))&amp;" is the top salesperson with "&amp;TEXT(MAX($B$81:$B$88),"₹#,##0")&amp;" in revenue."</f>
        <v>•  Harsh is the top salesperson with ₹506,447 in revenue.</v>
      </c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</row>
    <row r="50" customFormat="false" ht="15" hidden="false" customHeight="false" outlineLevel="0" collapsed="false">
      <c r="A50" s="16" t="s">
        <v>32</v>
      </c>
    </row>
    <row r="52" customFormat="false" ht="15" hidden="false" customHeight="false" outlineLevel="0" collapsed="false">
      <c r="A52" s="17" t="s">
        <v>33</v>
      </c>
      <c r="B52" s="18" t="str">
        <f aca="false">IF($C$4="All","*",$C$4)</f>
        <v>*</v>
      </c>
    </row>
    <row r="55" customFormat="false" ht="15" hidden="false" customHeight="false" outlineLevel="0" collapsed="false">
      <c r="A55" s="19" t="s">
        <v>34</v>
      </c>
      <c r="B55" s="19" t="s">
        <v>25</v>
      </c>
      <c r="C55" s="19" t="s">
        <v>26</v>
      </c>
      <c r="D55" s="19" t="s">
        <v>35</v>
      </c>
    </row>
    <row r="56" customFormat="false" ht="15" hidden="false" customHeight="false" outlineLevel="0" collapsed="false">
      <c r="A56" s="20" t="s">
        <v>36</v>
      </c>
      <c r="B56" s="21" t="n">
        <f aca="false">SUMIFS('Pivot Data'!$G$2:$G$301,'Pivot Data'!$C$2:$C$301,A56,'Pivot Data'!$D$2:$D$301,$B$52)</f>
        <v>973504</v>
      </c>
      <c r="C56" s="21" t="n">
        <f aca="false">B56-SUMIFS('Pivot Data'!$H$2:$H$301,'Pivot Data'!$C$2:$C$301,A56,'Pivot Data'!$D$2:$D$301,$B$52)</f>
        <v>335608</v>
      </c>
      <c r="D56" s="22" t="n">
        <f aca="false">IF(B56=0,0,C56/B56)</f>
        <v>0.34474229176254</v>
      </c>
    </row>
    <row r="57" customFormat="false" ht="15" hidden="false" customHeight="false" outlineLevel="0" collapsed="false">
      <c r="A57" s="20" t="s">
        <v>37</v>
      </c>
      <c r="B57" s="21" t="n">
        <f aca="false">SUMIFS('Pivot Data'!$G$2:$G$301,'Pivot Data'!$C$2:$C$301,A57,'Pivot Data'!$D$2:$D$301,$B$52)</f>
        <v>815766</v>
      </c>
      <c r="C57" s="21" t="n">
        <f aca="false">B57-SUMIFS('Pivot Data'!$H$2:$H$301,'Pivot Data'!$C$2:$C$301,A57,'Pivot Data'!$D$2:$D$301,$B$52)</f>
        <v>266932</v>
      </c>
      <c r="D57" s="22" t="n">
        <f aca="false">IF(B57=0,0,C57/B57)</f>
        <v>0.327216383129476</v>
      </c>
    </row>
    <row r="58" customFormat="false" ht="15" hidden="false" customHeight="false" outlineLevel="0" collapsed="false">
      <c r="A58" s="20" t="s">
        <v>38</v>
      </c>
      <c r="B58" s="21" t="n">
        <f aca="false">SUMIFS('Pivot Data'!$G$2:$G$301,'Pivot Data'!$C$2:$C$301,A58,'Pivot Data'!$D$2:$D$301,$B$52)</f>
        <v>868983</v>
      </c>
      <c r="C58" s="21" t="n">
        <f aca="false">B58-SUMIFS('Pivot Data'!$H$2:$H$301,'Pivot Data'!$C$2:$C$301,A58,'Pivot Data'!$D$2:$D$301,$B$52)</f>
        <v>299748</v>
      </c>
      <c r="D58" s="22" t="n">
        <f aca="false">IF(B58=0,0,C58/B58)</f>
        <v>0.344941155350565</v>
      </c>
    </row>
    <row r="59" customFormat="false" ht="15" hidden="false" customHeight="false" outlineLevel="0" collapsed="false">
      <c r="A59" s="20" t="s">
        <v>39</v>
      </c>
      <c r="B59" s="21" t="n">
        <f aca="false">SUMIFS('Pivot Data'!$G$2:$G$301,'Pivot Data'!$C$2:$C$301,A59,'Pivot Data'!$D$2:$D$301,$B$52)</f>
        <v>516517</v>
      </c>
      <c r="C59" s="21" t="n">
        <f aca="false">B59-SUMIFS('Pivot Data'!$H$2:$H$301,'Pivot Data'!$C$2:$C$301,A59,'Pivot Data'!$D$2:$D$301,$B$52)</f>
        <v>172772</v>
      </c>
      <c r="D59" s="22" t="n">
        <f aca="false">IF(B59=0,0,C59/B59)</f>
        <v>0.33449431480474</v>
      </c>
    </row>
    <row r="65" customFormat="false" ht="15" hidden="false" customHeight="false" outlineLevel="0" collapsed="false">
      <c r="A65" s="19" t="s">
        <v>40</v>
      </c>
      <c r="B65" s="19" t="s">
        <v>25</v>
      </c>
    </row>
    <row r="66" customFormat="false" ht="15" hidden="false" customHeight="false" outlineLevel="0" collapsed="false">
      <c r="A66" s="20" t="str">
        <f aca="false">TEXT(DATE(2025,1,1),"mmm")</f>
        <v>Jan</v>
      </c>
      <c r="B66" s="21" t="n">
        <f aca="false">SUMPRODUCT((MONTH('Pivot Data'!$B$2:$B$301)=1)*((($C$4="All")+('Pivot Data'!$D$2:$D$301=$C$4))&gt;0)*'Pivot Data'!$G$2:$G$301)</f>
        <v>420579</v>
      </c>
    </row>
    <row r="67" customFormat="false" ht="15" hidden="false" customHeight="false" outlineLevel="0" collapsed="false">
      <c r="A67" s="20" t="str">
        <f aca="false">TEXT(DATE(2025,2,1),"mmm")</f>
        <v>Feb</v>
      </c>
      <c r="B67" s="21" t="n">
        <f aca="false">SUMPRODUCT((MONTH('Pivot Data'!$B$2:$B$301)=2)*((($C$4="All")+('Pivot Data'!$D$2:$D$301=$C$4))&gt;0)*'Pivot Data'!$G$2:$G$301)</f>
        <v>231035</v>
      </c>
    </row>
    <row r="68" customFormat="false" ht="15" hidden="false" customHeight="false" outlineLevel="0" collapsed="false">
      <c r="A68" s="20" t="str">
        <f aca="false">TEXT(DATE(2025,3,1),"mmm")</f>
        <v>Mar</v>
      </c>
      <c r="B68" s="21" t="n">
        <f aca="false">SUMPRODUCT((MONTH('Pivot Data'!$B$2:$B$301)=3)*((($C$4="All")+('Pivot Data'!$D$2:$D$301=$C$4))&gt;0)*'Pivot Data'!$G$2:$G$301)</f>
        <v>217972</v>
      </c>
    </row>
    <row r="69" customFormat="false" ht="15" hidden="false" customHeight="false" outlineLevel="0" collapsed="false">
      <c r="A69" s="20" t="str">
        <f aca="false">TEXT(DATE(2025,4,1),"mmm")</f>
        <v>Apr</v>
      </c>
      <c r="B69" s="21" t="n">
        <f aca="false">SUMPRODUCT((MONTH('Pivot Data'!$B$2:$B$301)=4)*((($C$4="All")+('Pivot Data'!$D$2:$D$301=$C$4))&gt;0)*'Pivot Data'!$G$2:$G$301)</f>
        <v>246620</v>
      </c>
    </row>
    <row r="70" customFormat="false" ht="15" hidden="false" customHeight="false" outlineLevel="0" collapsed="false">
      <c r="A70" s="20" t="str">
        <f aca="false">TEXT(DATE(2025,5,1),"mmm")</f>
        <v>May</v>
      </c>
      <c r="B70" s="21" t="n">
        <f aca="false">SUMPRODUCT((MONTH('Pivot Data'!$B$2:$B$301)=5)*((($C$4="All")+('Pivot Data'!$D$2:$D$301=$C$4))&gt;0)*'Pivot Data'!$G$2:$G$301)</f>
        <v>155695</v>
      </c>
    </row>
    <row r="71" customFormat="false" ht="15" hidden="false" customHeight="false" outlineLevel="0" collapsed="false">
      <c r="A71" s="20" t="str">
        <f aca="false">TEXT(DATE(2025,6,1),"mmm")</f>
        <v>Jun</v>
      </c>
      <c r="B71" s="21" t="n">
        <f aca="false">SUMPRODUCT((MONTH('Pivot Data'!$B$2:$B$301)=6)*((($C$4="All")+('Pivot Data'!$D$2:$D$301=$C$4))&gt;0)*'Pivot Data'!$G$2:$G$301)</f>
        <v>227916</v>
      </c>
    </row>
    <row r="72" customFormat="false" ht="15" hidden="false" customHeight="false" outlineLevel="0" collapsed="false">
      <c r="A72" s="20" t="str">
        <f aca="false">TEXT(DATE(2025,7,1),"mmm")</f>
        <v>Jul</v>
      </c>
      <c r="B72" s="21" t="n">
        <f aca="false">SUMPRODUCT((MONTH('Pivot Data'!$B$2:$B$301)=7)*((($C$4="All")+('Pivot Data'!$D$2:$D$301=$C$4))&gt;0)*'Pivot Data'!$G$2:$G$301)</f>
        <v>257182</v>
      </c>
    </row>
    <row r="73" customFormat="false" ht="15" hidden="false" customHeight="false" outlineLevel="0" collapsed="false">
      <c r="A73" s="20" t="str">
        <f aca="false">TEXT(DATE(2025,8,1),"mmm")</f>
        <v>Aug</v>
      </c>
      <c r="B73" s="21" t="n">
        <f aca="false">SUMPRODUCT((MONTH('Pivot Data'!$B$2:$B$301)=8)*((($C$4="All")+('Pivot Data'!$D$2:$D$301=$C$4))&gt;0)*'Pivot Data'!$G$2:$G$301)</f>
        <v>317784</v>
      </c>
    </row>
    <row r="74" customFormat="false" ht="15" hidden="false" customHeight="false" outlineLevel="0" collapsed="false">
      <c r="A74" s="20" t="str">
        <f aca="false">TEXT(DATE(2025,9,1),"mmm")</f>
        <v>Sep</v>
      </c>
      <c r="B74" s="21" t="n">
        <f aca="false">SUMPRODUCT((MONTH('Pivot Data'!$B$2:$B$301)=9)*((($C$4="All")+('Pivot Data'!$D$2:$D$301=$C$4))&gt;0)*'Pivot Data'!$G$2:$G$301)</f>
        <v>208938</v>
      </c>
    </row>
    <row r="75" customFormat="false" ht="15" hidden="false" customHeight="false" outlineLevel="0" collapsed="false">
      <c r="A75" s="20" t="str">
        <f aca="false">TEXT(DATE(2025,10,1),"mmm")</f>
        <v>Oct</v>
      </c>
      <c r="B75" s="21" t="n">
        <f aca="false">SUMPRODUCT((MONTH('Pivot Data'!$B$2:$B$301)=10)*((($C$4="All")+('Pivot Data'!$D$2:$D$301=$C$4))&gt;0)*'Pivot Data'!$G$2:$G$301)</f>
        <v>278922</v>
      </c>
    </row>
    <row r="76" customFormat="false" ht="15" hidden="false" customHeight="false" outlineLevel="0" collapsed="false">
      <c r="A76" s="20" t="str">
        <f aca="false">TEXT(DATE(2025,11,1),"mmm")</f>
        <v>Nov</v>
      </c>
      <c r="B76" s="21" t="n">
        <f aca="false">SUMPRODUCT((MONTH('Pivot Data'!$B$2:$B$301)=11)*((($C$4="All")+('Pivot Data'!$D$2:$D$301=$C$4))&gt;0)*'Pivot Data'!$G$2:$G$301)</f>
        <v>368091</v>
      </c>
    </row>
    <row r="77" customFormat="false" ht="15" hidden="false" customHeight="false" outlineLevel="0" collapsed="false">
      <c r="A77" s="20" t="str">
        <f aca="false">TEXT(DATE(2025,12,1),"mmm")</f>
        <v>Dec</v>
      </c>
      <c r="B77" s="21" t="n">
        <f aca="false">SUMPRODUCT((MONTH('Pivot Data'!$B$2:$B$301)=12)*((($C$4="All")+('Pivot Data'!$D$2:$D$301=$C$4))&gt;0)*'Pivot Data'!$G$2:$G$301)</f>
        <v>244036</v>
      </c>
    </row>
    <row r="80" customFormat="false" ht="15" hidden="false" customHeight="false" outlineLevel="0" collapsed="false">
      <c r="A80" s="19" t="s">
        <v>41</v>
      </c>
      <c r="B80" s="19" t="s">
        <v>25</v>
      </c>
    </row>
    <row r="81" customFormat="false" ht="15" hidden="false" customHeight="false" outlineLevel="0" collapsed="false">
      <c r="A81" s="20" t="s">
        <v>42</v>
      </c>
      <c r="B81" s="21" t="n">
        <f aca="false">SUMIFS('Pivot Data'!$G$2:$G$301,'Pivot Data'!$E$2:$E$301,A81,'Pivot Data'!$D$2:$D$301,$B$52)</f>
        <v>354327</v>
      </c>
    </row>
    <row r="82" customFormat="false" ht="15" hidden="false" customHeight="false" outlineLevel="0" collapsed="false">
      <c r="A82" s="20" t="s">
        <v>43</v>
      </c>
      <c r="B82" s="21" t="n">
        <f aca="false">SUMIFS('Pivot Data'!$G$2:$G$301,'Pivot Data'!$E$2:$E$301,A82,'Pivot Data'!$D$2:$D$301,$B$52)</f>
        <v>443986</v>
      </c>
    </row>
    <row r="83" customFormat="false" ht="15" hidden="false" customHeight="false" outlineLevel="0" collapsed="false">
      <c r="A83" s="20" t="s">
        <v>44</v>
      </c>
      <c r="B83" s="21" t="n">
        <f aca="false">SUMIFS('Pivot Data'!$G$2:$G$301,'Pivot Data'!$E$2:$E$301,A83,'Pivot Data'!$D$2:$D$301,$B$52)</f>
        <v>259292</v>
      </c>
    </row>
    <row r="84" customFormat="false" ht="15" hidden="false" customHeight="false" outlineLevel="0" collapsed="false">
      <c r="A84" s="20" t="s">
        <v>45</v>
      </c>
      <c r="B84" s="21" t="n">
        <f aca="false">SUMIFS('Pivot Data'!$G$2:$G$301,'Pivot Data'!$E$2:$E$301,A84,'Pivot Data'!$D$2:$D$301,$B$52)</f>
        <v>469132</v>
      </c>
    </row>
    <row r="85" customFormat="false" ht="15" hidden="false" customHeight="false" outlineLevel="0" collapsed="false">
      <c r="A85" s="20" t="s">
        <v>46</v>
      </c>
      <c r="B85" s="21" t="n">
        <f aca="false">SUMIFS('Pivot Data'!$G$2:$G$301,'Pivot Data'!$E$2:$E$301,A85,'Pivot Data'!$D$2:$D$301,$B$52)</f>
        <v>465415</v>
      </c>
    </row>
    <row r="86" customFormat="false" ht="15" hidden="false" customHeight="false" outlineLevel="0" collapsed="false">
      <c r="A86" s="20" t="s">
        <v>47</v>
      </c>
      <c r="B86" s="21" t="n">
        <f aca="false">SUMIFS('Pivot Data'!$G$2:$G$301,'Pivot Data'!$E$2:$E$301,A86,'Pivot Data'!$D$2:$D$301,$B$52)</f>
        <v>290308</v>
      </c>
    </row>
    <row r="87" customFormat="false" ht="15" hidden="false" customHeight="false" outlineLevel="0" collapsed="false">
      <c r="A87" s="20" t="s">
        <v>48</v>
      </c>
      <c r="B87" s="21" t="n">
        <f aca="false">SUMIFS('Pivot Data'!$G$2:$G$301,'Pivot Data'!$E$2:$E$301,A87,'Pivot Data'!$D$2:$D$301,$B$52)</f>
        <v>506447</v>
      </c>
    </row>
    <row r="88" customFormat="false" ht="15" hidden="false" customHeight="false" outlineLevel="0" collapsed="false">
      <c r="A88" s="20" t="s">
        <v>49</v>
      </c>
      <c r="B88" s="21" t="n">
        <f aca="false">SUMIFS('Pivot Data'!$G$2:$G$301,'Pivot Data'!$E$2:$E$301,A88,'Pivot Data'!$D$2:$D$301,$B$52)</f>
        <v>385863</v>
      </c>
    </row>
  </sheetData>
  <mergeCells count="18">
    <mergeCell ref="A1:L1"/>
    <mergeCell ref="A2:L2"/>
    <mergeCell ref="A6:B6"/>
    <mergeCell ref="C6:D6"/>
    <mergeCell ref="E6:F6"/>
    <mergeCell ref="G6:H6"/>
    <mergeCell ref="I6:J6"/>
    <mergeCell ref="K6:L6"/>
    <mergeCell ref="A7:B7"/>
    <mergeCell ref="C7:D7"/>
    <mergeCell ref="E7:F7"/>
    <mergeCell ref="G7:H7"/>
    <mergeCell ref="I7:J7"/>
    <mergeCell ref="K7:L7"/>
    <mergeCell ref="A9:L9"/>
    <mergeCell ref="A10:L10"/>
    <mergeCell ref="A11:L11"/>
    <mergeCell ref="A12:L12"/>
  </mergeCells>
  <dataValidations count="1">
    <dataValidation allowBlank="false" errorStyle="stop" operator="between" showDropDown="false" showErrorMessage="false" showInputMessage="false" sqref="C4" type="list">
      <formula1>"All,Apparel,Electronics,Furniture,Stationery"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4" min="2" style="0" width="14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7" min="7" style="0" width="18"/>
    <col collapsed="false" customWidth="true" hidden="false" outlineLevel="0" max="8" min="8" style="0" width="3"/>
    <col collapsed="false" customWidth="true" hidden="false" outlineLevel="0" max="9" min="9" style="0" width="34"/>
    <col collapsed="false" customWidth="true" hidden="false" outlineLevel="0" max="10" min="10" style="0" width="16"/>
  </cols>
  <sheetData>
    <row r="1" customFormat="false" ht="19.7" hidden="false" customHeight="false" outlineLevel="0" collapsed="false">
      <c r="A1" s="23" t="s">
        <v>50</v>
      </c>
    </row>
    <row r="2" customFormat="false" ht="15" hidden="false" customHeight="false" outlineLevel="0" collapsed="false">
      <c r="A2" s="2" t="s">
        <v>51</v>
      </c>
    </row>
    <row r="3" customFormat="false" ht="15" hidden="false" customHeight="false" outlineLevel="0" collapsed="false">
      <c r="A3" s="16" t="s">
        <v>52</v>
      </c>
      <c r="I3" s="16" t="s">
        <v>53</v>
      </c>
    </row>
    <row r="4" customFormat="false" ht="31.5" hidden="false" customHeight="true" outlineLevel="0" collapsed="false">
      <c r="A4" s="19" t="s">
        <v>34</v>
      </c>
      <c r="B4" s="19" t="s">
        <v>25</v>
      </c>
      <c r="C4" s="19" t="s">
        <v>54</v>
      </c>
      <c r="D4" s="19" t="s">
        <v>26</v>
      </c>
      <c r="E4" s="19" t="s">
        <v>28</v>
      </c>
      <c r="F4" s="19" t="s">
        <v>55</v>
      </c>
      <c r="G4" s="19" t="s">
        <v>56</v>
      </c>
      <c r="I4" s="19" t="s">
        <v>57</v>
      </c>
      <c r="J4" s="19" t="s">
        <v>58</v>
      </c>
    </row>
    <row r="5" customFormat="false" ht="15" hidden="false" customHeight="false" outlineLevel="0" collapsed="false">
      <c r="A5" s="20" t="s">
        <v>36</v>
      </c>
      <c r="B5" s="21" t="n">
        <f aca="false">SUMIFS('Pivot Data'!$G$2:$G$301,'Pivot Data'!$C$2:$C$301,A5)</f>
        <v>973504</v>
      </c>
      <c r="C5" s="21" t="n">
        <f aca="false">SUMIFS('Pivot Data'!$H$2:$H$301,'Pivot Data'!$C$2:$C$301,A5)</f>
        <v>637896</v>
      </c>
      <c r="D5" s="21" t="n">
        <f aca="false">B5-C5</f>
        <v>335608</v>
      </c>
      <c r="E5" s="20" t="n">
        <f aca="false">COUNTIFS('Pivot Data'!$C$2:$C$301,A5)</f>
        <v>89</v>
      </c>
      <c r="F5" s="21" t="n">
        <f aca="false">B5/E5</f>
        <v>10938.2471910112</v>
      </c>
      <c r="G5" s="22" t="n">
        <f aca="false">B5/$B$9</f>
        <v>0.306637646191693</v>
      </c>
      <c r="I5" s="24" t="s">
        <v>59</v>
      </c>
      <c r="J5" s="25" t="str">
        <f aca="false">INDEX(B21:B32,MATCH(MAX(C21:C32),C21:C32,0))</f>
        <v>January</v>
      </c>
    </row>
    <row r="6" customFormat="false" ht="15" hidden="false" customHeight="false" outlineLevel="0" collapsed="false">
      <c r="A6" s="20" t="s">
        <v>37</v>
      </c>
      <c r="B6" s="21" t="n">
        <f aca="false">SUMIFS('Pivot Data'!$G$2:$G$301,'Pivot Data'!$C$2:$C$301,A6)</f>
        <v>815766</v>
      </c>
      <c r="C6" s="21" t="n">
        <f aca="false">SUMIFS('Pivot Data'!$H$2:$H$301,'Pivot Data'!$C$2:$C$301,A6)</f>
        <v>548834</v>
      </c>
      <c r="D6" s="21" t="n">
        <f aca="false">B6-C6</f>
        <v>266932</v>
      </c>
      <c r="E6" s="20" t="n">
        <f aca="false">COUNTIFS('Pivot Data'!$C$2:$C$301,A6)</f>
        <v>70</v>
      </c>
      <c r="F6" s="21" t="n">
        <f aca="false">B6/E6</f>
        <v>11653.8</v>
      </c>
      <c r="G6" s="22" t="n">
        <f aca="false">B6/$B$9</f>
        <v>0.256952787131036</v>
      </c>
      <c r="I6" s="24" t="s">
        <v>60</v>
      </c>
      <c r="J6" s="25" t="str">
        <f aca="false">F37</f>
        <v>Harsh</v>
      </c>
    </row>
    <row r="7" customFormat="false" ht="15" hidden="false" customHeight="false" outlineLevel="0" collapsed="false">
      <c r="A7" s="20" t="s">
        <v>38</v>
      </c>
      <c r="B7" s="21" t="n">
        <f aca="false">SUMIFS('Pivot Data'!$G$2:$G$301,'Pivot Data'!$C$2:$C$301,A7)</f>
        <v>868983</v>
      </c>
      <c r="C7" s="21" t="n">
        <f aca="false">SUMIFS('Pivot Data'!$H$2:$H$301,'Pivot Data'!$C$2:$C$301,A7)</f>
        <v>569235</v>
      </c>
      <c r="D7" s="21" t="n">
        <f aca="false">B7-C7</f>
        <v>299748</v>
      </c>
      <c r="E7" s="20" t="n">
        <f aca="false">COUNTIFS('Pivot Data'!$C$2:$C$301,A7)</f>
        <v>74</v>
      </c>
      <c r="F7" s="21" t="n">
        <f aca="false">B7/E7</f>
        <v>11743.0135135135</v>
      </c>
      <c r="G7" s="22" t="n">
        <f aca="false">B7/$B$9</f>
        <v>0.273715261263021</v>
      </c>
      <c r="I7" s="24" t="s">
        <v>61</v>
      </c>
      <c r="J7" s="26" t="n">
        <f aca="false">G8</f>
        <v>0.16269430541425</v>
      </c>
    </row>
    <row r="8" customFormat="false" ht="15" hidden="false" customHeight="false" outlineLevel="0" collapsed="false">
      <c r="A8" s="20" t="s">
        <v>39</v>
      </c>
      <c r="B8" s="21" t="n">
        <f aca="false">SUMIFS('Pivot Data'!$G$2:$G$301,'Pivot Data'!$C$2:$C$301,A8)</f>
        <v>516517</v>
      </c>
      <c r="C8" s="21" t="n">
        <f aca="false">SUMIFS('Pivot Data'!$H$2:$H$301,'Pivot Data'!$C$2:$C$301,A8)</f>
        <v>343745</v>
      </c>
      <c r="D8" s="21" t="n">
        <f aca="false">B8-C8</f>
        <v>172772</v>
      </c>
      <c r="E8" s="20" t="n">
        <f aca="false">COUNTIFS('Pivot Data'!$C$2:$C$301,A8)</f>
        <v>67</v>
      </c>
      <c r="F8" s="21" t="n">
        <f aca="false">B8/E8</f>
        <v>7709.20895522388</v>
      </c>
      <c r="G8" s="22" t="n">
        <f aca="false">B8/$B$9</f>
        <v>0.16269430541425</v>
      </c>
      <c r="I8" s="24" t="s">
        <v>62</v>
      </c>
      <c r="J8" s="27" t="n">
        <f aca="false">D9</f>
        <v>1075060</v>
      </c>
    </row>
    <row r="9" customFormat="false" ht="15" hidden="false" customHeight="false" outlineLevel="0" collapsed="false">
      <c r="A9" s="25" t="s">
        <v>63</v>
      </c>
      <c r="B9" s="28" t="n">
        <f aca="false">SUM(B5:B8)</f>
        <v>3174770</v>
      </c>
      <c r="C9" s="28" t="n">
        <f aca="false">SUM(C5:C8)</f>
        <v>2099710</v>
      </c>
      <c r="D9" s="28" t="n">
        <f aca="false">SUM(D5:D8)</f>
        <v>1075060</v>
      </c>
      <c r="E9" s="25" t="n">
        <f aca="false">SUM(E5:E8)</f>
        <v>300</v>
      </c>
      <c r="F9" s="28" t="n">
        <f aca="false">B9/E9</f>
        <v>10582.5666666667</v>
      </c>
      <c r="G9" s="26" t="n">
        <f aca="false">SUM(G5:G8)</f>
        <v>1</v>
      </c>
      <c r="I9" s="24" t="s">
        <v>64</v>
      </c>
      <c r="J9" s="27" t="n">
        <f aca="false">ROUND(F5,0)</f>
        <v>10938</v>
      </c>
    </row>
    <row r="10" customFormat="false" ht="15" hidden="false" customHeight="false" outlineLevel="0" collapsed="false">
      <c r="I10" s="24" t="s">
        <v>65</v>
      </c>
      <c r="J10" s="27" t="n">
        <f aca="false">D14</f>
        <v>293911</v>
      </c>
    </row>
    <row r="11" customFormat="false" ht="15" hidden="false" customHeight="false" outlineLevel="0" collapsed="false">
      <c r="A11" s="16" t="s">
        <v>66</v>
      </c>
    </row>
    <row r="12" customFormat="false" ht="15" hidden="false" customHeight="false" outlineLevel="0" collapsed="false">
      <c r="A12" s="19" t="s">
        <v>22</v>
      </c>
      <c r="B12" s="19" t="s">
        <v>36</v>
      </c>
      <c r="C12" s="19" t="s">
        <v>37</v>
      </c>
      <c r="D12" s="19" t="s">
        <v>38</v>
      </c>
      <c r="E12" s="19" t="s">
        <v>39</v>
      </c>
      <c r="F12" s="19" t="s">
        <v>67</v>
      </c>
      <c r="I12" s="29" t="str">
        <f aca="false">IF(AND(ROUND(B9-F17,0)=0,ROUND(B9-C33,0)=0,ROUND(B9-B45,0)=0),"✔ All tables match the Pivot Data total","✘ Totals do not match")</f>
        <v>✔ All tables match the Pivot Data total</v>
      </c>
    </row>
    <row r="13" customFormat="false" ht="15" hidden="false" customHeight="false" outlineLevel="0" collapsed="false">
      <c r="A13" s="20" t="s">
        <v>68</v>
      </c>
      <c r="B13" s="21" t="n">
        <f aca="false">SUMIFS('Pivot Data'!$G$2:$G$301,'Pivot Data'!$D$2:$D$301,$A13,'Pivot Data'!$C$2:$C$301,B$12)</f>
        <v>150059</v>
      </c>
      <c r="C13" s="21" t="n">
        <f aca="false">SUMIFS('Pivot Data'!$G$2:$G$301,'Pivot Data'!$D$2:$D$301,$A13,'Pivot Data'!$C$2:$C$301,C$12)</f>
        <v>76885</v>
      </c>
      <c r="D13" s="21" t="n">
        <f aca="false">SUMIFS('Pivot Data'!$G$2:$G$301,'Pivot Data'!$D$2:$D$301,$A13,'Pivot Data'!$C$2:$C$301,D$12)</f>
        <v>62305</v>
      </c>
      <c r="E13" s="21" t="n">
        <f aca="false">SUMIFS('Pivot Data'!$G$2:$G$301,'Pivot Data'!$D$2:$D$301,$A13,'Pivot Data'!$C$2:$C$301,E$12)</f>
        <v>88287</v>
      </c>
      <c r="F13" s="28" t="n">
        <f aca="false">SUM(B13:E13)</f>
        <v>377536</v>
      </c>
    </row>
    <row r="14" customFormat="false" ht="15" hidden="false" customHeight="false" outlineLevel="0" collapsed="false">
      <c r="A14" s="20" t="s">
        <v>69</v>
      </c>
      <c r="B14" s="21" t="n">
        <f aca="false">SUMIFS('Pivot Data'!$G$2:$G$301,'Pivot Data'!$D$2:$D$301,$A14,'Pivot Data'!$C$2:$C$301,B$12)</f>
        <v>440479</v>
      </c>
      <c r="C14" s="21" t="n">
        <f aca="false">SUMIFS('Pivot Data'!$G$2:$G$301,'Pivot Data'!$D$2:$D$301,$A14,'Pivot Data'!$C$2:$C$301,C$12)</f>
        <v>338910</v>
      </c>
      <c r="D14" s="21" t="n">
        <f aca="false">SUMIFS('Pivot Data'!$G$2:$G$301,'Pivot Data'!$D$2:$D$301,$A14,'Pivot Data'!$C$2:$C$301,D$12)</f>
        <v>293911</v>
      </c>
      <c r="E14" s="21" t="n">
        <f aca="false">SUMIFS('Pivot Data'!$G$2:$G$301,'Pivot Data'!$D$2:$D$301,$A14,'Pivot Data'!$C$2:$C$301,E$12)</f>
        <v>281995</v>
      </c>
      <c r="F14" s="28" t="n">
        <f aca="false">SUM(B14:E14)</f>
        <v>1355295</v>
      </c>
    </row>
    <row r="15" customFormat="false" ht="15" hidden="false" customHeight="false" outlineLevel="0" collapsed="false">
      <c r="A15" s="20" t="s">
        <v>70</v>
      </c>
      <c r="B15" s="21" t="n">
        <f aca="false">SUMIFS('Pivot Data'!$G$2:$G$301,'Pivot Data'!$D$2:$D$301,$A15,'Pivot Data'!$C$2:$C$301,B$12)</f>
        <v>353964</v>
      </c>
      <c r="C15" s="21" t="n">
        <f aca="false">SUMIFS('Pivot Data'!$G$2:$G$301,'Pivot Data'!$D$2:$D$301,$A15,'Pivot Data'!$C$2:$C$301,C$12)</f>
        <v>363355</v>
      </c>
      <c r="D15" s="21" t="n">
        <f aca="false">SUMIFS('Pivot Data'!$G$2:$G$301,'Pivot Data'!$D$2:$D$301,$A15,'Pivot Data'!$C$2:$C$301,D$12)</f>
        <v>476154</v>
      </c>
      <c r="E15" s="21" t="n">
        <f aca="false">SUMIFS('Pivot Data'!$G$2:$G$301,'Pivot Data'!$D$2:$D$301,$A15,'Pivot Data'!$C$2:$C$301,E$12)</f>
        <v>113307</v>
      </c>
      <c r="F15" s="28" t="n">
        <f aca="false">SUM(B15:E15)</f>
        <v>1306780</v>
      </c>
    </row>
    <row r="16" customFormat="false" ht="15" hidden="false" customHeight="false" outlineLevel="0" collapsed="false">
      <c r="A16" s="20" t="s">
        <v>71</v>
      </c>
      <c r="B16" s="21" t="n">
        <f aca="false">SUMIFS('Pivot Data'!$G$2:$G$301,'Pivot Data'!$D$2:$D$301,$A16,'Pivot Data'!$C$2:$C$301,B$12)</f>
        <v>29002</v>
      </c>
      <c r="C16" s="21" t="n">
        <f aca="false">SUMIFS('Pivot Data'!$G$2:$G$301,'Pivot Data'!$D$2:$D$301,$A16,'Pivot Data'!$C$2:$C$301,C$12)</f>
        <v>36616</v>
      </c>
      <c r="D16" s="21" t="n">
        <f aca="false">SUMIFS('Pivot Data'!$G$2:$G$301,'Pivot Data'!$D$2:$D$301,$A16,'Pivot Data'!$C$2:$C$301,D$12)</f>
        <v>36613</v>
      </c>
      <c r="E16" s="21" t="n">
        <f aca="false">SUMIFS('Pivot Data'!$G$2:$G$301,'Pivot Data'!$D$2:$D$301,$A16,'Pivot Data'!$C$2:$C$301,E$12)</f>
        <v>32928</v>
      </c>
      <c r="F16" s="28" t="n">
        <f aca="false">SUM(B16:E16)</f>
        <v>135159</v>
      </c>
    </row>
    <row r="17" customFormat="false" ht="15" hidden="false" customHeight="false" outlineLevel="0" collapsed="false">
      <c r="A17" s="25" t="s">
        <v>63</v>
      </c>
      <c r="B17" s="28" t="n">
        <f aca="false">SUM(B13:B16)</f>
        <v>973504</v>
      </c>
      <c r="C17" s="28" t="n">
        <f aca="false">SUM(C13:C16)</f>
        <v>815766</v>
      </c>
      <c r="D17" s="28" t="n">
        <f aca="false">SUM(D13:D16)</f>
        <v>868983</v>
      </c>
      <c r="E17" s="28" t="n">
        <f aca="false">SUM(E13:E16)</f>
        <v>516517</v>
      </c>
      <c r="F17" s="28" t="n">
        <f aca="false">SUM(F13:F16)</f>
        <v>3174770</v>
      </c>
    </row>
    <row r="19" customFormat="false" ht="15" hidden="false" customHeight="false" outlineLevel="0" collapsed="false">
      <c r="A19" s="16" t="s">
        <v>72</v>
      </c>
    </row>
    <row r="20" customFormat="false" ht="15" hidden="false" customHeight="false" outlineLevel="0" collapsed="false">
      <c r="A20" s="19" t="s">
        <v>73</v>
      </c>
      <c r="B20" s="19" t="s">
        <v>40</v>
      </c>
      <c r="C20" s="19" t="s">
        <v>25</v>
      </c>
      <c r="D20" s="19" t="s">
        <v>28</v>
      </c>
    </row>
    <row r="21" customFormat="false" ht="15" hidden="false" customHeight="false" outlineLevel="0" collapsed="false">
      <c r="A21" s="20" t="n">
        <v>1</v>
      </c>
      <c r="B21" s="20" t="str">
        <f aca="false">TEXT(DATE(2025,A21,1),"mmmm")</f>
        <v>January</v>
      </c>
      <c r="C21" s="21" t="n">
        <f aca="false">SUMPRODUCT((MONTH('Pivot Data'!$B$2:$B$301)=A21)*'Pivot Data'!$G$2:$G$301)</f>
        <v>420579</v>
      </c>
      <c r="D21" s="20" t="n">
        <f aca="false">SUMPRODUCT(--(MONTH('Pivot Data'!$B$2:$B$301)=A21))</f>
        <v>33</v>
      </c>
    </row>
    <row r="22" customFormat="false" ht="15" hidden="false" customHeight="false" outlineLevel="0" collapsed="false">
      <c r="A22" s="20" t="n">
        <v>2</v>
      </c>
      <c r="B22" s="20" t="str">
        <f aca="false">TEXT(DATE(2025,A22,1),"mmmm")</f>
        <v>February</v>
      </c>
      <c r="C22" s="21" t="n">
        <f aca="false">SUMPRODUCT((MONTH('Pivot Data'!$B$2:$B$301)=A22)*'Pivot Data'!$G$2:$G$301)</f>
        <v>231035</v>
      </c>
      <c r="D22" s="20" t="n">
        <f aca="false">SUMPRODUCT(--(MONTH('Pivot Data'!$B$2:$B$301)=A22))</f>
        <v>34</v>
      </c>
    </row>
    <row r="23" customFormat="false" ht="15" hidden="false" customHeight="false" outlineLevel="0" collapsed="false">
      <c r="A23" s="20" t="n">
        <v>3</v>
      </c>
      <c r="B23" s="20" t="str">
        <f aca="false">TEXT(DATE(2025,A23,1),"mmmm")</f>
        <v>March</v>
      </c>
      <c r="C23" s="21" t="n">
        <f aca="false">SUMPRODUCT((MONTH('Pivot Data'!$B$2:$B$301)=A23)*'Pivot Data'!$G$2:$G$301)</f>
        <v>217972</v>
      </c>
      <c r="D23" s="20" t="n">
        <f aca="false">SUMPRODUCT(--(MONTH('Pivot Data'!$B$2:$B$301)=A23))</f>
        <v>19</v>
      </c>
    </row>
    <row r="24" customFormat="false" ht="15" hidden="false" customHeight="false" outlineLevel="0" collapsed="false">
      <c r="A24" s="20" t="n">
        <v>4</v>
      </c>
      <c r="B24" s="20" t="str">
        <f aca="false">TEXT(DATE(2025,A24,1),"mmmm")</f>
        <v>April</v>
      </c>
      <c r="C24" s="21" t="n">
        <f aca="false">SUMPRODUCT((MONTH('Pivot Data'!$B$2:$B$301)=A24)*'Pivot Data'!$G$2:$G$301)</f>
        <v>246620</v>
      </c>
      <c r="D24" s="20" t="n">
        <f aca="false">SUMPRODUCT(--(MONTH('Pivot Data'!$B$2:$B$301)=A24))</f>
        <v>27</v>
      </c>
    </row>
    <row r="25" customFormat="false" ht="15" hidden="false" customHeight="false" outlineLevel="0" collapsed="false">
      <c r="A25" s="20" t="n">
        <v>5</v>
      </c>
      <c r="B25" s="20" t="str">
        <f aca="false">TEXT(DATE(2025,A25,1),"mmmm")</f>
        <v>May</v>
      </c>
      <c r="C25" s="21" t="n">
        <f aca="false">SUMPRODUCT((MONTH('Pivot Data'!$B$2:$B$301)=A25)*'Pivot Data'!$G$2:$G$301)</f>
        <v>155695</v>
      </c>
      <c r="D25" s="20" t="n">
        <f aca="false">SUMPRODUCT(--(MONTH('Pivot Data'!$B$2:$B$301)=A25))</f>
        <v>21</v>
      </c>
    </row>
    <row r="26" customFormat="false" ht="15" hidden="false" customHeight="false" outlineLevel="0" collapsed="false">
      <c r="A26" s="20" t="n">
        <v>6</v>
      </c>
      <c r="B26" s="20" t="str">
        <f aca="false">TEXT(DATE(2025,A26,1),"mmmm")</f>
        <v>June</v>
      </c>
      <c r="C26" s="21" t="n">
        <f aca="false">SUMPRODUCT((MONTH('Pivot Data'!$B$2:$B$301)=A26)*'Pivot Data'!$G$2:$G$301)</f>
        <v>227916</v>
      </c>
      <c r="D26" s="20" t="n">
        <f aca="false">SUMPRODUCT(--(MONTH('Pivot Data'!$B$2:$B$301)=A26))</f>
        <v>18</v>
      </c>
    </row>
    <row r="27" customFormat="false" ht="15" hidden="false" customHeight="false" outlineLevel="0" collapsed="false">
      <c r="A27" s="20" t="n">
        <v>7</v>
      </c>
      <c r="B27" s="20" t="str">
        <f aca="false">TEXT(DATE(2025,A27,1),"mmmm")</f>
        <v>July</v>
      </c>
      <c r="C27" s="21" t="n">
        <f aca="false">SUMPRODUCT((MONTH('Pivot Data'!$B$2:$B$301)=A27)*'Pivot Data'!$G$2:$G$301)</f>
        <v>257182</v>
      </c>
      <c r="D27" s="20" t="n">
        <f aca="false">SUMPRODUCT(--(MONTH('Pivot Data'!$B$2:$B$301)=A27))</f>
        <v>24</v>
      </c>
    </row>
    <row r="28" customFormat="false" ht="15" hidden="false" customHeight="false" outlineLevel="0" collapsed="false">
      <c r="A28" s="20" t="n">
        <v>8</v>
      </c>
      <c r="B28" s="20" t="str">
        <f aca="false">TEXT(DATE(2025,A28,1),"mmmm")</f>
        <v>August</v>
      </c>
      <c r="C28" s="21" t="n">
        <f aca="false">SUMPRODUCT((MONTH('Pivot Data'!$B$2:$B$301)=A28)*'Pivot Data'!$G$2:$G$301)</f>
        <v>317784</v>
      </c>
      <c r="D28" s="20" t="n">
        <f aca="false">SUMPRODUCT(--(MONTH('Pivot Data'!$B$2:$B$301)=A28))</f>
        <v>27</v>
      </c>
    </row>
    <row r="29" customFormat="false" ht="15" hidden="false" customHeight="false" outlineLevel="0" collapsed="false">
      <c r="A29" s="20" t="n">
        <v>9</v>
      </c>
      <c r="B29" s="20" t="str">
        <f aca="false">TEXT(DATE(2025,A29,1),"mmmm")</f>
        <v>September</v>
      </c>
      <c r="C29" s="21" t="n">
        <f aca="false">SUMPRODUCT((MONTH('Pivot Data'!$B$2:$B$301)=A29)*'Pivot Data'!$G$2:$G$301)</f>
        <v>208938</v>
      </c>
      <c r="D29" s="20" t="n">
        <f aca="false">SUMPRODUCT(--(MONTH('Pivot Data'!$B$2:$B$301)=A29))</f>
        <v>23</v>
      </c>
    </row>
    <row r="30" customFormat="false" ht="15" hidden="false" customHeight="false" outlineLevel="0" collapsed="false">
      <c r="A30" s="20" t="n">
        <v>10</v>
      </c>
      <c r="B30" s="20" t="str">
        <f aca="false">TEXT(DATE(2025,A30,1),"mmmm")</f>
        <v>October</v>
      </c>
      <c r="C30" s="21" t="n">
        <f aca="false">SUMPRODUCT((MONTH('Pivot Data'!$B$2:$B$301)=A30)*'Pivot Data'!$G$2:$G$301)</f>
        <v>278922</v>
      </c>
      <c r="D30" s="20" t="n">
        <f aca="false">SUMPRODUCT(--(MONTH('Pivot Data'!$B$2:$B$301)=A30))</f>
        <v>23</v>
      </c>
    </row>
    <row r="31" customFormat="false" ht="15" hidden="false" customHeight="false" outlineLevel="0" collapsed="false">
      <c r="A31" s="20" t="n">
        <v>11</v>
      </c>
      <c r="B31" s="20" t="str">
        <f aca="false">TEXT(DATE(2025,A31,1),"mmmm")</f>
        <v>November</v>
      </c>
      <c r="C31" s="21" t="n">
        <f aca="false">SUMPRODUCT((MONTH('Pivot Data'!$B$2:$B$301)=A31)*'Pivot Data'!$G$2:$G$301)</f>
        <v>368091</v>
      </c>
      <c r="D31" s="20" t="n">
        <f aca="false">SUMPRODUCT(--(MONTH('Pivot Data'!$B$2:$B$301)=A31))</f>
        <v>30</v>
      </c>
    </row>
    <row r="32" customFormat="false" ht="15" hidden="false" customHeight="false" outlineLevel="0" collapsed="false">
      <c r="A32" s="20" t="n">
        <v>12</v>
      </c>
      <c r="B32" s="20" t="str">
        <f aca="false">TEXT(DATE(2025,A32,1),"mmmm")</f>
        <v>December</v>
      </c>
      <c r="C32" s="21" t="n">
        <f aca="false">SUMPRODUCT((MONTH('Pivot Data'!$B$2:$B$301)=A32)*'Pivot Data'!$G$2:$G$301)</f>
        <v>244036</v>
      </c>
      <c r="D32" s="20" t="n">
        <f aca="false">SUMPRODUCT(--(MONTH('Pivot Data'!$B$2:$B$301)=A32))</f>
        <v>21</v>
      </c>
    </row>
    <row r="33" customFormat="false" ht="15" hidden="false" customHeight="false" outlineLevel="0" collapsed="false">
      <c r="A33" s="25" t="s">
        <v>67</v>
      </c>
      <c r="B33" s="20"/>
      <c r="C33" s="28" t="n">
        <f aca="false">SUM(C21:C32)</f>
        <v>3174770</v>
      </c>
      <c r="D33" s="25" t="n">
        <f aca="false">SUM(D21:D32)</f>
        <v>300</v>
      </c>
    </row>
    <row r="35" customFormat="false" ht="15" hidden="false" customHeight="false" outlineLevel="0" collapsed="false">
      <c r="A35" s="16" t="s">
        <v>74</v>
      </c>
      <c r="E35" s="16" t="s">
        <v>75</v>
      </c>
    </row>
    <row r="36" customFormat="false" ht="15" hidden="false" customHeight="false" outlineLevel="0" collapsed="false">
      <c r="A36" s="19" t="s">
        <v>41</v>
      </c>
      <c r="B36" s="19" t="s">
        <v>25</v>
      </c>
      <c r="C36" s="19" t="s">
        <v>76</v>
      </c>
      <c r="E36" s="19" t="s">
        <v>76</v>
      </c>
      <c r="F36" s="19" t="s">
        <v>41</v>
      </c>
      <c r="G36" s="19" t="s">
        <v>25</v>
      </c>
    </row>
    <row r="37" customFormat="false" ht="15" hidden="false" customHeight="false" outlineLevel="0" collapsed="false">
      <c r="A37" s="20" t="s">
        <v>42</v>
      </c>
      <c r="B37" s="21" t="n">
        <f aca="false">SUMIFS('Pivot Data'!$G$2:$G$301,'Pivot Data'!$E$2:$E$301,A37)</f>
        <v>354327</v>
      </c>
      <c r="C37" s="20" t="n">
        <f aca="false">RANK(B37,$B$37:$B$44)</f>
        <v>6</v>
      </c>
      <c r="E37" s="20" t="n">
        <v>1</v>
      </c>
      <c r="F37" s="20" t="str">
        <f aca="false">INDEX($A$37:$A$44,MATCH(E37,$C$37:$C$44,0))</f>
        <v>Harsh</v>
      </c>
      <c r="G37" s="21" t="n">
        <f aca="false">INDEX($B$37:$B$44,MATCH(E37,$C$37:$C$44,0))</f>
        <v>506447</v>
      </c>
    </row>
    <row r="38" customFormat="false" ht="15" hidden="false" customHeight="false" outlineLevel="0" collapsed="false">
      <c r="A38" s="20" t="s">
        <v>43</v>
      </c>
      <c r="B38" s="21" t="n">
        <f aca="false">SUMIFS('Pivot Data'!$G$2:$G$301,'Pivot Data'!$E$2:$E$301,A38)</f>
        <v>443986</v>
      </c>
      <c r="C38" s="20" t="n">
        <f aca="false">RANK(B38,$B$37:$B$44)</f>
        <v>4</v>
      </c>
      <c r="E38" s="20" t="n">
        <v>2</v>
      </c>
      <c r="F38" s="20" t="str">
        <f aca="false">INDEX($A$37:$A$44,MATCH(E38,$C$37:$C$44,0))</f>
        <v>Divya</v>
      </c>
      <c r="G38" s="21" t="n">
        <f aca="false">INDEX($B$37:$B$44,MATCH(E38,$C$37:$C$44,0))</f>
        <v>469132</v>
      </c>
    </row>
    <row r="39" customFormat="false" ht="15" hidden="false" customHeight="false" outlineLevel="0" collapsed="false">
      <c r="A39" s="20" t="s">
        <v>44</v>
      </c>
      <c r="B39" s="21" t="n">
        <f aca="false">SUMIFS('Pivot Data'!$G$2:$G$301,'Pivot Data'!$E$2:$E$301,A39)</f>
        <v>259292</v>
      </c>
      <c r="C39" s="20" t="n">
        <f aca="false">RANK(B39,$B$37:$B$44)</f>
        <v>8</v>
      </c>
      <c r="E39" s="20" t="n">
        <v>3</v>
      </c>
      <c r="F39" s="20" t="str">
        <f aca="false">INDEX($A$37:$A$44,MATCH(E39,$C$37:$C$44,0))</f>
        <v>Farhan</v>
      </c>
      <c r="G39" s="21" t="n">
        <f aca="false">INDEX($B$37:$B$44,MATCH(E39,$C$37:$C$44,0))</f>
        <v>465415</v>
      </c>
    </row>
    <row r="40" customFormat="false" ht="15" hidden="false" customHeight="false" outlineLevel="0" collapsed="false">
      <c r="A40" s="20" t="s">
        <v>45</v>
      </c>
      <c r="B40" s="21" t="n">
        <f aca="false">SUMIFS('Pivot Data'!$G$2:$G$301,'Pivot Data'!$E$2:$E$301,A40)</f>
        <v>469132</v>
      </c>
      <c r="C40" s="20" t="n">
        <f aca="false">RANK(B40,$B$37:$B$44)</f>
        <v>2</v>
      </c>
    </row>
    <row r="41" customFormat="false" ht="15" hidden="false" customHeight="false" outlineLevel="0" collapsed="false">
      <c r="A41" s="20" t="s">
        <v>46</v>
      </c>
      <c r="B41" s="21" t="n">
        <f aca="false">SUMIFS('Pivot Data'!$G$2:$G$301,'Pivot Data'!$E$2:$E$301,A41)</f>
        <v>465415</v>
      </c>
      <c r="C41" s="20" t="n">
        <f aca="false">RANK(B41,$B$37:$B$44)</f>
        <v>3</v>
      </c>
    </row>
    <row r="42" customFormat="false" ht="15" hidden="false" customHeight="false" outlineLevel="0" collapsed="false">
      <c r="A42" s="20" t="s">
        <v>47</v>
      </c>
      <c r="B42" s="21" t="n">
        <f aca="false">SUMIFS('Pivot Data'!$G$2:$G$301,'Pivot Data'!$E$2:$E$301,A42)</f>
        <v>290308</v>
      </c>
      <c r="C42" s="20" t="n">
        <f aca="false">RANK(B42,$B$37:$B$44)</f>
        <v>7</v>
      </c>
    </row>
    <row r="43" customFormat="false" ht="15" hidden="false" customHeight="false" outlineLevel="0" collapsed="false">
      <c r="A43" s="20" t="s">
        <v>48</v>
      </c>
      <c r="B43" s="21" t="n">
        <f aca="false">SUMIFS('Pivot Data'!$G$2:$G$301,'Pivot Data'!$E$2:$E$301,A43)</f>
        <v>506447</v>
      </c>
      <c r="C43" s="20" t="n">
        <f aca="false">RANK(B43,$B$37:$B$44)</f>
        <v>1</v>
      </c>
    </row>
    <row r="44" customFormat="false" ht="15" hidden="false" customHeight="false" outlineLevel="0" collapsed="false">
      <c r="A44" s="20" t="s">
        <v>49</v>
      </c>
      <c r="B44" s="21" t="n">
        <f aca="false">SUMIFS('Pivot Data'!$G$2:$G$301,'Pivot Data'!$E$2:$E$301,A44)</f>
        <v>385863</v>
      </c>
      <c r="C44" s="20" t="n">
        <f aca="false">RANK(B44,$B$37:$B$44)</f>
        <v>5</v>
      </c>
    </row>
    <row r="45" customFormat="false" ht="15" hidden="false" customHeight="false" outlineLevel="0" collapsed="false">
      <c r="A45" s="25" t="s">
        <v>67</v>
      </c>
      <c r="B45" s="28" t="n">
        <f aca="false">SUM(B37:B44)</f>
        <v>3174770</v>
      </c>
      <c r="C45" s="2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0" width="10"/>
    <col collapsed="false" customWidth="true" hidden="false" outlineLevel="0" max="2" min="2" style="30" width="13"/>
    <col collapsed="false" customWidth="true" hidden="false" outlineLevel="0" max="3" min="3" style="30" width="10"/>
    <col collapsed="false" customWidth="true" hidden="false" outlineLevel="0" max="5" min="4" style="30" width="13"/>
    <col collapsed="false" customWidth="true" hidden="false" outlineLevel="0" max="6" min="6" style="30" width="8"/>
    <col collapsed="false" customWidth="true" hidden="false" outlineLevel="0" max="8" min="7" style="30" width="11"/>
  </cols>
  <sheetData>
    <row r="1" customFormat="false" ht="15" hidden="false" customHeight="true" outlineLevel="0" collapsed="false">
      <c r="A1" s="19" t="s">
        <v>77</v>
      </c>
      <c r="B1" s="19" t="s">
        <v>78</v>
      </c>
      <c r="C1" s="19" t="s">
        <v>34</v>
      </c>
      <c r="D1" s="19" t="s">
        <v>22</v>
      </c>
      <c r="E1" s="19" t="s">
        <v>41</v>
      </c>
      <c r="F1" s="19" t="s">
        <v>79</v>
      </c>
      <c r="G1" s="19" t="s">
        <v>25</v>
      </c>
      <c r="H1" s="19" t="s">
        <v>54</v>
      </c>
    </row>
    <row r="2" customFormat="false" ht="15" hidden="false" customHeight="true" outlineLevel="0" collapsed="false">
      <c r="A2" s="31" t="s">
        <v>80</v>
      </c>
      <c r="B2" s="32" t="n">
        <v>45658</v>
      </c>
      <c r="C2" s="31" t="s">
        <v>36</v>
      </c>
      <c r="D2" s="31" t="s">
        <v>69</v>
      </c>
      <c r="E2" s="31" t="s">
        <v>46</v>
      </c>
      <c r="F2" s="31" t="n">
        <v>8</v>
      </c>
      <c r="G2" s="33" t="n">
        <v>20376</v>
      </c>
      <c r="H2" s="33" t="n">
        <v>15408</v>
      </c>
    </row>
    <row r="3" customFormat="false" ht="15" hidden="false" customHeight="true" outlineLevel="0" collapsed="false">
      <c r="A3" s="31" t="s">
        <v>81</v>
      </c>
      <c r="B3" s="32" t="n">
        <v>45658</v>
      </c>
      <c r="C3" s="31" t="s">
        <v>36</v>
      </c>
      <c r="D3" s="31" t="s">
        <v>69</v>
      </c>
      <c r="E3" s="31" t="s">
        <v>49</v>
      </c>
      <c r="F3" s="31" t="n">
        <v>4</v>
      </c>
      <c r="G3" s="33" t="n">
        <v>14492</v>
      </c>
      <c r="H3" s="33" t="n">
        <v>8536</v>
      </c>
    </row>
    <row r="4" customFormat="false" ht="15" hidden="false" customHeight="true" outlineLevel="0" collapsed="false">
      <c r="A4" s="31" t="s">
        <v>82</v>
      </c>
      <c r="B4" s="32" t="n">
        <v>45660</v>
      </c>
      <c r="C4" s="31" t="s">
        <v>36</v>
      </c>
      <c r="D4" s="31" t="s">
        <v>70</v>
      </c>
      <c r="E4" s="31" t="s">
        <v>45</v>
      </c>
      <c r="F4" s="31" t="n">
        <v>4</v>
      </c>
      <c r="G4" s="33" t="n">
        <v>20712</v>
      </c>
      <c r="H4" s="33" t="n">
        <v>13320</v>
      </c>
    </row>
    <row r="5" customFormat="false" ht="15" hidden="false" customHeight="true" outlineLevel="0" collapsed="false">
      <c r="A5" s="31" t="s">
        <v>83</v>
      </c>
      <c r="B5" s="32" t="n">
        <v>45662</v>
      </c>
      <c r="C5" s="31" t="s">
        <v>38</v>
      </c>
      <c r="D5" s="31" t="s">
        <v>71</v>
      </c>
      <c r="E5" s="31" t="s">
        <v>47</v>
      </c>
      <c r="F5" s="31" t="n">
        <v>4</v>
      </c>
      <c r="G5" s="33" t="n">
        <v>2200</v>
      </c>
      <c r="H5" s="33" t="n">
        <v>1318</v>
      </c>
    </row>
    <row r="6" customFormat="false" ht="15" hidden="false" customHeight="true" outlineLevel="0" collapsed="false">
      <c r="A6" s="31" t="s">
        <v>84</v>
      </c>
      <c r="B6" s="32" t="n">
        <v>45663</v>
      </c>
      <c r="C6" s="31" t="s">
        <v>37</v>
      </c>
      <c r="D6" s="31" t="s">
        <v>69</v>
      </c>
      <c r="E6" s="31" t="s">
        <v>43</v>
      </c>
      <c r="F6" s="31" t="n">
        <v>3</v>
      </c>
      <c r="G6" s="33" t="n">
        <v>10599</v>
      </c>
      <c r="H6" s="33" t="n">
        <v>6684</v>
      </c>
    </row>
    <row r="7" customFormat="false" ht="15" hidden="false" customHeight="true" outlineLevel="0" collapsed="false">
      <c r="A7" s="31" t="s">
        <v>85</v>
      </c>
      <c r="B7" s="32" t="n">
        <v>45664</v>
      </c>
      <c r="C7" s="31" t="s">
        <v>39</v>
      </c>
      <c r="D7" s="31" t="s">
        <v>68</v>
      </c>
      <c r="E7" s="31" t="s">
        <v>49</v>
      </c>
      <c r="F7" s="31" t="n">
        <v>5</v>
      </c>
      <c r="G7" s="33" t="n">
        <v>11415</v>
      </c>
      <c r="H7" s="33" t="n">
        <v>6722</v>
      </c>
    </row>
    <row r="8" customFormat="false" ht="15" hidden="false" customHeight="true" outlineLevel="0" collapsed="false">
      <c r="A8" s="31" t="s">
        <v>86</v>
      </c>
      <c r="B8" s="32" t="n">
        <v>45665</v>
      </c>
      <c r="C8" s="31" t="s">
        <v>39</v>
      </c>
      <c r="D8" s="31" t="s">
        <v>69</v>
      </c>
      <c r="E8" s="31" t="s">
        <v>47</v>
      </c>
      <c r="F8" s="31" t="n">
        <v>4</v>
      </c>
      <c r="G8" s="33" t="n">
        <v>12780</v>
      </c>
      <c r="H8" s="33" t="n">
        <v>8153</v>
      </c>
    </row>
    <row r="9" customFormat="false" ht="15" hidden="false" customHeight="true" outlineLevel="0" collapsed="false">
      <c r="A9" s="31" t="s">
        <v>87</v>
      </c>
      <c r="B9" s="32" t="n">
        <v>45665</v>
      </c>
      <c r="C9" s="31" t="s">
        <v>37</v>
      </c>
      <c r="D9" s="31" t="s">
        <v>71</v>
      </c>
      <c r="E9" s="31" t="s">
        <v>46</v>
      </c>
      <c r="F9" s="31" t="n">
        <v>8</v>
      </c>
      <c r="G9" s="33" t="n">
        <v>2112</v>
      </c>
      <c r="H9" s="33" t="n">
        <v>1198</v>
      </c>
    </row>
    <row r="10" customFormat="false" ht="15" hidden="false" customHeight="true" outlineLevel="0" collapsed="false">
      <c r="A10" s="31" t="s">
        <v>88</v>
      </c>
      <c r="B10" s="32" t="n">
        <v>45665</v>
      </c>
      <c r="C10" s="31" t="s">
        <v>36</v>
      </c>
      <c r="D10" s="31" t="s">
        <v>68</v>
      </c>
      <c r="E10" s="31" t="s">
        <v>46</v>
      </c>
      <c r="F10" s="31" t="n">
        <v>1</v>
      </c>
      <c r="G10" s="33" t="n">
        <v>1989</v>
      </c>
      <c r="H10" s="33" t="n">
        <v>1418</v>
      </c>
    </row>
    <row r="11" customFormat="false" ht="15" hidden="false" customHeight="true" outlineLevel="0" collapsed="false">
      <c r="A11" s="31" t="s">
        <v>89</v>
      </c>
      <c r="B11" s="32" t="n">
        <v>45665</v>
      </c>
      <c r="C11" s="31" t="s">
        <v>39</v>
      </c>
      <c r="D11" s="31" t="s">
        <v>71</v>
      </c>
      <c r="E11" s="31" t="s">
        <v>45</v>
      </c>
      <c r="F11" s="31" t="n">
        <v>1</v>
      </c>
      <c r="G11" s="33" t="n">
        <v>428</v>
      </c>
      <c r="H11" s="33" t="n">
        <v>249</v>
      </c>
    </row>
    <row r="12" customFormat="false" ht="15" hidden="false" customHeight="true" outlineLevel="0" collapsed="false">
      <c r="A12" s="31" t="s">
        <v>90</v>
      </c>
      <c r="B12" s="32" t="n">
        <v>45666</v>
      </c>
      <c r="C12" s="31" t="s">
        <v>37</v>
      </c>
      <c r="D12" s="31" t="s">
        <v>69</v>
      </c>
      <c r="E12" s="31" t="s">
        <v>43</v>
      </c>
      <c r="F12" s="31" t="n">
        <v>5</v>
      </c>
      <c r="G12" s="33" t="n">
        <v>12360</v>
      </c>
      <c r="H12" s="33" t="n">
        <v>9013</v>
      </c>
    </row>
    <row r="13" customFormat="false" ht="15" hidden="false" customHeight="true" outlineLevel="0" collapsed="false">
      <c r="A13" s="31" t="s">
        <v>91</v>
      </c>
      <c r="B13" s="32" t="n">
        <v>45666</v>
      </c>
      <c r="C13" s="31" t="s">
        <v>38</v>
      </c>
      <c r="D13" s="31" t="s">
        <v>70</v>
      </c>
      <c r="E13" s="31" t="s">
        <v>49</v>
      </c>
      <c r="F13" s="31" t="n">
        <v>6</v>
      </c>
      <c r="G13" s="33" t="n">
        <v>18828</v>
      </c>
      <c r="H13" s="33" t="n">
        <v>13320</v>
      </c>
    </row>
    <row r="14" customFormat="false" ht="15" hidden="false" customHeight="true" outlineLevel="0" collapsed="false">
      <c r="A14" s="31" t="s">
        <v>92</v>
      </c>
      <c r="B14" s="32" t="n">
        <v>45667</v>
      </c>
      <c r="C14" s="31" t="s">
        <v>37</v>
      </c>
      <c r="D14" s="31" t="s">
        <v>69</v>
      </c>
      <c r="E14" s="31" t="s">
        <v>44</v>
      </c>
      <c r="F14" s="31" t="n">
        <v>1</v>
      </c>
      <c r="G14" s="33" t="n">
        <v>3434</v>
      </c>
      <c r="H14" s="33" t="n">
        <v>2311</v>
      </c>
    </row>
    <row r="15" customFormat="false" ht="15" hidden="false" customHeight="true" outlineLevel="0" collapsed="false">
      <c r="A15" s="31" t="s">
        <v>93</v>
      </c>
      <c r="B15" s="32" t="n">
        <v>45668</v>
      </c>
      <c r="C15" s="31" t="s">
        <v>38</v>
      </c>
      <c r="D15" s="31" t="s">
        <v>69</v>
      </c>
      <c r="E15" s="31" t="s">
        <v>48</v>
      </c>
      <c r="F15" s="31" t="n">
        <v>6</v>
      </c>
      <c r="G15" s="33" t="n">
        <v>22260</v>
      </c>
      <c r="H15" s="33" t="n">
        <v>15813</v>
      </c>
    </row>
    <row r="16" customFormat="false" ht="15" hidden="false" customHeight="true" outlineLevel="0" collapsed="false">
      <c r="A16" s="31" t="s">
        <v>94</v>
      </c>
      <c r="B16" s="32" t="n">
        <v>45668</v>
      </c>
      <c r="C16" s="31" t="s">
        <v>39</v>
      </c>
      <c r="D16" s="31" t="s">
        <v>68</v>
      </c>
      <c r="E16" s="31" t="s">
        <v>44</v>
      </c>
      <c r="F16" s="31" t="n">
        <v>4</v>
      </c>
      <c r="G16" s="33" t="n">
        <v>3112</v>
      </c>
      <c r="H16" s="33" t="n">
        <v>2005</v>
      </c>
    </row>
    <row r="17" customFormat="false" ht="15" hidden="false" customHeight="true" outlineLevel="0" collapsed="false">
      <c r="A17" s="31" t="s">
        <v>95</v>
      </c>
      <c r="B17" s="32" t="n">
        <v>45669</v>
      </c>
      <c r="C17" s="31" t="s">
        <v>37</v>
      </c>
      <c r="D17" s="31" t="s">
        <v>70</v>
      </c>
      <c r="E17" s="31" t="s">
        <v>48</v>
      </c>
      <c r="F17" s="31" t="n">
        <v>4</v>
      </c>
      <c r="G17" s="33" t="n">
        <v>30496</v>
      </c>
      <c r="H17" s="33" t="n">
        <v>22997</v>
      </c>
    </row>
    <row r="18" customFormat="false" ht="15" hidden="false" customHeight="true" outlineLevel="0" collapsed="false">
      <c r="A18" s="31" t="s">
        <v>96</v>
      </c>
      <c r="B18" s="32" t="n">
        <v>45673</v>
      </c>
      <c r="C18" s="31" t="s">
        <v>38</v>
      </c>
      <c r="D18" s="31" t="s">
        <v>71</v>
      </c>
      <c r="E18" s="31" t="s">
        <v>43</v>
      </c>
      <c r="F18" s="31" t="n">
        <v>6</v>
      </c>
      <c r="G18" s="33" t="n">
        <v>2022</v>
      </c>
      <c r="H18" s="33" t="n">
        <v>1264</v>
      </c>
    </row>
    <row r="19" customFormat="false" ht="15" hidden="false" customHeight="true" outlineLevel="0" collapsed="false">
      <c r="A19" s="31" t="s">
        <v>97</v>
      </c>
      <c r="B19" s="32" t="n">
        <v>45673</v>
      </c>
      <c r="C19" s="31" t="s">
        <v>39</v>
      </c>
      <c r="D19" s="31" t="s">
        <v>71</v>
      </c>
      <c r="E19" s="31" t="s">
        <v>43</v>
      </c>
      <c r="F19" s="31" t="n">
        <v>2</v>
      </c>
      <c r="G19" s="33" t="n">
        <v>418</v>
      </c>
      <c r="H19" s="33" t="n">
        <v>253</v>
      </c>
    </row>
    <row r="20" customFormat="false" ht="15" hidden="false" customHeight="true" outlineLevel="0" collapsed="false">
      <c r="A20" s="31" t="s">
        <v>98</v>
      </c>
      <c r="B20" s="32" t="n">
        <v>45673</v>
      </c>
      <c r="C20" s="31" t="s">
        <v>37</v>
      </c>
      <c r="D20" s="31" t="s">
        <v>68</v>
      </c>
      <c r="E20" s="31" t="s">
        <v>47</v>
      </c>
      <c r="F20" s="31" t="n">
        <v>6</v>
      </c>
      <c r="G20" s="33" t="n">
        <v>6816</v>
      </c>
      <c r="H20" s="33" t="n">
        <v>5175</v>
      </c>
    </row>
    <row r="21" customFormat="false" ht="15" hidden="false" customHeight="true" outlineLevel="0" collapsed="false">
      <c r="A21" s="31" t="s">
        <v>99</v>
      </c>
      <c r="B21" s="32" t="n">
        <v>45673</v>
      </c>
      <c r="C21" s="31" t="s">
        <v>39</v>
      </c>
      <c r="D21" s="31" t="s">
        <v>71</v>
      </c>
      <c r="E21" s="31" t="s">
        <v>46</v>
      </c>
      <c r="F21" s="31" t="n">
        <v>1</v>
      </c>
      <c r="G21" s="33" t="n">
        <v>325</v>
      </c>
      <c r="H21" s="33" t="n">
        <v>204</v>
      </c>
    </row>
    <row r="22" customFormat="false" ht="15" hidden="false" customHeight="true" outlineLevel="0" collapsed="false">
      <c r="A22" s="31" t="s">
        <v>100</v>
      </c>
      <c r="B22" s="32" t="n">
        <v>45675</v>
      </c>
      <c r="C22" s="31" t="s">
        <v>37</v>
      </c>
      <c r="D22" s="31" t="s">
        <v>70</v>
      </c>
      <c r="E22" s="31" t="s">
        <v>48</v>
      </c>
      <c r="F22" s="31" t="n">
        <v>1</v>
      </c>
      <c r="G22" s="33" t="n">
        <v>4288</v>
      </c>
      <c r="H22" s="33" t="n">
        <v>3156</v>
      </c>
    </row>
    <row r="23" customFormat="false" ht="15" hidden="false" customHeight="true" outlineLevel="0" collapsed="false">
      <c r="A23" s="31" t="s">
        <v>101</v>
      </c>
      <c r="B23" s="32" t="n">
        <v>45675</v>
      </c>
      <c r="C23" s="31" t="s">
        <v>38</v>
      </c>
      <c r="D23" s="31" t="s">
        <v>71</v>
      </c>
      <c r="E23" s="31" t="s">
        <v>49</v>
      </c>
      <c r="F23" s="31" t="n">
        <v>3</v>
      </c>
      <c r="G23" s="33" t="n">
        <v>1116</v>
      </c>
      <c r="H23" s="33" t="n">
        <v>700</v>
      </c>
    </row>
    <row r="24" customFormat="false" ht="15" hidden="false" customHeight="true" outlineLevel="0" collapsed="false">
      <c r="A24" s="31" t="s">
        <v>102</v>
      </c>
      <c r="B24" s="32" t="n">
        <v>45676</v>
      </c>
      <c r="C24" s="31" t="s">
        <v>37</v>
      </c>
      <c r="D24" s="31" t="s">
        <v>69</v>
      </c>
      <c r="E24" s="31" t="s">
        <v>45</v>
      </c>
      <c r="F24" s="31" t="n">
        <v>8</v>
      </c>
      <c r="G24" s="33" t="n">
        <v>28136</v>
      </c>
      <c r="H24" s="33" t="n">
        <v>19221</v>
      </c>
    </row>
    <row r="25" customFormat="false" ht="15" hidden="false" customHeight="true" outlineLevel="0" collapsed="false">
      <c r="A25" s="31" t="s">
        <v>103</v>
      </c>
      <c r="B25" s="32" t="n">
        <v>45677</v>
      </c>
      <c r="C25" s="31" t="s">
        <v>38</v>
      </c>
      <c r="D25" s="31" t="s">
        <v>70</v>
      </c>
      <c r="E25" s="31" t="s">
        <v>46</v>
      </c>
      <c r="F25" s="31" t="n">
        <v>5</v>
      </c>
      <c r="G25" s="33" t="n">
        <v>42350</v>
      </c>
      <c r="H25" s="33" t="n">
        <v>28762</v>
      </c>
    </row>
    <row r="26" customFormat="false" ht="15" hidden="false" customHeight="true" outlineLevel="0" collapsed="false">
      <c r="A26" s="31" t="s">
        <v>104</v>
      </c>
      <c r="B26" s="32" t="n">
        <v>45679</v>
      </c>
      <c r="C26" s="31" t="s">
        <v>38</v>
      </c>
      <c r="D26" s="31" t="s">
        <v>70</v>
      </c>
      <c r="E26" s="31" t="s">
        <v>46</v>
      </c>
      <c r="F26" s="31" t="n">
        <v>7</v>
      </c>
      <c r="G26" s="33" t="n">
        <v>52444</v>
      </c>
      <c r="H26" s="33" t="n">
        <v>31356</v>
      </c>
    </row>
    <row r="27" customFormat="false" ht="15" hidden="false" customHeight="true" outlineLevel="0" collapsed="false">
      <c r="A27" s="31" t="s">
        <v>105</v>
      </c>
      <c r="B27" s="32" t="n">
        <v>45679</v>
      </c>
      <c r="C27" s="31" t="s">
        <v>37</v>
      </c>
      <c r="D27" s="31" t="s">
        <v>71</v>
      </c>
      <c r="E27" s="31" t="s">
        <v>48</v>
      </c>
      <c r="F27" s="31" t="n">
        <v>4</v>
      </c>
      <c r="G27" s="33" t="n">
        <v>1240</v>
      </c>
      <c r="H27" s="33" t="n">
        <v>835</v>
      </c>
    </row>
    <row r="28" customFormat="false" ht="15" hidden="false" customHeight="true" outlineLevel="0" collapsed="false">
      <c r="A28" s="31" t="s">
        <v>106</v>
      </c>
      <c r="B28" s="32" t="n">
        <v>45680</v>
      </c>
      <c r="C28" s="31" t="s">
        <v>37</v>
      </c>
      <c r="D28" s="31" t="s">
        <v>69</v>
      </c>
      <c r="E28" s="31" t="s">
        <v>49</v>
      </c>
      <c r="F28" s="31" t="n">
        <v>1</v>
      </c>
      <c r="G28" s="33" t="n">
        <v>3613</v>
      </c>
      <c r="H28" s="33" t="n">
        <v>2749</v>
      </c>
    </row>
    <row r="29" customFormat="false" ht="15" hidden="false" customHeight="true" outlineLevel="0" collapsed="false">
      <c r="A29" s="31" t="s">
        <v>107</v>
      </c>
      <c r="B29" s="32" t="n">
        <v>45681</v>
      </c>
      <c r="C29" s="31" t="s">
        <v>39</v>
      </c>
      <c r="D29" s="31" t="s">
        <v>69</v>
      </c>
      <c r="E29" s="31" t="s">
        <v>48</v>
      </c>
      <c r="F29" s="31" t="n">
        <v>3</v>
      </c>
      <c r="G29" s="33" t="n">
        <v>5307</v>
      </c>
      <c r="H29" s="33" t="n">
        <v>4055</v>
      </c>
    </row>
    <row r="30" customFormat="false" ht="15" hidden="false" customHeight="true" outlineLevel="0" collapsed="false">
      <c r="A30" s="31" t="s">
        <v>108</v>
      </c>
      <c r="B30" s="32" t="n">
        <v>45682</v>
      </c>
      <c r="C30" s="31" t="s">
        <v>39</v>
      </c>
      <c r="D30" s="31" t="s">
        <v>68</v>
      </c>
      <c r="E30" s="31" t="s">
        <v>44</v>
      </c>
      <c r="F30" s="31" t="n">
        <v>7</v>
      </c>
      <c r="G30" s="33" t="n">
        <v>8057</v>
      </c>
      <c r="H30" s="33" t="n">
        <v>4888</v>
      </c>
    </row>
    <row r="31" customFormat="false" ht="15" hidden="false" customHeight="true" outlineLevel="0" collapsed="false">
      <c r="A31" s="31" t="s">
        <v>109</v>
      </c>
      <c r="B31" s="32" t="n">
        <v>45684</v>
      </c>
      <c r="C31" s="31" t="s">
        <v>38</v>
      </c>
      <c r="D31" s="31" t="s">
        <v>70</v>
      </c>
      <c r="E31" s="31" t="s">
        <v>48</v>
      </c>
      <c r="F31" s="31" t="n">
        <v>8</v>
      </c>
      <c r="G31" s="33" t="n">
        <v>54400</v>
      </c>
      <c r="H31" s="33" t="n">
        <v>33889</v>
      </c>
    </row>
    <row r="32" customFormat="false" ht="15" hidden="false" customHeight="true" outlineLevel="0" collapsed="false">
      <c r="A32" s="31" t="s">
        <v>110</v>
      </c>
      <c r="B32" s="32" t="n">
        <v>45688</v>
      </c>
      <c r="C32" s="31" t="s">
        <v>37</v>
      </c>
      <c r="D32" s="31" t="s">
        <v>71</v>
      </c>
      <c r="E32" s="31" t="s">
        <v>42</v>
      </c>
      <c r="F32" s="31" t="n">
        <v>5</v>
      </c>
      <c r="G32" s="33" t="n">
        <v>830</v>
      </c>
      <c r="H32" s="33" t="n">
        <v>591</v>
      </c>
    </row>
    <row r="33" customFormat="false" ht="15" hidden="false" customHeight="true" outlineLevel="0" collapsed="false">
      <c r="A33" s="31" t="s">
        <v>111</v>
      </c>
      <c r="B33" s="32" t="n">
        <v>45688</v>
      </c>
      <c r="C33" s="31" t="s">
        <v>36</v>
      </c>
      <c r="D33" s="31" t="s">
        <v>69</v>
      </c>
      <c r="E33" s="31" t="s">
        <v>47</v>
      </c>
      <c r="F33" s="31" t="n">
        <v>4</v>
      </c>
      <c r="G33" s="33" t="n">
        <v>6192</v>
      </c>
      <c r="H33" s="33" t="n">
        <v>4384</v>
      </c>
    </row>
    <row r="34" customFormat="false" ht="15" hidden="false" customHeight="true" outlineLevel="0" collapsed="false">
      <c r="A34" s="31" t="s">
        <v>112</v>
      </c>
      <c r="B34" s="32" t="n">
        <v>45688</v>
      </c>
      <c r="C34" s="31" t="s">
        <v>37</v>
      </c>
      <c r="D34" s="31" t="s">
        <v>69</v>
      </c>
      <c r="E34" s="31" t="s">
        <v>46</v>
      </c>
      <c r="F34" s="31" t="n">
        <v>8</v>
      </c>
      <c r="G34" s="33" t="n">
        <v>15432</v>
      </c>
      <c r="H34" s="33" t="n">
        <v>10261</v>
      </c>
    </row>
    <row r="35" customFormat="false" ht="15" hidden="false" customHeight="true" outlineLevel="0" collapsed="false">
      <c r="A35" s="31" t="s">
        <v>113</v>
      </c>
      <c r="B35" s="32" t="n">
        <v>45690</v>
      </c>
      <c r="C35" s="31" t="s">
        <v>39</v>
      </c>
      <c r="D35" s="31" t="s">
        <v>71</v>
      </c>
      <c r="E35" s="31" t="s">
        <v>44</v>
      </c>
      <c r="F35" s="31" t="n">
        <v>7</v>
      </c>
      <c r="G35" s="33" t="n">
        <v>777</v>
      </c>
      <c r="H35" s="33" t="n">
        <v>494</v>
      </c>
    </row>
    <row r="36" customFormat="false" ht="15" hidden="false" customHeight="true" outlineLevel="0" collapsed="false">
      <c r="A36" s="31" t="s">
        <v>114</v>
      </c>
      <c r="B36" s="32" t="n">
        <v>45692</v>
      </c>
      <c r="C36" s="31" t="s">
        <v>38</v>
      </c>
      <c r="D36" s="31" t="s">
        <v>71</v>
      </c>
      <c r="E36" s="31" t="s">
        <v>45</v>
      </c>
      <c r="F36" s="31" t="n">
        <v>4</v>
      </c>
      <c r="G36" s="33" t="n">
        <v>1484</v>
      </c>
      <c r="H36" s="33" t="n">
        <v>890</v>
      </c>
    </row>
    <row r="37" customFormat="false" ht="15" hidden="false" customHeight="true" outlineLevel="0" collapsed="false">
      <c r="A37" s="31" t="s">
        <v>115</v>
      </c>
      <c r="B37" s="32" t="n">
        <v>45692</v>
      </c>
      <c r="C37" s="31" t="s">
        <v>36</v>
      </c>
      <c r="D37" s="31" t="s">
        <v>68</v>
      </c>
      <c r="E37" s="31" t="s">
        <v>45</v>
      </c>
      <c r="F37" s="31" t="n">
        <v>6</v>
      </c>
      <c r="G37" s="33" t="n">
        <v>14688</v>
      </c>
      <c r="H37" s="33" t="n">
        <v>8690</v>
      </c>
    </row>
    <row r="38" customFormat="false" ht="15" hidden="false" customHeight="true" outlineLevel="0" collapsed="false">
      <c r="A38" s="31" t="s">
        <v>116</v>
      </c>
      <c r="B38" s="32" t="n">
        <v>45693</v>
      </c>
      <c r="C38" s="31" t="s">
        <v>38</v>
      </c>
      <c r="D38" s="31" t="s">
        <v>69</v>
      </c>
      <c r="E38" s="31" t="s">
        <v>44</v>
      </c>
      <c r="F38" s="31" t="n">
        <v>4</v>
      </c>
      <c r="G38" s="33" t="n">
        <v>7584</v>
      </c>
      <c r="H38" s="33" t="n">
        <v>4405</v>
      </c>
    </row>
    <row r="39" customFormat="false" ht="15" hidden="false" customHeight="true" outlineLevel="0" collapsed="false">
      <c r="A39" s="31" t="s">
        <v>117</v>
      </c>
      <c r="B39" s="32" t="n">
        <v>45693</v>
      </c>
      <c r="C39" s="31" t="s">
        <v>39</v>
      </c>
      <c r="D39" s="31" t="s">
        <v>71</v>
      </c>
      <c r="E39" s="31" t="s">
        <v>44</v>
      </c>
      <c r="F39" s="31" t="n">
        <v>5</v>
      </c>
      <c r="G39" s="33" t="n">
        <v>1490</v>
      </c>
      <c r="H39" s="33" t="n">
        <v>853</v>
      </c>
    </row>
    <row r="40" customFormat="false" ht="15" hidden="false" customHeight="true" outlineLevel="0" collapsed="false">
      <c r="A40" s="31" t="s">
        <v>118</v>
      </c>
      <c r="B40" s="32" t="n">
        <v>45693</v>
      </c>
      <c r="C40" s="31" t="s">
        <v>36</v>
      </c>
      <c r="D40" s="31" t="s">
        <v>69</v>
      </c>
      <c r="E40" s="31" t="s">
        <v>47</v>
      </c>
      <c r="F40" s="31" t="n">
        <v>1</v>
      </c>
      <c r="G40" s="33" t="n">
        <v>1893</v>
      </c>
      <c r="H40" s="33" t="n">
        <v>1129</v>
      </c>
    </row>
    <row r="41" customFormat="false" ht="15" hidden="false" customHeight="true" outlineLevel="0" collapsed="false">
      <c r="A41" s="31" t="s">
        <v>119</v>
      </c>
      <c r="B41" s="32" t="n">
        <v>45694</v>
      </c>
      <c r="C41" s="31" t="s">
        <v>38</v>
      </c>
      <c r="D41" s="31" t="s">
        <v>69</v>
      </c>
      <c r="E41" s="31" t="s">
        <v>43</v>
      </c>
      <c r="F41" s="31" t="n">
        <v>6</v>
      </c>
      <c r="G41" s="33" t="n">
        <v>21354</v>
      </c>
      <c r="H41" s="33" t="n">
        <v>16649</v>
      </c>
    </row>
    <row r="42" customFormat="false" ht="15" hidden="false" customHeight="true" outlineLevel="0" collapsed="false">
      <c r="A42" s="31" t="s">
        <v>120</v>
      </c>
      <c r="B42" s="32" t="n">
        <v>45695</v>
      </c>
      <c r="C42" s="31" t="s">
        <v>39</v>
      </c>
      <c r="D42" s="31" t="s">
        <v>70</v>
      </c>
      <c r="E42" s="31" t="s">
        <v>44</v>
      </c>
      <c r="F42" s="31" t="n">
        <v>1</v>
      </c>
      <c r="G42" s="33" t="n">
        <v>2806</v>
      </c>
      <c r="H42" s="33" t="n">
        <v>2035</v>
      </c>
    </row>
    <row r="43" customFormat="false" ht="15" hidden="false" customHeight="true" outlineLevel="0" collapsed="false">
      <c r="A43" s="31" t="s">
        <v>121</v>
      </c>
      <c r="B43" s="32" t="n">
        <v>45695</v>
      </c>
      <c r="C43" s="31" t="s">
        <v>38</v>
      </c>
      <c r="D43" s="31" t="s">
        <v>69</v>
      </c>
      <c r="E43" s="31" t="s">
        <v>46</v>
      </c>
      <c r="F43" s="31" t="n">
        <v>2</v>
      </c>
      <c r="G43" s="33" t="n">
        <v>4670</v>
      </c>
      <c r="H43" s="33" t="n">
        <v>2754</v>
      </c>
    </row>
    <row r="44" customFormat="false" ht="15" hidden="false" customHeight="true" outlineLevel="0" collapsed="false">
      <c r="A44" s="31" t="s">
        <v>122</v>
      </c>
      <c r="B44" s="32" t="n">
        <v>45695</v>
      </c>
      <c r="C44" s="31" t="s">
        <v>39</v>
      </c>
      <c r="D44" s="31" t="s">
        <v>68</v>
      </c>
      <c r="E44" s="31" t="s">
        <v>43</v>
      </c>
      <c r="F44" s="31" t="n">
        <v>2</v>
      </c>
      <c r="G44" s="33" t="n">
        <v>3574</v>
      </c>
      <c r="H44" s="33" t="n">
        <v>2017</v>
      </c>
    </row>
    <row r="45" customFormat="false" ht="15" hidden="false" customHeight="true" outlineLevel="0" collapsed="false">
      <c r="A45" s="31" t="s">
        <v>123</v>
      </c>
      <c r="B45" s="32" t="n">
        <v>45695</v>
      </c>
      <c r="C45" s="31" t="s">
        <v>36</v>
      </c>
      <c r="D45" s="31" t="s">
        <v>71</v>
      </c>
      <c r="E45" s="31" t="s">
        <v>48</v>
      </c>
      <c r="F45" s="31" t="n">
        <v>6</v>
      </c>
      <c r="G45" s="33" t="n">
        <v>1800</v>
      </c>
      <c r="H45" s="33" t="n">
        <v>1183</v>
      </c>
    </row>
    <row r="46" customFormat="false" ht="15" hidden="false" customHeight="true" outlineLevel="0" collapsed="false">
      <c r="A46" s="31" t="s">
        <v>124</v>
      </c>
      <c r="B46" s="32" t="n">
        <v>45696</v>
      </c>
      <c r="C46" s="31" t="s">
        <v>37</v>
      </c>
      <c r="D46" s="31" t="s">
        <v>69</v>
      </c>
      <c r="E46" s="31" t="s">
        <v>45</v>
      </c>
      <c r="F46" s="31" t="n">
        <v>6</v>
      </c>
      <c r="G46" s="33" t="n">
        <v>9324</v>
      </c>
      <c r="H46" s="33" t="n">
        <v>6488</v>
      </c>
    </row>
    <row r="47" customFormat="false" ht="15" hidden="false" customHeight="true" outlineLevel="0" collapsed="false">
      <c r="A47" s="31" t="s">
        <v>125</v>
      </c>
      <c r="B47" s="32" t="n">
        <v>45696</v>
      </c>
      <c r="C47" s="31" t="s">
        <v>39</v>
      </c>
      <c r="D47" s="31" t="s">
        <v>69</v>
      </c>
      <c r="E47" s="31" t="s">
        <v>45</v>
      </c>
      <c r="F47" s="31" t="n">
        <v>8</v>
      </c>
      <c r="G47" s="33" t="n">
        <v>23776</v>
      </c>
      <c r="H47" s="33" t="n">
        <v>17120</v>
      </c>
    </row>
    <row r="48" customFormat="false" ht="15" hidden="false" customHeight="true" outlineLevel="0" collapsed="false">
      <c r="A48" s="31" t="s">
        <v>126</v>
      </c>
      <c r="B48" s="32" t="n">
        <v>45696</v>
      </c>
      <c r="C48" s="31" t="s">
        <v>36</v>
      </c>
      <c r="D48" s="31" t="s">
        <v>71</v>
      </c>
      <c r="E48" s="31" t="s">
        <v>43</v>
      </c>
      <c r="F48" s="31" t="n">
        <v>2</v>
      </c>
      <c r="G48" s="33" t="n">
        <v>724</v>
      </c>
      <c r="H48" s="33" t="n">
        <v>530</v>
      </c>
    </row>
    <row r="49" customFormat="false" ht="15" hidden="false" customHeight="true" outlineLevel="0" collapsed="false">
      <c r="A49" s="31" t="s">
        <v>127</v>
      </c>
      <c r="B49" s="32" t="n">
        <v>45697</v>
      </c>
      <c r="C49" s="31" t="s">
        <v>36</v>
      </c>
      <c r="D49" s="31" t="s">
        <v>68</v>
      </c>
      <c r="E49" s="31" t="s">
        <v>46</v>
      </c>
      <c r="F49" s="31" t="n">
        <v>7</v>
      </c>
      <c r="G49" s="33" t="n">
        <v>12362</v>
      </c>
      <c r="H49" s="33" t="n">
        <v>8504</v>
      </c>
    </row>
    <row r="50" customFormat="false" ht="15" hidden="false" customHeight="true" outlineLevel="0" collapsed="false">
      <c r="A50" s="31" t="s">
        <v>128</v>
      </c>
      <c r="B50" s="32" t="n">
        <v>45698</v>
      </c>
      <c r="C50" s="31" t="s">
        <v>39</v>
      </c>
      <c r="D50" s="31" t="s">
        <v>69</v>
      </c>
      <c r="E50" s="31" t="s">
        <v>44</v>
      </c>
      <c r="F50" s="31" t="n">
        <v>2</v>
      </c>
      <c r="G50" s="33" t="n">
        <v>4310</v>
      </c>
      <c r="H50" s="33" t="n">
        <v>3178</v>
      </c>
    </row>
    <row r="51" customFormat="false" ht="15" hidden="false" customHeight="true" outlineLevel="0" collapsed="false">
      <c r="A51" s="31" t="s">
        <v>129</v>
      </c>
      <c r="B51" s="32" t="n">
        <v>45699</v>
      </c>
      <c r="C51" s="31" t="s">
        <v>38</v>
      </c>
      <c r="D51" s="31" t="s">
        <v>68</v>
      </c>
      <c r="E51" s="31" t="s">
        <v>48</v>
      </c>
      <c r="F51" s="31" t="n">
        <v>6</v>
      </c>
      <c r="G51" s="33" t="n">
        <v>13026</v>
      </c>
      <c r="H51" s="33" t="n">
        <v>8457</v>
      </c>
    </row>
    <row r="52" customFormat="false" ht="15" hidden="false" customHeight="true" outlineLevel="0" collapsed="false">
      <c r="A52" s="31" t="s">
        <v>130</v>
      </c>
      <c r="B52" s="32" t="n">
        <v>45700</v>
      </c>
      <c r="C52" s="31" t="s">
        <v>36</v>
      </c>
      <c r="D52" s="31" t="s">
        <v>69</v>
      </c>
      <c r="E52" s="31" t="s">
        <v>49</v>
      </c>
      <c r="F52" s="31" t="n">
        <v>3</v>
      </c>
      <c r="G52" s="33" t="n">
        <v>5364</v>
      </c>
      <c r="H52" s="33" t="n">
        <v>3934</v>
      </c>
    </row>
    <row r="53" customFormat="false" ht="15" hidden="false" customHeight="true" outlineLevel="0" collapsed="false">
      <c r="A53" s="31" t="s">
        <v>131</v>
      </c>
      <c r="B53" s="32" t="n">
        <v>45700</v>
      </c>
      <c r="C53" s="31" t="s">
        <v>37</v>
      </c>
      <c r="D53" s="31" t="s">
        <v>69</v>
      </c>
      <c r="E53" s="31" t="s">
        <v>45</v>
      </c>
      <c r="F53" s="31" t="n">
        <v>6</v>
      </c>
      <c r="G53" s="33" t="n">
        <v>24696</v>
      </c>
      <c r="H53" s="33" t="n">
        <v>18710</v>
      </c>
    </row>
    <row r="54" customFormat="false" ht="15" hidden="false" customHeight="true" outlineLevel="0" collapsed="false">
      <c r="A54" s="31" t="s">
        <v>132</v>
      </c>
      <c r="B54" s="32" t="n">
        <v>45701</v>
      </c>
      <c r="C54" s="31" t="s">
        <v>39</v>
      </c>
      <c r="D54" s="31" t="s">
        <v>69</v>
      </c>
      <c r="E54" s="31" t="s">
        <v>44</v>
      </c>
      <c r="F54" s="31" t="n">
        <v>5</v>
      </c>
      <c r="G54" s="33" t="n">
        <v>14415</v>
      </c>
      <c r="H54" s="33" t="n">
        <v>8645</v>
      </c>
    </row>
    <row r="55" customFormat="false" ht="15" hidden="false" customHeight="true" outlineLevel="0" collapsed="false">
      <c r="A55" s="31" t="s">
        <v>133</v>
      </c>
      <c r="B55" s="32" t="n">
        <v>45701</v>
      </c>
      <c r="C55" s="31" t="s">
        <v>38</v>
      </c>
      <c r="D55" s="31" t="s">
        <v>71</v>
      </c>
      <c r="E55" s="31" t="s">
        <v>43</v>
      </c>
      <c r="F55" s="31" t="n">
        <v>7</v>
      </c>
      <c r="G55" s="33" t="n">
        <v>2541</v>
      </c>
      <c r="H55" s="33" t="n">
        <v>1982</v>
      </c>
    </row>
    <row r="56" customFormat="false" ht="15" hidden="false" customHeight="true" outlineLevel="0" collapsed="false">
      <c r="A56" s="31" t="s">
        <v>134</v>
      </c>
      <c r="B56" s="32" t="n">
        <v>45702</v>
      </c>
      <c r="C56" s="31" t="s">
        <v>38</v>
      </c>
      <c r="D56" s="31" t="s">
        <v>71</v>
      </c>
      <c r="E56" s="31" t="s">
        <v>46</v>
      </c>
      <c r="F56" s="31" t="n">
        <v>1</v>
      </c>
      <c r="G56" s="33" t="n">
        <v>158</v>
      </c>
      <c r="H56" s="33" t="n">
        <v>109</v>
      </c>
    </row>
    <row r="57" customFormat="false" ht="15" hidden="false" customHeight="true" outlineLevel="0" collapsed="false">
      <c r="A57" s="31" t="s">
        <v>135</v>
      </c>
      <c r="B57" s="32" t="n">
        <v>45702</v>
      </c>
      <c r="C57" s="31" t="s">
        <v>39</v>
      </c>
      <c r="D57" s="31" t="s">
        <v>70</v>
      </c>
      <c r="E57" s="31" t="s">
        <v>42</v>
      </c>
      <c r="F57" s="31" t="n">
        <v>1</v>
      </c>
      <c r="G57" s="33" t="n">
        <v>8736</v>
      </c>
      <c r="H57" s="33" t="n">
        <v>5198</v>
      </c>
    </row>
    <row r="58" customFormat="false" ht="15" hidden="false" customHeight="true" outlineLevel="0" collapsed="false">
      <c r="A58" s="31" t="s">
        <v>136</v>
      </c>
      <c r="B58" s="32" t="n">
        <v>45704</v>
      </c>
      <c r="C58" s="31" t="s">
        <v>39</v>
      </c>
      <c r="D58" s="31" t="s">
        <v>69</v>
      </c>
      <c r="E58" s="31" t="s">
        <v>43</v>
      </c>
      <c r="F58" s="31" t="n">
        <v>5</v>
      </c>
      <c r="G58" s="33" t="n">
        <v>13145</v>
      </c>
      <c r="H58" s="33" t="n">
        <v>9968</v>
      </c>
    </row>
    <row r="59" customFormat="false" ht="15" hidden="false" customHeight="true" outlineLevel="0" collapsed="false">
      <c r="A59" s="31" t="s">
        <v>137</v>
      </c>
      <c r="B59" s="32" t="n">
        <v>45704</v>
      </c>
      <c r="C59" s="31" t="s">
        <v>37</v>
      </c>
      <c r="D59" s="31" t="s">
        <v>71</v>
      </c>
      <c r="E59" s="31" t="s">
        <v>48</v>
      </c>
      <c r="F59" s="31" t="n">
        <v>2</v>
      </c>
      <c r="G59" s="33" t="n">
        <v>762</v>
      </c>
      <c r="H59" s="33" t="n">
        <v>524</v>
      </c>
    </row>
    <row r="60" customFormat="false" ht="15" hidden="false" customHeight="true" outlineLevel="0" collapsed="false">
      <c r="A60" s="31" t="s">
        <v>138</v>
      </c>
      <c r="B60" s="32" t="n">
        <v>45704</v>
      </c>
      <c r="C60" s="31" t="s">
        <v>38</v>
      </c>
      <c r="D60" s="31" t="s">
        <v>68</v>
      </c>
      <c r="E60" s="31" t="s">
        <v>49</v>
      </c>
      <c r="F60" s="31" t="n">
        <v>3</v>
      </c>
      <c r="G60" s="33" t="n">
        <v>4170</v>
      </c>
      <c r="H60" s="33" t="n">
        <v>2746</v>
      </c>
    </row>
    <row r="61" customFormat="false" ht="15" hidden="false" customHeight="true" outlineLevel="0" collapsed="false">
      <c r="A61" s="31" t="s">
        <v>139</v>
      </c>
      <c r="B61" s="32" t="n">
        <v>45705</v>
      </c>
      <c r="C61" s="31" t="s">
        <v>39</v>
      </c>
      <c r="D61" s="31" t="s">
        <v>71</v>
      </c>
      <c r="E61" s="31" t="s">
        <v>46</v>
      </c>
      <c r="F61" s="31" t="n">
        <v>1</v>
      </c>
      <c r="G61" s="33" t="n">
        <v>319</v>
      </c>
      <c r="H61" s="33" t="n">
        <v>245</v>
      </c>
    </row>
    <row r="62" customFormat="false" ht="15" hidden="false" customHeight="true" outlineLevel="0" collapsed="false">
      <c r="A62" s="31" t="s">
        <v>140</v>
      </c>
      <c r="B62" s="32" t="n">
        <v>45706</v>
      </c>
      <c r="C62" s="31" t="s">
        <v>39</v>
      </c>
      <c r="D62" s="31" t="s">
        <v>71</v>
      </c>
      <c r="E62" s="31" t="s">
        <v>46</v>
      </c>
      <c r="F62" s="31" t="n">
        <v>5</v>
      </c>
      <c r="G62" s="33" t="n">
        <v>1435</v>
      </c>
      <c r="H62" s="33" t="n">
        <v>964</v>
      </c>
    </row>
    <row r="63" customFormat="false" ht="15" hidden="false" customHeight="true" outlineLevel="0" collapsed="false">
      <c r="A63" s="31" t="s">
        <v>141</v>
      </c>
      <c r="B63" s="32" t="n">
        <v>45709</v>
      </c>
      <c r="C63" s="31" t="s">
        <v>36</v>
      </c>
      <c r="D63" s="31" t="s">
        <v>71</v>
      </c>
      <c r="E63" s="31" t="s">
        <v>42</v>
      </c>
      <c r="F63" s="31" t="n">
        <v>5</v>
      </c>
      <c r="G63" s="33" t="n">
        <v>2195</v>
      </c>
      <c r="H63" s="33" t="n">
        <v>1569</v>
      </c>
    </row>
    <row r="64" customFormat="false" ht="15" hidden="false" customHeight="true" outlineLevel="0" collapsed="false">
      <c r="A64" s="31" t="s">
        <v>142</v>
      </c>
      <c r="B64" s="32" t="n">
        <v>45709</v>
      </c>
      <c r="C64" s="31" t="s">
        <v>38</v>
      </c>
      <c r="D64" s="31" t="s">
        <v>69</v>
      </c>
      <c r="E64" s="31" t="s">
        <v>48</v>
      </c>
      <c r="F64" s="31" t="n">
        <v>4</v>
      </c>
      <c r="G64" s="33" t="n">
        <v>15596</v>
      </c>
      <c r="H64" s="33" t="n">
        <v>8731</v>
      </c>
    </row>
    <row r="65" customFormat="false" ht="15" hidden="false" customHeight="true" outlineLevel="0" collapsed="false">
      <c r="A65" s="31" t="s">
        <v>143</v>
      </c>
      <c r="B65" s="32" t="n">
        <v>45711</v>
      </c>
      <c r="C65" s="31" t="s">
        <v>39</v>
      </c>
      <c r="D65" s="31" t="s">
        <v>71</v>
      </c>
      <c r="E65" s="31" t="s">
        <v>42</v>
      </c>
      <c r="F65" s="31" t="n">
        <v>7</v>
      </c>
      <c r="G65" s="33" t="n">
        <v>889</v>
      </c>
      <c r="H65" s="33" t="n">
        <v>672</v>
      </c>
    </row>
    <row r="66" customFormat="false" ht="15" hidden="false" customHeight="true" outlineLevel="0" collapsed="false">
      <c r="A66" s="31" t="s">
        <v>144</v>
      </c>
      <c r="B66" s="32" t="n">
        <v>45713</v>
      </c>
      <c r="C66" s="31" t="s">
        <v>38</v>
      </c>
      <c r="D66" s="31" t="s">
        <v>71</v>
      </c>
      <c r="E66" s="31" t="s">
        <v>48</v>
      </c>
      <c r="F66" s="31" t="n">
        <v>6</v>
      </c>
      <c r="G66" s="33" t="n">
        <v>822</v>
      </c>
      <c r="H66" s="33" t="n">
        <v>603</v>
      </c>
    </row>
    <row r="67" customFormat="false" ht="15" hidden="false" customHeight="true" outlineLevel="0" collapsed="false">
      <c r="A67" s="31" t="s">
        <v>145</v>
      </c>
      <c r="B67" s="32" t="n">
        <v>45713</v>
      </c>
      <c r="C67" s="31" t="s">
        <v>37</v>
      </c>
      <c r="D67" s="31" t="s">
        <v>71</v>
      </c>
      <c r="E67" s="31" t="s">
        <v>43</v>
      </c>
      <c r="F67" s="31" t="n">
        <v>5</v>
      </c>
      <c r="G67" s="33" t="n">
        <v>2990</v>
      </c>
      <c r="H67" s="33" t="n">
        <v>2164</v>
      </c>
    </row>
    <row r="68" customFormat="false" ht="15" hidden="false" customHeight="true" outlineLevel="0" collapsed="false">
      <c r="A68" s="31" t="s">
        <v>146</v>
      </c>
      <c r="B68" s="32" t="n">
        <v>45713</v>
      </c>
      <c r="C68" s="31" t="s">
        <v>38</v>
      </c>
      <c r="D68" s="31" t="s">
        <v>68</v>
      </c>
      <c r="E68" s="31" t="s">
        <v>43</v>
      </c>
      <c r="F68" s="31" t="n">
        <v>8</v>
      </c>
      <c r="G68" s="33" t="n">
        <v>7160</v>
      </c>
      <c r="H68" s="33" t="n">
        <v>5550</v>
      </c>
    </row>
    <row r="69" customFormat="false" ht="15" hidden="false" customHeight="true" outlineLevel="0" collapsed="false">
      <c r="A69" s="31" t="s">
        <v>147</v>
      </c>
      <c r="B69" s="32" t="n">
        <v>45717</v>
      </c>
      <c r="C69" s="31" t="s">
        <v>37</v>
      </c>
      <c r="D69" s="31" t="s">
        <v>69</v>
      </c>
      <c r="E69" s="31" t="s">
        <v>47</v>
      </c>
      <c r="F69" s="31" t="n">
        <v>7</v>
      </c>
      <c r="G69" s="33" t="n">
        <v>23562</v>
      </c>
      <c r="H69" s="33" t="n">
        <v>13598</v>
      </c>
    </row>
    <row r="70" customFormat="false" ht="15" hidden="false" customHeight="true" outlineLevel="0" collapsed="false">
      <c r="A70" s="31" t="s">
        <v>148</v>
      </c>
      <c r="B70" s="32" t="n">
        <v>45717</v>
      </c>
      <c r="C70" s="31" t="s">
        <v>39</v>
      </c>
      <c r="D70" s="31" t="s">
        <v>71</v>
      </c>
      <c r="E70" s="31" t="s">
        <v>49</v>
      </c>
      <c r="F70" s="31" t="n">
        <v>2</v>
      </c>
      <c r="G70" s="33" t="n">
        <v>572</v>
      </c>
      <c r="H70" s="33" t="n">
        <v>373</v>
      </c>
    </row>
    <row r="71" customFormat="false" ht="15" hidden="false" customHeight="true" outlineLevel="0" collapsed="false">
      <c r="A71" s="31" t="s">
        <v>149</v>
      </c>
      <c r="B71" s="32" t="n">
        <v>45718</v>
      </c>
      <c r="C71" s="31" t="s">
        <v>38</v>
      </c>
      <c r="D71" s="31" t="s">
        <v>71</v>
      </c>
      <c r="E71" s="31" t="s">
        <v>46</v>
      </c>
      <c r="F71" s="31" t="n">
        <v>7</v>
      </c>
      <c r="G71" s="33" t="n">
        <v>2002</v>
      </c>
      <c r="H71" s="33" t="n">
        <v>1459</v>
      </c>
    </row>
    <row r="72" customFormat="false" ht="15" hidden="false" customHeight="true" outlineLevel="0" collapsed="false">
      <c r="A72" s="31" t="s">
        <v>150</v>
      </c>
      <c r="B72" s="32" t="n">
        <v>45722</v>
      </c>
      <c r="C72" s="31" t="s">
        <v>36</v>
      </c>
      <c r="D72" s="31" t="s">
        <v>71</v>
      </c>
      <c r="E72" s="31" t="s">
        <v>47</v>
      </c>
      <c r="F72" s="31" t="n">
        <v>4</v>
      </c>
      <c r="G72" s="33" t="n">
        <v>1384</v>
      </c>
      <c r="H72" s="33" t="n">
        <v>797</v>
      </c>
    </row>
    <row r="73" customFormat="false" ht="15" hidden="false" customHeight="true" outlineLevel="0" collapsed="false">
      <c r="A73" s="31" t="s">
        <v>151</v>
      </c>
      <c r="B73" s="32" t="n">
        <v>45723</v>
      </c>
      <c r="C73" s="31" t="s">
        <v>38</v>
      </c>
      <c r="D73" s="31" t="s">
        <v>69</v>
      </c>
      <c r="E73" s="31" t="s">
        <v>45</v>
      </c>
      <c r="F73" s="31" t="n">
        <v>4</v>
      </c>
      <c r="G73" s="33" t="n">
        <v>16372</v>
      </c>
      <c r="H73" s="33" t="n">
        <v>10054</v>
      </c>
    </row>
    <row r="74" customFormat="false" ht="15" hidden="false" customHeight="true" outlineLevel="0" collapsed="false">
      <c r="A74" s="31" t="s">
        <v>152</v>
      </c>
      <c r="B74" s="32" t="n">
        <v>45724</v>
      </c>
      <c r="C74" s="31" t="s">
        <v>37</v>
      </c>
      <c r="D74" s="31" t="s">
        <v>68</v>
      </c>
      <c r="E74" s="31" t="s">
        <v>42</v>
      </c>
      <c r="F74" s="31" t="n">
        <v>4</v>
      </c>
      <c r="G74" s="33" t="n">
        <v>9596</v>
      </c>
      <c r="H74" s="33" t="n">
        <v>6786</v>
      </c>
    </row>
    <row r="75" customFormat="false" ht="15" hidden="false" customHeight="true" outlineLevel="0" collapsed="false">
      <c r="A75" s="31" t="s">
        <v>153</v>
      </c>
      <c r="B75" s="32" t="n">
        <v>45725</v>
      </c>
      <c r="C75" s="31" t="s">
        <v>37</v>
      </c>
      <c r="D75" s="31" t="s">
        <v>69</v>
      </c>
      <c r="E75" s="31" t="s">
        <v>45</v>
      </c>
      <c r="F75" s="31" t="n">
        <v>7</v>
      </c>
      <c r="G75" s="33" t="n">
        <v>11270</v>
      </c>
      <c r="H75" s="33" t="n">
        <v>7814</v>
      </c>
    </row>
    <row r="76" customFormat="false" ht="15" hidden="false" customHeight="true" outlineLevel="0" collapsed="false">
      <c r="A76" s="31" t="s">
        <v>154</v>
      </c>
      <c r="B76" s="32" t="n">
        <v>45725</v>
      </c>
      <c r="C76" s="31" t="s">
        <v>38</v>
      </c>
      <c r="D76" s="31" t="s">
        <v>71</v>
      </c>
      <c r="E76" s="31" t="s">
        <v>45</v>
      </c>
      <c r="F76" s="31" t="n">
        <v>2</v>
      </c>
      <c r="G76" s="33" t="n">
        <v>972</v>
      </c>
      <c r="H76" s="33" t="n">
        <v>554</v>
      </c>
    </row>
    <row r="77" customFormat="false" ht="15" hidden="false" customHeight="true" outlineLevel="0" collapsed="false">
      <c r="A77" s="31" t="s">
        <v>155</v>
      </c>
      <c r="B77" s="32" t="n">
        <v>45726</v>
      </c>
      <c r="C77" s="31" t="s">
        <v>38</v>
      </c>
      <c r="D77" s="31" t="s">
        <v>71</v>
      </c>
      <c r="E77" s="31" t="s">
        <v>47</v>
      </c>
      <c r="F77" s="31" t="n">
        <v>6</v>
      </c>
      <c r="G77" s="33" t="n">
        <v>2082</v>
      </c>
      <c r="H77" s="33" t="n">
        <v>1374</v>
      </c>
    </row>
    <row r="78" customFormat="false" ht="15" hidden="false" customHeight="true" outlineLevel="0" collapsed="false">
      <c r="A78" s="31" t="s">
        <v>156</v>
      </c>
      <c r="B78" s="32" t="n">
        <v>45727</v>
      </c>
      <c r="C78" s="31" t="s">
        <v>39</v>
      </c>
      <c r="D78" s="31" t="s">
        <v>70</v>
      </c>
      <c r="E78" s="31" t="s">
        <v>45</v>
      </c>
      <c r="F78" s="31" t="n">
        <v>3</v>
      </c>
      <c r="G78" s="33" t="n">
        <v>9327</v>
      </c>
      <c r="H78" s="33" t="n">
        <v>6851</v>
      </c>
    </row>
    <row r="79" customFormat="false" ht="15" hidden="false" customHeight="true" outlineLevel="0" collapsed="false">
      <c r="A79" s="31" t="s">
        <v>157</v>
      </c>
      <c r="B79" s="32" t="n">
        <v>45727</v>
      </c>
      <c r="C79" s="31" t="s">
        <v>36</v>
      </c>
      <c r="D79" s="31" t="s">
        <v>70</v>
      </c>
      <c r="E79" s="31" t="s">
        <v>44</v>
      </c>
      <c r="F79" s="31" t="n">
        <v>5</v>
      </c>
      <c r="G79" s="33" t="n">
        <v>28475</v>
      </c>
      <c r="H79" s="33" t="n">
        <v>20965</v>
      </c>
    </row>
    <row r="80" customFormat="false" ht="15" hidden="false" customHeight="true" outlineLevel="0" collapsed="false">
      <c r="A80" s="31" t="s">
        <v>158</v>
      </c>
      <c r="B80" s="32" t="n">
        <v>45728</v>
      </c>
      <c r="C80" s="31" t="s">
        <v>38</v>
      </c>
      <c r="D80" s="31" t="s">
        <v>71</v>
      </c>
      <c r="E80" s="31" t="s">
        <v>48</v>
      </c>
      <c r="F80" s="31" t="n">
        <v>6</v>
      </c>
      <c r="G80" s="33" t="n">
        <v>1488</v>
      </c>
      <c r="H80" s="33" t="n">
        <v>1006</v>
      </c>
    </row>
    <row r="81" customFormat="false" ht="15" hidden="false" customHeight="true" outlineLevel="0" collapsed="false">
      <c r="A81" s="31" t="s">
        <v>159</v>
      </c>
      <c r="B81" s="32" t="n">
        <v>45729</v>
      </c>
      <c r="C81" s="31" t="s">
        <v>37</v>
      </c>
      <c r="D81" s="31" t="s">
        <v>71</v>
      </c>
      <c r="E81" s="31" t="s">
        <v>43</v>
      </c>
      <c r="F81" s="31" t="n">
        <v>2</v>
      </c>
      <c r="G81" s="33" t="n">
        <v>672</v>
      </c>
      <c r="H81" s="33" t="n">
        <v>505</v>
      </c>
    </row>
    <row r="82" customFormat="false" ht="15" hidden="false" customHeight="true" outlineLevel="0" collapsed="false">
      <c r="A82" s="31" t="s">
        <v>160</v>
      </c>
      <c r="B82" s="32" t="n">
        <v>45730</v>
      </c>
      <c r="C82" s="31" t="s">
        <v>37</v>
      </c>
      <c r="D82" s="31" t="s">
        <v>70</v>
      </c>
      <c r="E82" s="31" t="s">
        <v>43</v>
      </c>
      <c r="F82" s="31" t="n">
        <v>8</v>
      </c>
      <c r="G82" s="33" t="n">
        <v>64912</v>
      </c>
      <c r="H82" s="33" t="n">
        <v>42622</v>
      </c>
    </row>
    <row r="83" customFormat="false" ht="15" hidden="false" customHeight="true" outlineLevel="0" collapsed="false">
      <c r="A83" s="31" t="s">
        <v>161</v>
      </c>
      <c r="B83" s="32" t="n">
        <v>45732</v>
      </c>
      <c r="C83" s="31" t="s">
        <v>36</v>
      </c>
      <c r="D83" s="31" t="s">
        <v>70</v>
      </c>
      <c r="E83" s="31" t="s">
        <v>46</v>
      </c>
      <c r="F83" s="31" t="n">
        <v>2</v>
      </c>
      <c r="G83" s="33" t="n">
        <v>16388</v>
      </c>
      <c r="H83" s="33" t="n">
        <v>10159</v>
      </c>
    </row>
    <row r="84" customFormat="false" ht="15" hidden="false" customHeight="true" outlineLevel="0" collapsed="false">
      <c r="A84" s="31" t="s">
        <v>162</v>
      </c>
      <c r="B84" s="32" t="n">
        <v>45736</v>
      </c>
      <c r="C84" s="31" t="s">
        <v>36</v>
      </c>
      <c r="D84" s="31" t="s">
        <v>68</v>
      </c>
      <c r="E84" s="31" t="s">
        <v>47</v>
      </c>
      <c r="F84" s="31" t="n">
        <v>4</v>
      </c>
      <c r="G84" s="33" t="n">
        <v>5328</v>
      </c>
      <c r="H84" s="33" t="n">
        <v>3736</v>
      </c>
    </row>
    <row r="85" customFormat="false" ht="15" hidden="false" customHeight="true" outlineLevel="0" collapsed="false">
      <c r="A85" s="31" t="s">
        <v>163</v>
      </c>
      <c r="B85" s="32" t="n">
        <v>45738</v>
      </c>
      <c r="C85" s="31" t="s">
        <v>36</v>
      </c>
      <c r="D85" s="31" t="s">
        <v>68</v>
      </c>
      <c r="E85" s="31" t="s">
        <v>49</v>
      </c>
      <c r="F85" s="31" t="n">
        <v>6</v>
      </c>
      <c r="G85" s="33" t="n">
        <v>12312</v>
      </c>
      <c r="H85" s="33" t="n">
        <v>8020</v>
      </c>
    </row>
    <row r="86" customFormat="false" ht="15" hidden="false" customHeight="true" outlineLevel="0" collapsed="false">
      <c r="A86" s="31" t="s">
        <v>164</v>
      </c>
      <c r="B86" s="32" t="n">
        <v>45739</v>
      </c>
      <c r="C86" s="31" t="s">
        <v>39</v>
      </c>
      <c r="D86" s="31" t="s">
        <v>71</v>
      </c>
      <c r="E86" s="31" t="s">
        <v>45</v>
      </c>
      <c r="F86" s="31" t="n">
        <v>5</v>
      </c>
      <c r="G86" s="33" t="n">
        <v>1670</v>
      </c>
      <c r="H86" s="33" t="n">
        <v>1040</v>
      </c>
    </row>
    <row r="87" customFormat="false" ht="15" hidden="false" customHeight="true" outlineLevel="0" collapsed="false">
      <c r="A87" s="31" t="s">
        <v>165</v>
      </c>
      <c r="B87" s="32" t="n">
        <v>45747</v>
      </c>
      <c r="C87" s="31" t="s">
        <v>39</v>
      </c>
      <c r="D87" s="31" t="s">
        <v>69</v>
      </c>
      <c r="E87" s="31" t="s">
        <v>48</v>
      </c>
      <c r="F87" s="31" t="n">
        <v>6</v>
      </c>
      <c r="G87" s="33" t="n">
        <v>9588</v>
      </c>
      <c r="H87" s="33" t="n">
        <v>6075</v>
      </c>
    </row>
    <row r="88" customFormat="false" ht="15" hidden="false" customHeight="true" outlineLevel="0" collapsed="false">
      <c r="A88" s="31" t="s">
        <v>166</v>
      </c>
      <c r="B88" s="32" t="n">
        <v>45748</v>
      </c>
      <c r="C88" s="31" t="s">
        <v>38</v>
      </c>
      <c r="D88" s="31" t="s">
        <v>71</v>
      </c>
      <c r="E88" s="31" t="s">
        <v>44</v>
      </c>
      <c r="F88" s="31" t="n">
        <v>6</v>
      </c>
      <c r="G88" s="33" t="n">
        <v>3048</v>
      </c>
      <c r="H88" s="33" t="n">
        <v>1950</v>
      </c>
    </row>
    <row r="89" customFormat="false" ht="15" hidden="false" customHeight="true" outlineLevel="0" collapsed="false">
      <c r="A89" s="31" t="s">
        <v>167</v>
      </c>
      <c r="B89" s="32" t="n">
        <v>45748</v>
      </c>
      <c r="C89" s="31" t="s">
        <v>38</v>
      </c>
      <c r="D89" s="31" t="s">
        <v>69</v>
      </c>
      <c r="E89" s="31" t="s">
        <v>42</v>
      </c>
      <c r="F89" s="31" t="n">
        <v>8</v>
      </c>
      <c r="G89" s="33" t="n">
        <v>21216</v>
      </c>
      <c r="H89" s="33" t="n">
        <v>15630</v>
      </c>
    </row>
    <row r="90" customFormat="false" ht="15" hidden="false" customHeight="true" outlineLevel="0" collapsed="false">
      <c r="A90" s="31" t="s">
        <v>168</v>
      </c>
      <c r="B90" s="32" t="n">
        <v>45751</v>
      </c>
      <c r="C90" s="31" t="s">
        <v>39</v>
      </c>
      <c r="D90" s="31" t="s">
        <v>71</v>
      </c>
      <c r="E90" s="31" t="s">
        <v>43</v>
      </c>
      <c r="F90" s="31" t="n">
        <v>5</v>
      </c>
      <c r="G90" s="33" t="n">
        <v>2970</v>
      </c>
      <c r="H90" s="33" t="n">
        <v>1649</v>
      </c>
    </row>
    <row r="91" customFormat="false" ht="15" hidden="false" customHeight="true" outlineLevel="0" collapsed="false">
      <c r="A91" s="31" t="s">
        <v>169</v>
      </c>
      <c r="B91" s="32" t="n">
        <v>45752</v>
      </c>
      <c r="C91" s="31" t="s">
        <v>36</v>
      </c>
      <c r="D91" s="31" t="s">
        <v>71</v>
      </c>
      <c r="E91" s="31" t="s">
        <v>43</v>
      </c>
      <c r="F91" s="31" t="n">
        <v>5</v>
      </c>
      <c r="G91" s="33" t="n">
        <v>2515</v>
      </c>
      <c r="H91" s="33" t="n">
        <v>1699</v>
      </c>
    </row>
    <row r="92" customFormat="false" ht="15" hidden="false" customHeight="true" outlineLevel="0" collapsed="false">
      <c r="A92" s="31" t="s">
        <v>170</v>
      </c>
      <c r="B92" s="32" t="n">
        <v>45753</v>
      </c>
      <c r="C92" s="31" t="s">
        <v>38</v>
      </c>
      <c r="D92" s="31" t="s">
        <v>69</v>
      </c>
      <c r="E92" s="31" t="s">
        <v>43</v>
      </c>
      <c r="F92" s="31" t="n">
        <v>2</v>
      </c>
      <c r="G92" s="33" t="n">
        <v>5570</v>
      </c>
      <c r="H92" s="33" t="n">
        <v>3172</v>
      </c>
    </row>
    <row r="93" customFormat="false" ht="15" hidden="false" customHeight="true" outlineLevel="0" collapsed="false">
      <c r="A93" s="31" t="s">
        <v>171</v>
      </c>
      <c r="B93" s="32" t="n">
        <v>45753</v>
      </c>
      <c r="C93" s="31" t="s">
        <v>39</v>
      </c>
      <c r="D93" s="31" t="s">
        <v>71</v>
      </c>
      <c r="E93" s="31" t="s">
        <v>47</v>
      </c>
      <c r="F93" s="31" t="n">
        <v>7</v>
      </c>
      <c r="G93" s="33" t="n">
        <v>1575</v>
      </c>
      <c r="H93" s="33" t="n">
        <v>1124</v>
      </c>
    </row>
    <row r="94" customFormat="false" ht="15" hidden="false" customHeight="true" outlineLevel="0" collapsed="false">
      <c r="A94" s="31" t="s">
        <v>172</v>
      </c>
      <c r="B94" s="32" t="n">
        <v>45754</v>
      </c>
      <c r="C94" s="31" t="s">
        <v>36</v>
      </c>
      <c r="D94" s="31" t="s">
        <v>71</v>
      </c>
      <c r="E94" s="31" t="s">
        <v>44</v>
      </c>
      <c r="F94" s="31" t="n">
        <v>7</v>
      </c>
      <c r="G94" s="33" t="n">
        <v>1953</v>
      </c>
      <c r="H94" s="33" t="n">
        <v>1226</v>
      </c>
    </row>
    <row r="95" customFormat="false" ht="15" hidden="false" customHeight="true" outlineLevel="0" collapsed="false">
      <c r="A95" s="31" t="s">
        <v>173</v>
      </c>
      <c r="B95" s="32" t="n">
        <v>45755</v>
      </c>
      <c r="C95" s="31" t="s">
        <v>37</v>
      </c>
      <c r="D95" s="31" t="s">
        <v>70</v>
      </c>
      <c r="E95" s="31" t="s">
        <v>48</v>
      </c>
      <c r="F95" s="31" t="n">
        <v>2</v>
      </c>
      <c r="G95" s="33" t="n">
        <v>16602</v>
      </c>
      <c r="H95" s="33" t="n">
        <v>11492</v>
      </c>
    </row>
    <row r="96" customFormat="false" ht="15" hidden="false" customHeight="true" outlineLevel="0" collapsed="false">
      <c r="A96" s="31" t="s">
        <v>174</v>
      </c>
      <c r="B96" s="32" t="n">
        <v>45755</v>
      </c>
      <c r="C96" s="31" t="s">
        <v>39</v>
      </c>
      <c r="D96" s="31" t="s">
        <v>71</v>
      </c>
      <c r="E96" s="31" t="s">
        <v>43</v>
      </c>
      <c r="F96" s="31" t="n">
        <v>6</v>
      </c>
      <c r="G96" s="33" t="n">
        <v>3216</v>
      </c>
      <c r="H96" s="33" t="n">
        <v>1772</v>
      </c>
    </row>
    <row r="97" customFormat="false" ht="15" hidden="false" customHeight="true" outlineLevel="0" collapsed="false">
      <c r="A97" s="31" t="s">
        <v>175</v>
      </c>
      <c r="B97" s="32" t="n">
        <v>45755</v>
      </c>
      <c r="C97" s="31" t="s">
        <v>37</v>
      </c>
      <c r="D97" s="31" t="s">
        <v>68</v>
      </c>
      <c r="E97" s="31" t="s">
        <v>43</v>
      </c>
      <c r="F97" s="31" t="n">
        <v>1</v>
      </c>
      <c r="G97" s="33" t="n">
        <v>1672</v>
      </c>
      <c r="H97" s="33" t="n">
        <v>1059</v>
      </c>
    </row>
    <row r="98" customFormat="false" ht="15" hidden="false" customHeight="true" outlineLevel="0" collapsed="false">
      <c r="A98" s="31" t="s">
        <v>176</v>
      </c>
      <c r="B98" s="32" t="n">
        <v>45755</v>
      </c>
      <c r="C98" s="31" t="s">
        <v>38</v>
      </c>
      <c r="D98" s="31" t="s">
        <v>70</v>
      </c>
      <c r="E98" s="31" t="s">
        <v>48</v>
      </c>
      <c r="F98" s="31" t="n">
        <v>7</v>
      </c>
      <c r="G98" s="33" t="n">
        <v>25879</v>
      </c>
      <c r="H98" s="33" t="n">
        <v>15696</v>
      </c>
    </row>
    <row r="99" customFormat="false" ht="15" hidden="false" customHeight="true" outlineLevel="0" collapsed="false">
      <c r="A99" s="31" t="s">
        <v>177</v>
      </c>
      <c r="B99" s="32" t="n">
        <v>45758</v>
      </c>
      <c r="C99" s="31" t="s">
        <v>36</v>
      </c>
      <c r="D99" s="31" t="s">
        <v>71</v>
      </c>
      <c r="E99" s="31" t="s">
        <v>46</v>
      </c>
      <c r="F99" s="31" t="n">
        <v>6</v>
      </c>
      <c r="G99" s="33" t="n">
        <v>1224</v>
      </c>
      <c r="H99" s="33" t="n">
        <v>783</v>
      </c>
    </row>
    <row r="100" customFormat="false" ht="15" hidden="false" customHeight="true" outlineLevel="0" collapsed="false">
      <c r="A100" s="31" t="s">
        <v>178</v>
      </c>
      <c r="B100" s="32" t="n">
        <v>45758</v>
      </c>
      <c r="C100" s="31" t="s">
        <v>37</v>
      </c>
      <c r="D100" s="31" t="s">
        <v>68</v>
      </c>
      <c r="E100" s="31" t="s">
        <v>46</v>
      </c>
      <c r="F100" s="31" t="n">
        <v>1</v>
      </c>
      <c r="G100" s="33" t="n">
        <v>1565</v>
      </c>
      <c r="H100" s="33" t="n">
        <v>972</v>
      </c>
    </row>
    <row r="101" customFormat="false" ht="15" hidden="false" customHeight="true" outlineLevel="0" collapsed="false">
      <c r="A101" s="31" t="s">
        <v>179</v>
      </c>
      <c r="B101" s="32" t="n">
        <v>45759</v>
      </c>
      <c r="C101" s="31" t="s">
        <v>39</v>
      </c>
      <c r="D101" s="31" t="s">
        <v>71</v>
      </c>
      <c r="E101" s="31" t="s">
        <v>42</v>
      </c>
      <c r="F101" s="31" t="n">
        <v>3</v>
      </c>
      <c r="G101" s="33" t="n">
        <v>1701</v>
      </c>
      <c r="H101" s="33" t="n">
        <v>960</v>
      </c>
    </row>
    <row r="102" customFormat="false" ht="15" hidden="false" customHeight="true" outlineLevel="0" collapsed="false">
      <c r="A102" s="31" t="s">
        <v>180</v>
      </c>
      <c r="B102" s="32" t="n">
        <v>45762</v>
      </c>
      <c r="C102" s="31" t="s">
        <v>38</v>
      </c>
      <c r="D102" s="31" t="s">
        <v>71</v>
      </c>
      <c r="E102" s="31" t="s">
        <v>47</v>
      </c>
      <c r="F102" s="31" t="n">
        <v>1</v>
      </c>
      <c r="G102" s="33" t="n">
        <v>260</v>
      </c>
      <c r="H102" s="33" t="n">
        <v>149</v>
      </c>
    </row>
    <row r="103" customFormat="false" ht="15" hidden="false" customHeight="true" outlineLevel="0" collapsed="false">
      <c r="A103" s="31" t="s">
        <v>181</v>
      </c>
      <c r="B103" s="32" t="n">
        <v>45764</v>
      </c>
      <c r="C103" s="31" t="s">
        <v>38</v>
      </c>
      <c r="D103" s="31" t="s">
        <v>69</v>
      </c>
      <c r="E103" s="31" t="s">
        <v>49</v>
      </c>
      <c r="F103" s="31" t="n">
        <v>4</v>
      </c>
      <c r="G103" s="33" t="n">
        <v>15828</v>
      </c>
      <c r="H103" s="33" t="n">
        <v>11316</v>
      </c>
    </row>
    <row r="104" customFormat="false" ht="15" hidden="false" customHeight="true" outlineLevel="0" collapsed="false">
      <c r="A104" s="31" t="s">
        <v>182</v>
      </c>
      <c r="B104" s="32" t="n">
        <v>45765</v>
      </c>
      <c r="C104" s="31" t="s">
        <v>36</v>
      </c>
      <c r="D104" s="31" t="s">
        <v>69</v>
      </c>
      <c r="E104" s="31" t="s">
        <v>49</v>
      </c>
      <c r="F104" s="31" t="n">
        <v>5</v>
      </c>
      <c r="G104" s="33" t="n">
        <v>15740</v>
      </c>
      <c r="H104" s="33" t="n">
        <v>9282</v>
      </c>
    </row>
    <row r="105" customFormat="false" ht="15" hidden="false" customHeight="true" outlineLevel="0" collapsed="false">
      <c r="A105" s="31" t="s">
        <v>183</v>
      </c>
      <c r="B105" s="32" t="n">
        <v>45765</v>
      </c>
      <c r="C105" s="31" t="s">
        <v>36</v>
      </c>
      <c r="D105" s="31" t="s">
        <v>68</v>
      </c>
      <c r="E105" s="31" t="s">
        <v>43</v>
      </c>
      <c r="F105" s="31" t="n">
        <v>8</v>
      </c>
      <c r="G105" s="33" t="n">
        <v>19336</v>
      </c>
      <c r="H105" s="33" t="n">
        <v>12425</v>
      </c>
    </row>
    <row r="106" customFormat="false" ht="15" hidden="false" customHeight="true" outlineLevel="0" collapsed="false">
      <c r="A106" s="31" t="s">
        <v>184</v>
      </c>
      <c r="B106" s="32" t="n">
        <v>45766</v>
      </c>
      <c r="C106" s="31" t="s">
        <v>38</v>
      </c>
      <c r="D106" s="31" t="s">
        <v>70</v>
      </c>
      <c r="E106" s="31" t="s">
        <v>48</v>
      </c>
      <c r="F106" s="31" t="n">
        <v>4</v>
      </c>
      <c r="G106" s="33" t="n">
        <v>23088</v>
      </c>
      <c r="H106" s="33" t="n">
        <v>12962</v>
      </c>
    </row>
    <row r="107" customFormat="false" ht="15" hidden="false" customHeight="true" outlineLevel="0" collapsed="false">
      <c r="A107" s="31" t="s">
        <v>185</v>
      </c>
      <c r="B107" s="32" t="n">
        <v>45766</v>
      </c>
      <c r="C107" s="31" t="s">
        <v>38</v>
      </c>
      <c r="D107" s="31" t="s">
        <v>68</v>
      </c>
      <c r="E107" s="31" t="s">
        <v>42</v>
      </c>
      <c r="F107" s="31" t="n">
        <v>5</v>
      </c>
      <c r="G107" s="33" t="n">
        <v>11065</v>
      </c>
      <c r="H107" s="33" t="n">
        <v>8606</v>
      </c>
    </row>
    <row r="108" customFormat="false" ht="15" hidden="false" customHeight="true" outlineLevel="0" collapsed="false">
      <c r="A108" s="31" t="s">
        <v>186</v>
      </c>
      <c r="B108" s="32" t="n">
        <v>45767</v>
      </c>
      <c r="C108" s="31" t="s">
        <v>39</v>
      </c>
      <c r="D108" s="31" t="s">
        <v>68</v>
      </c>
      <c r="E108" s="31" t="s">
        <v>44</v>
      </c>
      <c r="F108" s="31" t="n">
        <v>6</v>
      </c>
      <c r="G108" s="33" t="n">
        <v>9126</v>
      </c>
      <c r="H108" s="33" t="n">
        <v>6692</v>
      </c>
    </row>
    <row r="109" customFormat="false" ht="15" hidden="false" customHeight="true" outlineLevel="0" collapsed="false">
      <c r="A109" s="31" t="s">
        <v>187</v>
      </c>
      <c r="B109" s="32" t="n">
        <v>45767</v>
      </c>
      <c r="C109" s="31" t="s">
        <v>38</v>
      </c>
      <c r="D109" s="31" t="s">
        <v>70</v>
      </c>
      <c r="E109" s="31" t="s">
        <v>46</v>
      </c>
      <c r="F109" s="31" t="n">
        <v>6</v>
      </c>
      <c r="G109" s="33" t="n">
        <v>22110</v>
      </c>
      <c r="H109" s="33" t="n">
        <v>13480</v>
      </c>
    </row>
    <row r="110" customFormat="false" ht="15" hidden="false" customHeight="true" outlineLevel="0" collapsed="false">
      <c r="A110" s="31" t="s">
        <v>188</v>
      </c>
      <c r="B110" s="32" t="n">
        <v>45774</v>
      </c>
      <c r="C110" s="31" t="s">
        <v>38</v>
      </c>
      <c r="D110" s="31" t="s">
        <v>71</v>
      </c>
      <c r="E110" s="31" t="s">
        <v>42</v>
      </c>
      <c r="F110" s="31" t="n">
        <v>1</v>
      </c>
      <c r="G110" s="33" t="n">
        <v>177</v>
      </c>
      <c r="H110" s="33" t="n">
        <v>121</v>
      </c>
    </row>
    <row r="111" customFormat="false" ht="15" hidden="false" customHeight="true" outlineLevel="0" collapsed="false">
      <c r="A111" s="31" t="s">
        <v>189</v>
      </c>
      <c r="B111" s="32" t="n">
        <v>45774</v>
      </c>
      <c r="C111" s="31" t="s">
        <v>36</v>
      </c>
      <c r="D111" s="31" t="s">
        <v>69</v>
      </c>
      <c r="E111" s="31" t="s">
        <v>43</v>
      </c>
      <c r="F111" s="31" t="n">
        <v>3</v>
      </c>
      <c r="G111" s="33" t="n">
        <v>6075</v>
      </c>
      <c r="H111" s="33" t="n">
        <v>3456</v>
      </c>
    </row>
    <row r="112" customFormat="false" ht="15" hidden="false" customHeight="true" outlineLevel="0" collapsed="false">
      <c r="A112" s="31" t="s">
        <v>190</v>
      </c>
      <c r="B112" s="32" t="n">
        <v>45775</v>
      </c>
      <c r="C112" s="31" t="s">
        <v>36</v>
      </c>
      <c r="D112" s="31" t="s">
        <v>68</v>
      </c>
      <c r="E112" s="31" t="s">
        <v>42</v>
      </c>
      <c r="F112" s="31" t="n">
        <v>8</v>
      </c>
      <c r="G112" s="33" t="n">
        <v>6152</v>
      </c>
      <c r="H112" s="33" t="n">
        <v>4736</v>
      </c>
    </row>
    <row r="113" customFormat="false" ht="15" hidden="false" customHeight="true" outlineLevel="0" collapsed="false">
      <c r="A113" s="31" t="s">
        <v>191</v>
      </c>
      <c r="B113" s="32" t="n">
        <v>45775</v>
      </c>
      <c r="C113" s="31" t="s">
        <v>37</v>
      </c>
      <c r="D113" s="31" t="s">
        <v>71</v>
      </c>
      <c r="E113" s="31" t="s">
        <v>49</v>
      </c>
      <c r="F113" s="31" t="n">
        <v>7</v>
      </c>
      <c r="G113" s="33" t="n">
        <v>1386</v>
      </c>
      <c r="H113" s="33" t="n">
        <v>1055</v>
      </c>
    </row>
    <row r="114" customFormat="false" ht="15" hidden="false" customHeight="true" outlineLevel="0" collapsed="false">
      <c r="A114" s="31" t="s">
        <v>192</v>
      </c>
      <c r="B114" s="32" t="n">
        <v>45777</v>
      </c>
      <c r="C114" s="31" t="s">
        <v>36</v>
      </c>
      <c r="D114" s="31" t="s">
        <v>69</v>
      </c>
      <c r="E114" s="31" t="s">
        <v>47</v>
      </c>
      <c r="F114" s="31" t="n">
        <v>7</v>
      </c>
      <c r="G114" s="33" t="n">
        <v>25571</v>
      </c>
      <c r="H114" s="33" t="n">
        <v>16971</v>
      </c>
    </row>
    <row r="115" customFormat="false" ht="15" hidden="false" customHeight="true" outlineLevel="0" collapsed="false">
      <c r="A115" s="31" t="s">
        <v>193</v>
      </c>
      <c r="B115" s="32" t="n">
        <v>45780</v>
      </c>
      <c r="C115" s="31" t="s">
        <v>39</v>
      </c>
      <c r="D115" s="31" t="s">
        <v>70</v>
      </c>
      <c r="E115" s="31" t="s">
        <v>43</v>
      </c>
      <c r="F115" s="31" t="n">
        <v>2</v>
      </c>
      <c r="G115" s="33" t="n">
        <v>14114</v>
      </c>
      <c r="H115" s="33" t="n">
        <v>8755</v>
      </c>
    </row>
    <row r="116" customFormat="false" ht="15" hidden="false" customHeight="true" outlineLevel="0" collapsed="false">
      <c r="A116" s="31" t="s">
        <v>194</v>
      </c>
      <c r="B116" s="32" t="n">
        <v>45781</v>
      </c>
      <c r="C116" s="31" t="s">
        <v>39</v>
      </c>
      <c r="D116" s="31" t="s">
        <v>70</v>
      </c>
      <c r="E116" s="31" t="s">
        <v>43</v>
      </c>
      <c r="F116" s="31" t="n">
        <v>3</v>
      </c>
      <c r="G116" s="33" t="n">
        <v>10098</v>
      </c>
      <c r="H116" s="33" t="n">
        <v>7105</v>
      </c>
    </row>
    <row r="117" customFormat="false" ht="15" hidden="false" customHeight="true" outlineLevel="0" collapsed="false">
      <c r="A117" s="31" t="s">
        <v>195</v>
      </c>
      <c r="B117" s="32" t="n">
        <v>45782</v>
      </c>
      <c r="C117" s="31" t="s">
        <v>39</v>
      </c>
      <c r="D117" s="31" t="s">
        <v>71</v>
      </c>
      <c r="E117" s="31" t="s">
        <v>45</v>
      </c>
      <c r="F117" s="31" t="n">
        <v>1</v>
      </c>
      <c r="G117" s="33" t="n">
        <v>542</v>
      </c>
      <c r="H117" s="33" t="n">
        <v>345</v>
      </c>
    </row>
    <row r="118" customFormat="false" ht="15" hidden="false" customHeight="true" outlineLevel="0" collapsed="false">
      <c r="A118" s="31" t="s">
        <v>196</v>
      </c>
      <c r="B118" s="32" t="n">
        <v>45784</v>
      </c>
      <c r="C118" s="31" t="s">
        <v>38</v>
      </c>
      <c r="D118" s="31" t="s">
        <v>69</v>
      </c>
      <c r="E118" s="31" t="s">
        <v>44</v>
      </c>
      <c r="F118" s="31" t="n">
        <v>2</v>
      </c>
      <c r="G118" s="33" t="n">
        <v>6752</v>
      </c>
      <c r="H118" s="33" t="n">
        <v>4912</v>
      </c>
    </row>
    <row r="119" customFormat="false" ht="15" hidden="false" customHeight="true" outlineLevel="0" collapsed="false">
      <c r="A119" s="31" t="s">
        <v>197</v>
      </c>
      <c r="B119" s="32" t="n">
        <v>45785</v>
      </c>
      <c r="C119" s="31" t="s">
        <v>36</v>
      </c>
      <c r="D119" s="31" t="s">
        <v>69</v>
      </c>
      <c r="E119" s="31" t="s">
        <v>48</v>
      </c>
      <c r="F119" s="31" t="n">
        <v>7</v>
      </c>
      <c r="G119" s="33" t="n">
        <v>25970</v>
      </c>
      <c r="H119" s="33" t="n">
        <v>18762</v>
      </c>
    </row>
    <row r="120" customFormat="false" ht="15" hidden="false" customHeight="true" outlineLevel="0" collapsed="false">
      <c r="A120" s="31" t="s">
        <v>198</v>
      </c>
      <c r="B120" s="32" t="n">
        <v>45785</v>
      </c>
      <c r="C120" s="31" t="s">
        <v>39</v>
      </c>
      <c r="D120" s="31" t="s">
        <v>71</v>
      </c>
      <c r="E120" s="31" t="s">
        <v>43</v>
      </c>
      <c r="F120" s="31" t="n">
        <v>2</v>
      </c>
      <c r="G120" s="33" t="n">
        <v>462</v>
      </c>
      <c r="H120" s="33" t="n">
        <v>274</v>
      </c>
    </row>
    <row r="121" customFormat="false" ht="15" hidden="false" customHeight="true" outlineLevel="0" collapsed="false">
      <c r="A121" s="31" t="s">
        <v>199</v>
      </c>
      <c r="B121" s="32" t="n">
        <v>45788</v>
      </c>
      <c r="C121" s="31" t="s">
        <v>36</v>
      </c>
      <c r="D121" s="31" t="s">
        <v>70</v>
      </c>
      <c r="E121" s="31" t="s">
        <v>49</v>
      </c>
      <c r="F121" s="31" t="n">
        <v>5</v>
      </c>
      <c r="G121" s="33" t="n">
        <v>35550</v>
      </c>
      <c r="H121" s="33" t="n">
        <v>23394</v>
      </c>
    </row>
    <row r="122" customFormat="false" ht="15" hidden="false" customHeight="true" outlineLevel="0" collapsed="false">
      <c r="A122" s="31" t="s">
        <v>200</v>
      </c>
      <c r="B122" s="32" t="n">
        <v>45788</v>
      </c>
      <c r="C122" s="31" t="s">
        <v>37</v>
      </c>
      <c r="D122" s="31" t="s">
        <v>68</v>
      </c>
      <c r="E122" s="31" t="s">
        <v>44</v>
      </c>
      <c r="F122" s="31" t="n">
        <v>2</v>
      </c>
      <c r="G122" s="33" t="n">
        <v>1616</v>
      </c>
      <c r="H122" s="33" t="n">
        <v>941</v>
      </c>
    </row>
    <row r="123" customFormat="false" ht="15" hidden="false" customHeight="true" outlineLevel="0" collapsed="false">
      <c r="A123" s="31" t="s">
        <v>201</v>
      </c>
      <c r="B123" s="32" t="n">
        <v>45789</v>
      </c>
      <c r="C123" s="31" t="s">
        <v>37</v>
      </c>
      <c r="D123" s="31" t="s">
        <v>71</v>
      </c>
      <c r="E123" s="31" t="s">
        <v>49</v>
      </c>
      <c r="F123" s="31" t="n">
        <v>3</v>
      </c>
      <c r="G123" s="33" t="n">
        <v>576</v>
      </c>
      <c r="H123" s="33" t="n">
        <v>342</v>
      </c>
    </row>
    <row r="124" customFormat="false" ht="15" hidden="false" customHeight="true" outlineLevel="0" collapsed="false">
      <c r="A124" s="31" t="s">
        <v>202</v>
      </c>
      <c r="B124" s="32" t="n">
        <v>45789</v>
      </c>
      <c r="C124" s="31" t="s">
        <v>38</v>
      </c>
      <c r="D124" s="31" t="s">
        <v>71</v>
      </c>
      <c r="E124" s="31" t="s">
        <v>43</v>
      </c>
      <c r="F124" s="31" t="n">
        <v>2</v>
      </c>
      <c r="G124" s="33" t="n">
        <v>302</v>
      </c>
      <c r="H124" s="33" t="n">
        <v>182</v>
      </c>
    </row>
    <row r="125" customFormat="false" ht="15" hidden="false" customHeight="true" outlineLevel="0" collapsed="false">
      <c r="A125" s="31" t="s">
        <v>203</v>
      </c>
      <c r="B125" s="32" t="n">
        <v>45790</v>
      </c>
      <c r="C125" s="31" t="s">
        <v>39</v>
      </c>
      <c r="D125" s="31" t="s">
        <v>70</v>
      </c>
      <c r="E125" s="31" t="s">
        <v>44</v>
      </c>
      <c r="F125" s="31" t="n">
        <v>2</v>
      </c>
      <c r="G125" s="33" t="n">
        <v>10596</v>
      </c>
      <c r="H125" s="33" t="n">
        <v>8071</v>
      </c>
    </row>
    <row r="126" customFormat="false" ht="15" hidden="false" customHeight="true" outlineLevel="0" collapsed="false">
      <c r="A126" s="31" t="s">
        <v>204</v>
      </c>
      <c r="B126" s="32" t="n">
        <v>45795</v>
      </c>
      <c r="C126" s="31" t="s">
        <v>39</v>
      </c>
      <c r="D126" s="31" t="s">
        <v>71</v>
      </c>
      <c r="E126" s="31" t="s">
        <v>47</v>
      </c>
      <c r="F126" s="31" t="n">
        <v>3</v>
      </c>
      <c r="G126" s="33" t="n">
        <v>1560</v>
      </c>
      <c r="H126" s="33" t="n">
        <v>1106</v>
      </c>
    </row>
    <row r="127" customFormat="false" ht="15" hidden="false" customHeight="true" outlineLevel="0" collapsed="false">
      <c r="A127" s="31" t="s">
        <v>205</v>
      </c>
      <c r="B127" s="32" t="n">
        <v>45796</v>
      </c>
      <c r="C127" s="31" t="s">
        <v>36</v>
      </c>
      <c r="D127" s="31" t="s">
        <v>68</v>
      </c>
      <c r="E127" s="31" t="s">
        <v>45</v>
      </c>
      <c r="F127" s="31" t="n">
        <v>1</v>
      </c>
      <c r="G127" s="33" t="n">
        <v>2088</v>
      </c>
      <c r="H127" s="33" t="n">
        <v>1341</v>
      </c>
    </row>
    <row r="128" customFormat="false" ht="15" hidden="false" customHeight="true" outlineLevel="0" collapsed="false">
      <c r="A128" s="31" t="s">
        <v>206</v>
      </c>
      <c r="B128" s="32" t="n">
        <v>45796</v>
      </c>
      <c r="C128" s="31" t="s">
        <v>36</v>
      </c>
      <c r="D128" s="31" t="s">
        <v>71</v>
      </c>
      <c r="E128" s="31" t="s">
        <v>46</v>
      </c>
      <c r="F128" s="31" t="n">
        <v>1</v>
      </c>
      <c r="G128" s="33" t="n">
        <v>233</v>
      </c>
      <c r="H128" s="33" t="n">
        <v>146</v>
      </c>
    </row>
    <row r="129" customFormat="false" ht="15" hidden="false" customHeight="true" outlineLevel="0" collapsed="false">
      <c r="A129" s="31" t="s">
        <v>207</v>
      </c>
      <c r="B129" s="32" t="n">
        <v>45800</v>
      </c>
      <c r="C129" s="31" t="s">
        <v>36</v>
      </c>
      <c r="D129" s="31" t="s">
        <v>71</v>
      </c>
      <c r="E129" s="31" t="s">
        <v>46</v>
      </c>
      <c r="F129" s="31" t="n">
        <v>2</v>
      </c>
      <c r="G129" s="33" t="n">
        <v>770</v>
      </c>
      <c r="H129" s="33" t="n">
        <v>490</v>
      </c>
    </row>
    <row r="130" customFormat="false" ht="15" hidden="false" customHeight="true" outlineLevel="0" collapsed="false">
      <c r="A130" s="31" t="s">
        <v>208</v>
      </c>
      <c r="B130" s="32" t="n">
        <v>45801</v>
      </c>
      <c r="C130" s="31" t="s">
        <v>36</v>
      </c>
      <c r="D130" s="31" t="s">
        <v>68</v>
      </c>
      <c r="E130" s="31" t="s">
        <v>45</v>
      </c>
      <c r="F130" s="31" t="n">
        <v>3</v>
      </c>
      <c r="G130" s="33" t="n">
        <v>3357</v>
      </c>
      <c r="H130" s="33" t="n">
        <v>2438</v>
      </c>
    </row>
    <row r="131" customFormat="false" ht="15" hidden="false" customHeight="true" outlineLevel="0" collapsed="false">
      <c r="A131" s="31" t="s">
        <v>209</v>
      </c>
      <c r="B131" s="32" t="n">
        <v>45802</v>
      </c>
      <c r="C131" s="31" t="s">
        <v>38</v>
      </c>
      <c r="D131" s="31" t="s">
        <v>70</v>
      </c>
      <c r="E131" s="31" t="s">
        <v>42</v>
      </c>
      <c r="F131" s="31" t="n">
        <v>3</v>
      </c>
      <c r="G131" s="33" t="n">
        <v>21609</v>
      </c>
      <c r="H131" s="33" t="n">
        <v>15431</v>
      </c>
    </row>
    <row r="132" customFormat="false" ht="15" hidden="false" customHeight="true" outlineLevel="0" collapsed="false">
      <c r="A132" s="31" t="s">
        <v>210</v>
      </c>
      <c r="B132" s="32" t="n">
        <v>45805</v>
      </c>
      <c r="C132" s="31" t="s">
        <v>38</v>
      </c>
      <c r="D132" s="31" t="s">
        <v>71</v>
      </c>
      <c r="E132" s="31" t="s">
        <v>49</v>
      </c>
      <c r="F132" s="31" t="n">
        <v>4</v>
      </c>
      <c r="G132" s="33" t="n">
        <v>1988</v>
      </c>
      <c r="H132" s="33" t="n">
        <v>1131</v>
      </c>
    </row>
    <row r="133" customFormat="false" ht="15" hidden="false" customHeight="true" outlineLevel="0" collapsed="false">
      <c r="A133" s="31" t="s">
        <v>211</v>
      </c>
      <c r="B133" s="32" t="n">
        <v>45806</v>
      </c>
      <c r="C133" s="31" t="s">
        <v>36</v>
      </c>
      <c r="D133" s="31" t="s">
        <v>71</v>
      </c>
      <c r="E133" s="31" t="s">
        <v>46</v>
      </c>
      <c r="F133" s="31" t="n">
        <v>6</v>
      </c>
      <c r="G133" s="33" t="n">
        <v>1608</v>
      </c>
      <c r="H133" s="33" t="n">
        <v>918</v>
      </c>
    </row>
    <row r="134" customFormat="false" ht="15" hidden="false" customHeight="true" outlineLevel="0" collapsed="false">
      <c r="A134" s="31" t="s">
        <v>212</v>
      </c>
      <c r="B134" s="32" t="n">
        <v>45808</v>
      </c>
      <c r="C134" s="31" t="s">
        <v>38</v>
      </c>
      <c r="D134" s="31" t="s">
        <v>70</v>
      </c>
      <c r="E134" s="31" t="s">
        <v>45</v>
      </c>
      <c r="F134" s="31" t="n">
        <v>2</v>
      </c>
      <c r="G134" s="33" t="n">
        <v>12410</v>
      </c>
      <c r="H134" s="33" t="n">
        <v>9604</v>
      </c>
    </row>
    <row r="135" customFormat="false" ht="15" hidden="false" customHeight="true" outlineLevel="0" collapsed="false">
      <c r="A135" s="31" t="s">
        <v>213</v>
      </c>
      <c r="B135" s="32" t="n">
        <v>45808</v>
      </c>
      <c r="C135" s="31" t="s">
        <v>38</v>
      </c>
      <c r="D135" s="31" t="s">
        <v>68</v>
      </c>
      <c r="E135" s="31" t="s">
        <v>47</v>
      </c>
      <c r="F135" s="31" t="n">
        <v>2</v>
      </c>
      <c r="G135" s="33" t="n">
        <v>3494</v>
      </c>
      <c r="H135" s="33" t="n">
        <v>2657</v>
      </c>
    </row>
    <row r="136" customFormat="false" ht="15" hidden="false" customHeight="true" outlineLevel="0" collapsed="false">
      <c r="A136" s="31" t="s">
        <v>214</v>
      </c>
      <c r="B136" s="32" t="n">
        <v>45809</v>
      </c>
      <c r="C136" s="31" t="s">
        <v>36</v>
      </c>
      <c r="D136" s="31" t="s">
        <v>71</v>
      </c>
      <c r="E136" s="31" t="s">
        <v>47</v>
      </c>
      <c r="F136" s="31" t="n">
        <v>2</v>
      </c>
      <c r="G136" s="33" t="n">
        <v>1156</v>
      </c>
      <c r="H136" s="33" t="n">
        <v>855</v>
      </c>
    </row>
    <row r="137" customFormat="false" ht="15" hidden="false" customHeight="true" outlineLevel="0" collapsed="false">
      <c r="A137" s="31" t="s">
        <v>215</v>
      </c>
      <c r="B137" s="32" t="n">
        <v>45813</v>
      </c>
      <c r="C137" s="31" t="s">
        <v>37</v>
      </c>
      <c r="D137" s="31" t="s">
        <v>69</v>
      </c>
      <c r="E137" s="31" t="s">
        <v>49</v>
      </c>
      <c r="F137" s="31" t="n">
        <v>6</v>
      </c>
      <c r="G137" s="33" t="n">
        <v>13074</v>
      </c>
      <c r="H137" s="33" t="n">
        <v>7749</v>
      </c>
    </row>
    <row r="138" customFormat="false" ht="15" hidden="false" customHeight="true" outlineLevel="0" collapsed="false">
      <c r="A138" s="31" t="s">
        <v>216</v>
      </c>
      <c r="B138" s="32" t="n">
        <v>45813</v>
      </c>
      <c r="C138" s="31" t="s">
        <v>39</v>
      </c>
      <c r="D138" s="31" t="s">
        <v>69</v>
      </c>
      <c r="E138" s="31" t="s">
        <v>42</v>
      </c>
      <c r="F138" s="31" t="n">
        <v>3</v>
      </c>
      <c r="G138" s="33" t="n">
        <v>12588</v>
      </c>
      <c r="H138" s="33" t="n">
        <v>7324</v>
      </c>
    </row>
    <row r="139" customFormat="false" ht="15" hidden="false" customHeight="true" outlineLevel="0" collapsed="false">
      <c r="A139" s="31" t="s">
        <v>217</v>
      </c>
      <c r="B139" s="32" t="n">
        <v>45816</v>
      </c>
      <c r="C139" s="31" t="s">
        <v>39</v>
      </c>
      <c r="D139" s="31" t="s">
        <v>69</v>
      </c>
      <c r="E139" s="31" t="s">
        <v>43</v>
      </c>
      <c r="F139" s="31" t="n">
        <v>7</v>
      </c>
      <c r="G139" s="33" t="n">
        <v>23919</v>
      </c>
      <c r="H139" s="33" t="n">
        <v>13337</v>
      </c>
    </row>
    <row r="140" customFormat="false" ht="15" hidden="false" customHeight="true" outlineLevel="0" collapsed="false">
      <c r="A140" s="31" t="s">
        <v>218</v>
      </c>
      <c r="B140" s="32" t="n">
        <v>45817</v>
      </c>
      <c r="C140" s="31" t="s">
        <v>36</v>
      </c>
      <c r="D140" s="31" t="s">
        <v>71</v>
      </c>
      <c r="E140" s="31" t="s">
        <v>45</v>
      </c>
      <c r="F140" s="31" t="n">
        <v>3</v>
      </c>
      <c r="G140" s="33" t="n">
        <v>816</v>
      </c>
      <c r="H140" s="33" t="n">
        <v>546</v>
      </c>
    </row>
    <row r="141" customFormat="false" ht="15" hidden="false" customHeight="true" outlineLevel="0" collapsed="false">
      <c r="A141" s="31" t="s">
        <v>219</v>
      </c>
      <c r="B141" s="32" t="n">
        <v>45817</v>
      </c>
      <c r="C141" s="31" t="s">
        <v>37</v>
      </c>
      <c r="D141" s="31" t="s">
        <v>71</v>
      </c>
      <c r="E141" s="31" t="s">
        <v>44</v>
      </c>
      <c r="F141" s="31" t="n">
        <v>6</v>
      </c>
      <c r="G141" s="33" t="n">
        <v>762</v>
      </c>
      <c r="H141" s="33" t="n">
        <v>532</v>
      </c>
    </row>
    <row r="142" customFormat="false" ht="15" hidden="false" customHeight="true" outlineLevel="0" collapsed="false">
      <c r="A142" s="31" t="s">
        <v>220</v>
      </c>
      <c r="B142" s="32" t="n">
        <v>45817</v>
      </c>
      <c r="C142" s="31" t="s">
        <v>36</v>
      </c>
      <c r="D142" s="31" t="s">
        <v>70</v>
      </c>
      <c r="E142" s="31" t="s">
        <v>48</v>
      </c>
      <c r="F142" s="31" t="n">
        <v>8</v>
      </c>
      <c r="G142" s="33" t="n">
        <v>59320</v>
      </c>
      <c r="H142" s="33" t="n">
        <v>34025</v>
      </c>
    </row>
    <row r="143" customFormat="false" ht="15" hidden="false" customHeight="true" outlineLevel="0" collapsed="false">
      <c r="A143" s="31" t="s">
        <v>221</v>
      </c>
      <c r="B143" s="32" t="n">
        <v>45817</v>
      </c>
      <c r="C143" s="31" t="s">
        <v>39</v>
      </c>
      <c r="D143" s="31" t="s">
        <v>68</v>
      </c>
      <c r="E143" s="31" t="s">
        <v>48</v>
      </c>
      <c r="F143" s="31" t="n">
        <v>7</v>
      </c>
      <c r="G143" s="33" t="n">
        <v>14973</v>
      </c>
      <c r="H143" s="33" t="n">
        <v>9205</v>
      </c>
    </row>
    <row r="144" customFormat="false" ht="15" hidden="false" customHeight="true" outlineLevel="0" collapsed="false">
      <c r="A144" s="31" t="s">
        <v>222</v>
      </c>
      <c r="B144" s="32" t="n">
        <v>45819</v>
      </c>
      <c r="C144" s="31" t="s">
        <v>36</v>
      </c>
      <c r="D144" s="31" t="s">
        <v>68</v>
      </c>
      <c r="E144" s="31" t="s">
        <v>48</v>
      </c>
      <c r="F144" s="31" t="n">
        <v>2</v>
      </c>
      <c r="G144" s="33" t="n">
        <v>3518</v>
      </c>
      <c r="H144" s="33" t="n">
        <v>2028</v>
      </c>
    </row>
    <row r="145" customFormat="false" ht="15" hidden="false" customHeight="true" outlineLevel="0" collapsed="false">
      <c r="A145" s="31" t="s">
        <v>223</v>
      </c>
      <c r="B145" s="32" t="n">
        <v>45821</v>
      </c>
      <c r="C145" s="31" t="s">
        <v>36</v>
      </c>
      <c r="D145" s="31" t="s">
        <v>70</v>
      </c>
      <c r="E145" s="31" t="s">
        <v>48</v>
      </c>
      <c r="F145" s="31" t="n">
        <v>1</v>
      </c>
      <c r="G145" s="33" t="n">
        <v>5127</v>
      </c>
      <c r="H145" s="33" t="n">
        <v>3890</v>
      </c>
    </row>
    <row r="146" customFormat="false" ht="15" hidden="false" customHeight="true" outlineLevel="0" collapsed="false">
      <c r="A146" s="31" t="s">
        <v>224</v>
      </c>
      <c r="B146" s="32" t="n">
        <v>45825</v>
      </c>
      <c r="C146" s="31" t="s">
        <v>37</v>
      </c>
      <c r="D146" s="31" t="s">
        <v>71</v>
      </c>
      <c r="E146" s="31" t="s">
        <v>45</v>
      </c>
      <c r="F146" s="31" t="n">
        <v>6</v>
      </c>
      <c r="G146" s="33" t="n">
        <v>2904</v>
      </c>
      <c r="H146" s="33" t="n">
        <v>2125</v>
      </c>
    </row>
    <row r="147" customFormat="false" ht="15" hidden="false" customHeight="true" outlineLevel="0" collapsed="false">
      <c r="A147" s="31" t="s">
        <v>225</v>
      </c>
      <c r="B147" s="32" t="n">
        <v>45826</v>
      </c>
      <c r="C147" s="31" t="s">
        <v>39</v>
      </c>
      <c r="D147" s="31" t="s">
        <v>69</v>
      </c>
      <c r="E147" s="31" t="s">
        <v>42</v>
      </c>
      <c r="F147" s="31" t="n">
        <v>8</v>
      </c>
      <c r="G147" s="33" t="n">
        <v>19936</v>
      </c>
      <c r="H147" s="33" t="n">
        <v>13270</v>
      </c>
    </row>
    <row r="148" customFormat="false" ht="15" hidden="false" customHeight="true" outlineLevel="0" collapsed="false">
      <c r="A148" s="31" t="s">
        <v>226</v>
      </c>
      <c r="B148" s="32" t="n">
        <v>45827</v>
      </c>
      <c r="C148" s="31" t="s">
        <v>36</v>
      </c>
      <c r="D148" s="31" t="s">
        <v>70</v>
      </c>
      <c r="E148" s="31" t="s">
        <v>48</v>
      </c>
      <c r="F148" s="31" t="n">
        <v>2</v>
      </c>
      <c r="G148" s="33" t="n">
        <v>13620</v>
      </c>
      <c r="H148" s="33" t="n">
        <v>10341</v>
      </c>
    </row>
    <row r="149" customFormat="false" ht="15" hidden="false" customHeight="true" outlineLevel="0" collapsed="false">
      <c r="A149" s="31" t="s">
        <v>227</v>
      </c>
      <c r="B149" s="32" t="n">
        <v>45827</v>
      </c>
      <c r="C149" s="31" t="s">
        <v>36</v>
      </c>
      <c r="D149" s="31" t="s">
        <v>68</v>
      </c>
      <c r="E149" s="31" t="s">
        <v>48</v>
      </c>
      <c r="F149" s="31" t="n">
        <v>2</v>
      </c>
      <c r="G149" s="33" t="n">
        <v>4932</v>
      </c>
      <c r="H149" s="33" t="n">
        <v>3542</v>
      </c>
    </row>
    <row r="150" customFormat="false" ht="15" hidden="false" customHeight="true" outlineLevel="0" collapsed="false">
      <c r="A150" s="31" t="s">
        <v>228</v>
      </c>
      <c r="B150" s="32" t="n">
        <v>45828</v>
      </c>
      <c r="C150" s="31" t="s">
        <v>39</v>
      </c>
      <c r="D150" s="31" t="s">
        <v>71</v>
      </c>
      <c r="E150" s="31" t="s">
        <v>43</v>
      </c>
      <c r="F150" s="31" t="n">
        <v>3</v>
      </c>
      <c r="G150" s="33" t="n">
        <v>639</v>
      </c>
      <c r="H150" s="33" t="n">
        <v>447</v>
      </c>
    </row>
    <row r="151" customFormat="false" ht="15" hidden="false" customHeight="true" outlineLevel="0" collapsed="false">
      <c r="A151" s="31" t="s">
        <v>229</v>
      </c>
      <c r="B151" s="32" t="n">
        <v>45830</v>
      </c>
      <c r="C151" s="31" t="s">
        <v>37</v>
      </c>
      <c r="D151" s="31" t="s">
        <v>68</v>
      </c>
      <c r="E151" s="31" t="s">
        <v>49</v>
      </c>
      <c r="F151" s="31" t="n">
        <v>2</v>
      </c>
      <c r="G151" s="33" t="n">
        <v>3328</v>
      </c>
      <c r="H151" s="33" t="n">
        <v>2437</v>
      </c>
    </row>
    <row r="152" customFormat="false" ht="15" hidden="false" customHeight="true" outlineLevel="0" collapsed="false">
      <c r="A152" s="31" t="s">
        <v>230</v>
      </c>
      <c r="B152" s="32" t="n">
        <v>45832</v>
      </c>
      <c r="C152" s="31" t="s">
        <v>36</v>
      </c>
      <c r="D152" s="31" t="s">
        <v>69</v>
      </c>
      <c r="E152" s="31" t="s">
        <v>44</v>
      </c>
      <c r="F152" s="31" t="n">
        <v>4</v>
      </c>
      <c r="G152" s="33" t="n">
        <v>17928</v>
      </c>
      <c r="H152" s="33" t="n">
        <v>11094</v>
      </c>
    </row>
    <row r="153" customFormat="false" ht="15" hidden="false" customHeight="true" outlineLevel="0" collapsed="false">
      <c r="A153" s="31" t="s">
        <v>231</v>
      </c>
      <c r="B153" s="32" t="n">
        <v>45838</v>
      </c>
      <c r="C153" s="31" t="s">
        <v>36</v>
      </c>
      <c r="D153" s="31" t="s">
        <v>69</v>
      </c>
      <c r="E153" s="31" t="s">
        <v>45</v>
      </c>
      <c r="F153" s="31" t="n">
        <v>8</v>
      </c>
      <c r="G153" s="33" t="n">
        <v>29376</v>
      </c>
      <c r="H153" s="33" t="n">
        <v>18841</v>
      </c>
    </row>
    <row r="154" customFormat="false" ht="15" hidden="false" customHeight="true" outlineLevel="0" collapsed="false">
      <c r="A154" s="31" t="s">
        <v>232</v>
      </c>
      <c r="B154" s="32" t="n">
        <v>45841</v>
      </c>
      <c r="C154" s="31" t="s">
        <v>36</v>
      </c>
      <c r="D154" s="31" t="s">
        <v>69</v>
      </c>
      <c r="E154" s="31" t="s">
        <v>47</v>
      </c>
      <c r="F154" s="31" t="n">
        <v>1</v>
      </c>
      <c r="G154" s="33" t="n">
        <v>3363</v>
      </c>
      <c r="H154" s="33" t="n">
        <v>2545</v>
      </c>
    </row>
    <row r="155" customFormat="false" ht="15" hidden="false" customHeight="true" outlineLevel="0" collapsed="false">
      <c r="A155" s="31" t="s">
        <v>233</v>
      </c>
      <c r="B155" s="32" t="n">
        <v>45843</v>
      </c>
      <c r="C155" s="31" t="s">
        <v>37</v>
      </c>
      <c r="D155" s="31" t="s">
        <v>70</v>
      </c>
      <c r="E155" s="31" t="s">
        <v>45</v>
      </c>
      <c r="F155" s="31" t="n">
        <v>8</v>
      </c>
      <c r="G155" s="33" t="n">
        <v>33528</v>
      </c>
      <c r="H155" s="33" t="n">
        <v>20003</v>
      </c>
    </row>
    <row r="156" customFormat="false" ht="15" hidden="false" customHeight="true" outlineLevel="0" collapsed="false">
      <c r="A156" s="31" t="s">
        <v>234</v>
      </c>
      <c r="B156" s="32" t="n">
        <v>45846</v>
      </c>
      <c r="C156" s="31" t="s">
        <v>38</v>
      </c>
      <c r="D156" s="31" t="s">
        <v>70</v>
      </c>
      <c r="E156" s="31" t="s">
        <v>45</v>
      </c>
      <c r="F156" s="31" t="n">
        <v>6</v>
      </c>
      <c r="G156" s="33" t="n">
        <v>38220</v>
      </c>
      <c r="H156" s="33" t="n">
        <v>21162</v>
      </c>
    </row>
    <row r="157" customFormat="false" ht="15" hidden="false" customHeight="true" outlineLevel="0" collapsed="false">
      <c r="A157" s="31" t="s">
        <v>235</v>
      </c>
      <c r="B157" s="32" t="n">
        <v>45846</v>
      </c>
      <c r="C157" s="31" t="s">
        <v>36</v>
      </c>
      <c r="D157" s="31" t="s">
        <v>69</v>
      </c>
      <c r="E157" s="31" t="s">
        <v>46</v>
      </c>
      <c r="F157" s="31" t="n">
        <v>1</v>
      </c>
      <c r="G157" s="33" t="n">
        <v>4162</v>
      </c>
      <c r="H157" s="33" t="n">
        <v>2391</v>
      </c>
    </row>
    <row r="158" customFormat="false" ht="15" hidden="false" customHeight="true" outlineLevel="0" collapsed="false">
      <c r="A158" s="31" t="s">
        <v>236</v>
      </c>
      <c r="B158" s="32" t="n">
        <v>45846</v>
      </c>
      <c r="C158" s="31" t="s">
        <v>39</v>
      </c>
      <c r="D158" s="31" t="s">
        <v>68</v>
      </c>
      <c r="E158" s="31" t="s">
        <v>48</v>
      </c>
      <c r="F158" s="31" t="n">
        <v>3</v>
      </c>
      <c r="G158" s="33" t="n">
        <v>3855</v>
      </c>
      <c r="H158" s="33" t="n">
        <v>2737</v>
      </c>
    </row>
    <row r="159" customFormat="false" ht="15" hidden="false" customHeight="true" outlineLevel="0" collapsed="false">
      <c r="A159" s="31" t="s">
        <v>237</v>
      </c>
      <c r="B159" s="32" t="n">
        <v>45848</v>
      </c>
      <c r="C159" s="31" t="s">
        <v>38</v>
      </c>
      <c r="D159" s="31" t="s">
        <v>69</v>
      </c>
      <c r="E159" s="31" t="s">
        <v>46</v>
      </c>
      <c r="F159" s="31" t="n">
        <v>4</v>
      </c>
      <c r="G159" s="33" t="n">
        <v>11032</v>
      </c>
      <c r="H159" s="33" t="n">
        <v>6374</v>
      </c>
    </row>
    <row r="160" customFormat="false" ht="15" hidden="false" customHeight="true" outlineLevel="0" collapsed="false">
      <c r="A160" s="31" t="s">
        <v>238</v>
      </c>
      <c r="B160" s="32" t="n">
        <v>45850</v>
      </c>
      <c r="C160" s="31" t="s">
        <v>36</v>
      </c>
      <c r="D160" s="31" t="s">
        <v>69</v>
      </c>
      <c r="E160" s="31" t="s">
        <v>47</v>
      </c>
      <c r="F160" s="31" t="n">
        <v>4</v>
      </c>
      <c r="G160" s="33" t="n">
        <v>14212</v>
      </c>
      <c r="H160" s="33" t="n">
        <v>9989</v>
      </c>
    </row>
    <row r="161" customFormat="false" ht="15" hidden="false" customHeight="true" outlineLevel="0" collapsed="false">
      <c r="A161" s="31" t="s">
        <v>239</v>
      </c>
      <c r="B161" s="32" t="n">
        <v>45852</v>
      </c>
      <c r="C161" s="31" t="s">
        <v>36</v>
      </c>
      <c r="D161" s="31" t="s">
        <v>68</v>
      </c>
      <c r="E161" s="31" t="s">
        <v>44</v>
      </c>
      <c r="F161" s="31" t="n">
        <v>2</v>
      </c>
      <c r="G161" s="33" t="n">
        <v>3616</v>
      </c>
      <c r="H161" s="33" t="n">
        <v>2418</v>
      </c>
    </row>
    <row r="162" customFormat="false" ht="15" hidden="false" customHeight="true" outlineLevel="0" collapsed="false">
      <c r="A162" s="31" t="s">
        <v>240</v>
      </c>
      <c r="B162" s="32" t="n">
        <v>45853</v>
      </c>
      <c r="C162" s="31" t="s">
        <v>37</v>
      </c>
      <c r="D162" s="31" t="s">
        <v>71</v>
      </c>
      <c r="E162" s="31" t="s">
        <v>49</v>
      </c>
      <c r="F162" s="31" t="n">
        <v>5</v>
      </c>
      <c r="G162" s="33" t="n">
        <v>835</v>
      </c>
      <c r="H162" s="33" t="n">
        <v>582</v>
      </c>
    </row>
    <row r="163" customFormat="false" ht="15" hidden="false" customHeight="true" outlineLevel="0" collapsed="false">
      <c r="A163" s="31" t="s">
        <v>241</v>
      </c>
      <c r="B163" s="32" t="n">
        <v>45854</v>
      </c>
      <c r="C163" s="31" t="s">
        <v>37</v>
      </c>
      <c r="D163" s="31" t="s">
        <v>68</v>
      </c>
      <c r="E163" s="31" t="s">
        <v>42</v>
      </c>
      <c r="F163" s="31" t="n">
        <v>8</v>
      </c>
      <c r="G163" s="33" t="n">
        <v>19824</v>
      </c>
      <c r="H163" s="33" t="n">
        <v>13312</v>
      </c>
    </row>
    <row r="164" customFormat="false" ht="15" hidden="false" customHeight="true" outlineLevel="0" collapsed="false">
      <c r="A164" s="31" t="s">
        <v>242</v>
      </c>
      <c r="B164" s="32" t="n">
        <v>45855</v>
      </c>
      <c r="C164" s="31" t="s">
        <v>37</v>
      </c>
      <c r="D164" s="31" t="s">
        <v>71</v>
      </c>
      <c r="E164" s="31" t="s">
        <v>44</v>
      </c>
      <c r="F164" s="31" t="n">
        <v>5</v>
      </c>
      <c r="G164" s="33" t="n">
        <v>1875</v>
      </c>
      <c r="H164" s="33" t="n">
        <v>1139</v>
      </c>
    </row>
    <row r="165" customFormat="false" ht="15" hidden="false" customHeight="true" outlineLevel="0" collapsed="false">
      <c r="A165" s="31" t="s">
        <v>243</v>
      </c>
      <c r="B165" s="32" t="n">
        <v>45855</v>
      </c>
      <c r="C165" s="31" t="s">
        <v>37</v>
      </c>
      <c r="D165" s="31" t="s">
        <v>69</v>
      </c>
      <c r="E165" s="31" t="s">
        <v>44</v>
      </c>
      <c r="F165" s="31" t="n">
        <v>4</v>
      </c>
      <c r="G165" s="33" t="n">
        <v>10028</v>
      </c>
      <c r="H165" s="33" t="n">
        <v>5929</v>
      </c>
    </row>
    <row r="166" customFormat="false" ht="15" hidden="false" customHeight="true" outlineLevel="0" collapsed="false">
      <c r="A166" s="31" t="s">
        <v>244</v>
      </c>
      <c r="B166" s="32" t="n">
        <v>45855</v>
      </c>
      <c r="C166" s="31" t="s">
        <v>39</v>
      </c>
      <c r="D166" s="31" t="s">
        <v>71</v>
      </c>
      <c r="E166" s="31" t="s">
        <v>48</v>
      </c>
      <c r="F166" s="31" t="n">
        <v>3</v>
      </c>
      <c r="G166" s="33" t="n">
        <v>1677</v>
      </c>
      <c r="H166" s="33" t="n">
        <v>935</v>
      </c>
    </row>
    <row r="167" customFormat="false" ht="15" hidden="false" customHeight="true" outlineLevel="0" collapsed="false">
      <c r="A167" s="31" t="s">
        <v>245</v>
      </c>
      <c r="B167" s="32" t="n">
        <v>45856</v>
      </c>
      <c r="C167" s="31" t="s">
        <v>36</v>
      </c>
      <c r="D167" s="31" t="s">
        <v>69</v>
      </c>
      <c r="E167" s="31" t="s">
        <v>47</v>
      </c>
      <c r="F167" s="31" t="n">
        <v>8</v>
      </c>
      <c r="G167" s="33" t="n">
        <v>13968</v>
      </c>
      <c r="H167" s="33" t="n">
        <v>8260</v>
      </c>
    </row>
    <row r="168" customFormat="false" ht="15" hidden="false" customHeight="true" outlineLevel="0" collapsed="false">
      <c r="A168" s="31" t="s">
        <v>246</v>
      </c>
      <c r="B168" s="32" t="n">
        <v>45856</v>
      </c>
      <c r="C168" s="31" t="s">
        <v>38</v>
      </c>
      <c r="D168" s="31" t="s">
        <v>71</v>
      </c>
      <c r="E168" s="31" t="s">
        <v>44</v>
      </c>
      <c r="F168" s="31" t="n">
        <v>1</v>
      </c>
      <c r="G168" s="33" t="n">
        <v>364</v>
      </c>
      <c r="H168" s="33" t="n">
        <v>225</v>
      </c>
    </row>
    <row r="169" customFormat="false" ht="15" hidden="false" customHeight="true" outlineLevel="0" collapsed="false">
      <c r="A169" s="31" t="s">
        <v>247</v>
      </c>
      <c r="B169" s="32" t="n">
        <v>45858</v>
      </c>
      <c r="C169" s="31" t="s">
        <v>36</v>
      </c>
      <c r="D169" s="31" t="s">
        <v>69</v>
      </c>
      <c r="E169" s="31" t="s">
        <v>45</v>
      </c>
      <c r="F169" s="31" t="n">
        <v>7</v>
      </c>
      <c r="G169" s="33" t="n">
        <v>17241</v>
      </c>
      <c r="H169" s="33" t="n">
        <v>12133</v>
      </c>
    </row>
    <row r="170" customFormat="false" ht="15" hidden="false" customHeight="true" outlineLevel="0" collapsed="false">
      <c r="A170" s="31" t="s">
        <v>248</v>
      </c>
      <c r="B170" s="32" t="n">
        <v>45859</v>
      </c>
      <c r="C170" s="31" t="s">
        <v>36</v>
      </c>
      <c r="D170" s="31" t="s">
        <v>69</v>
      </c>
      <c r="E170" s="31" t="s">
        <v>42</v>
      </c>
      <c r="F170" s="31" t="n">
        <v>4</v>
      </c>
      <c r="G170" s="33" t="n">
        <v>15504</v>
      </c>
      <c r="H170" s="33" t="n">
        <v>10679</v>
      </c>
    </row>
    <row r="171" customFormat="false" ht="15" hidden="false" customHeight="true" outlineLevel="0" collapsed="false">
      <c r="A171" s="31" t="s">
        <v>249</v>
      </c>
      <c r="B171" s="32" t="n">
        <v>45860</v>
      </c>
      <c r="C171" s="31" t="s">
        <v>38</v>
      </c>
      <c r="D171" s="31" t="s">
        <v>69</v>
      </c>
      <c r="E171" s="31" t="s">
        <v>47</v>
      </c>
      <c r="F171" s="31" t="n">
        <v>1</v>
      </c>
      <c r="G171" s="33" t="n">
        <v>3845</v>
      </c>
      <c r="H171" s="33" t="n">
        <v>2511</v>
      </c>
    </row>
    <row r="172" customFormat="false" ht="15" hidden="false" customHeight="true" outlineLevel="0" collapsed="false">
      <c r="A172" s="31" t="s">
        <v>250</v>
      </c>
      <c r="B172" s="32" t="n">
        <v>45860</v>
      </c>
      <c r="C172" s="31" t="s">
        <v>39</v>
      </c>
      <c r="D172" s="31" t="s">
        <v>69</v>
      </c>
      <c r="E172" s="31" t="s">
        <v>49</v>
      </c>
      <c r="F172" s="31" t="n">
        <v>1</v>
      </c>
      <c r="G172" s="33" t="n">
        <v>3992</v>
      </c>
      <c r="H172" s="33" t="n">
        <v>2651</v>
      </c>
    </row>
    <row r="173" customFormat="false" ht="15" hidden="false" customHeight="true" outlineLevel="0" collapsed="false">
      <c r="A173" s="31" t="s">
        <v>251</v>
      </c>
      <c r="B173" s="32" t="n">
        <v>45861</v>
      </c>
      <c r="C173" s="31" t="s">
        <v>38</v>
      </c>
      <c r="D173" s="31" t="s">
        <v>71</v>
      </c>
      <c r="E173" s="31" t="s">
        <v>45</v>
      </c>
      <c r="F173" s="31" t="n">
        <v>1</v>
      </c>
      <c r="G173" s="33" t="n">
        <v>137</v>
      </c>
      <c r="H173" s="33" t="n">
        <v>79</v>
      </c>
    </row>
    <row r="174" customFormat="false" ht="15" hidden="false" customHeight="true" outlineLevel="0" collapsed="false">
      <c r="A174" s="31" t="s">
        <v>252</v>
      </c>
      <c r="B174" s="32" t="n">
        <v>45863</v>
      </c>
      <c r="C174" s="31" t="s">
        <v>36</v>
      </c>
      <c r="D174" s="31" t="s">
        <v>71</v>
      </c>
      <c r="E174" s="31" t="s">
        <v>46</v>
      </c>
      <c r="F174" s="31" t="n">
        <v>1</v>
      </c>
      <c r="G174" s="33" t="n">
        <v>259</v>
      </c>
      <c r="H174" s="33" t="n">
        <v>168</v>
      </c>
    </row>
    <row r="175" customFormat="false" ht="15" hidden="false" customHeight="true" outlineLevel="0" collapsed="false">
      <c r="A175" s="31" t="s">
        <v>253</v>
      </c>
      <c r="B175" s="32" t="n">
        <v>45866</v>
      </c>
      <c r="C175" s="31" t="s">
        <v>38</v>
      </c>
      <c r="D175" s="31" t="s">
        <v>71</v>
      </c>
      <c r="E175" s="31" t="s">
        <v>48</v>
      </c>
      <c r="F175" s="31" t="n">
        <v>8</v>
      </c>
      <c r="G175" s="33" t="n">
        <v>1160</v>
      </c>
      <c r="H175" s="33" t="n">
        <v>811</v>
      </c>
    </row>
    <row r="176" customFormat="false" ht="15" hidden="false" customHeight="true" outlineLevel="0" collapsed="false">
      <c r="A176" s="31" t="s">
        <v>254</v>
      </c>
      <c r="B176" s="32" t="n">
        <v>45867</v>
      </c>
      <c r="C176" s="31" t="s">
        <v>39</v>
      </c>
      <c r="D176" s="31" t="s">
        <v>69</v>
      </c>
      <c r="E176" s="31" t="s">
        <v>42</v>
      </c>
      <c r="F176" s="31" t="n">
        <v>3</v>
      </c>
      <c r="G176" s="33" t="n">
        <v>10605</v>
      </c>
      <c r="H176" s="33" t="n">
        <v>7517</v>
      </c>
    </row>
    <row r="177" customFormat="false" ht="15" hidden="false" customHeight="true" outlineLevel="0" collapsed="false">
      <c r="A177" s="31" t="s">
        <v>255</v>
      </c>
      <c r="B177" s="32" t="n">
        <v>45868</v>
      </c>
      <c r="C177" s="31" t="s">
        <v>37</v>
      </c>
      <c r="D177" s="31" t="s">
        <v>70</v>
      </c>
      <c r="E177" s="31" t="s">
        <v>44</v>
      </c>
      <c r="F177" s="31" t="n">
        <v>8</v>
      </c>
      <c r="G177" s="33" t="n">
        <v>43880</v>
      </c>
      <c r="H177" s="33" t="n">
        <v>31185</v>
      </c>
    </row>
    <row r="178" customFormat="false" ht="15" hidden="false" customHeight="true" outlineLevel="0" collapsed="false">
      <c r="A178" s="31" t="s">
        <v>256</v>
      </c>
      <c r="B178" s="32" t="n">
        <v>45871</v>
      </c>
      <c r="C178" s="31" t="s">
        <v>37</v>
      </c>
      <c r="D178" s="31" t="s">
        <v>70</v>
      </c>
      <c r="E178" s="31" t="s">
        <v>42</v>
      </c>
      <c r="F178" s="31" t="n">
        <v>3</v>
      </c>
      <c r="G178" s="33" t="n">
        <v>11052</v>
      </c>
      <c r="H178" s="33" t="n">
        <v>7971</v>
      </c>
    </row>
    <row r="179" customFormat="false" ht="15" hidden="false" customHeight="true" outlineLevel="0" collapsed="false">
      <c r="A179" s="31" t="s">
        <v>257</v>
      </c>
      <c r="B179" s="32" t="n">
        <v>45871</v>
      </c>
      <c r="C179" s="31" t="s">
        <v>36</v>
      </c>
      <c r="D179" s="31" t="s">
        <v>69</v>
      </c>
      <c r="E179" s="31" t="s">
        <v>49</v>
      </c>
      <c r="F179" s="31" t="n">
        <v>3</v>
      </c>
      <c r="G179" s="33" t="n">
        <v>5622</v>
      </c>
      <c r="H179" s="33" t="n">
        <v>3600</v>
      </c>
    </row>
    <row r="180" customFormat="false" ht="15" hidden="false" customHeight="true" outlineLevel="0" collapsed="false">
      <c r="A180" s="31" t="s">
        <v>258</v>
      </c>
      <c r="B180" s="32" t="n">
        <v>45872</v>
      </c>
      <c r="C180" s="31" t="s">
        <v>38</v>
      </c>
      <c r="D180" s="31" t="s">
        <v>70</v>
      </c>
      <c r="E180" s="31" t="s">
        <v>46</v>
      </c>
      <c r="F180" s="31" t="n">
        <v>2</v>
      </c>
      <c r="G180" s="33" t="n">
        <v>5560</v>
      </c>
      <c r="H180" s="33" t="n">
        <v>3927</v>
      </c>
    </row>
    <row r="181" customFormat="false" ht="15" hidden="false" customHeight="true" outlineLevel="0" collapsed="false">
      <c r="A181" s="31" t="s">
        <v>259</v>
      </c>
      <c r="B181" s="32" t="n">
        <v>45872</v>
      </c>
      <c r="C181" s="31" t="s">
        <v>38</v>
      </c>
      <c r="D181" s="31" t="s">
        <v>69</v>
      </c>
      <c r="E181" s="31" t="s">
        <v>47</v>
      </c>
      <c r="F181" s="31" t="n">
        <v>4</v>
      </c>
      <c r="G181" s="33" t="n">
        <v>12852</v>
      </c>
      <c r="H181" s="33" t="n">
        <v>8433</v>
      </c>
    </row>
    <row r="182" customFormat="false" ht="15" hidden="false" customHeight="true" outlineLevel="0" collapsed="false">
      <c r="A182" s="31" t="s">
        <v>260</v>
      </c>
      <c r="B182" s="32" t="n">
        <v>45873</v>
      </c>
      <c r="C182" s="31" t="s">
        <v>37</v>
      </c>
      <c r="D182" s="31" t="s">
        <v>70</v>
      </c>
      <c r="E182" s="31" t="s">
        <v>47</v>
      </c>
      <c r="F182" s="31" t="n">
        <v>4</v>
      </c>
      <c r="G182" s="33" t="n">
        <v>11300</v>
      </c>
      <c r="H182" s="33" t="n">
        <v>6632</v>
      </c>
    </row>
    <row r="183" customFormat="false" ht="15" hidden="false" customHeight="true" outlineLevel="0" collapsed="false">
      <c r="A183" s="31" t="s">
        <v>261</v>
      </c>
      <c r="B183" s="32" t="n">
        <v>45873</v>
      </c>
      <c r="C183" s="31" t="s">
        <v>38</v>
      </c>
      <c r="D183" s="31" t="s">
        <v>71</v>
      </c>
      <c r="E183" s="31" t="s">
        <v>48</v>
      </c>
      <c r="F183" s="31" t="n">
        <v>3</v>
      </c>
      <c r="G183" s="33" t="n">
        <v>1008</v>
      </c>
      <c r="H183" s="33" t="n">
        <v>754</v>
      </c>
    </row>
    <row r="184" customFormat="false" ht="15" hidden="false" customHeight="true" outlineLevel="0" collapsed="false">
      <c r="A184" s="31" t="s">
        <v>262</v>
      </c>
      <c r="B184" s="32" t="n">
        <v>45873</v>
      </c>
      <c r="C184" s="31" t="s">
        <v>38</v>
      </c>
      <c r="D184" s="31" t="s">
        <v>70</v>
      </c>
      <c r="E184" s="31" t="s">
        <v>44</v>
      </c>
      <c r="F184" s="31" t="n">
        <v>1</v>
      </c>
      <c r="G184" s="33" t="n">
        <v>4264</v>
      </c>
      <c r="H184" s="33" t="n">
        <v>2756</v>
      </c>
    </row>
    <row r="185" customFormat="false" ht="15" hidden="false" customHeight="true" outlineLevel="0" collapsed="false">
      <c r="A185" s="31" t="s">
        <v>263</v>
      </c>
      <c r="B185" s="32" t="n">
        <v>45883</v>
      </c>
      <c r="C185" s="31" t="s">
        <v>38</v>
      </c>
      <c r="D185" s="31" t="s">
        <v>71</v>
      </c>
      <c r="E185" s="31" t="s">
        <v>49</v>
      </c>
      <c r="F185" s="31" t="n">
        <v>3</v>
      </c>
      <c r="G185" s="33" t="n">
        <v>1035</v>
      </c>
      <c r="H185" s="33" t="n">
        <v>618</v>
      </c>
    </row>
    <row r="186" customFormat="false" ht="15" hidden="false" customHeight="true" outlineLevel="0" collapsed="false">
      <c r="A186" s="31" t="s">
        <v>264</v>
      </c>
      <c r="B186" s="32" t="n">
        <v>45883</v>
      </c>
      <c r="C186" s="31" t="s">
        <v>38</v>
      </c>
      <c r="D186" s="31" t="s">
        <v>71</v>
      </c>
      <c r="E186" s="31" t="s">
        <v>49</v>
      </c>
      <c r="F186" s="31" t="n">
        <v>8</v>
      </c>
      <c r="G186" s="33" t="n">
        <v>2624</v>
      </c>
      <c r="H186" s="33" t="n">
        <v>1739</v>
      </c>
    </row>
    <row r="187" customFormat="false" ht="15" hidden="false" customHeight="true" outlineLevel="0" collapsed="false">
      <c r="A187" s="31" t="s">
        <v>265</v>
      </c>
      <c r="B187" s="32" t="n">
        <v>45884</v>
      </c>
      <c r="C187" s="31" t="s">
        <v>36</v>
      </c>
      <c r="D187" s="31" t="s">
        <v>69</v>
      </c>
      <c r="E187" s="31" t="s">
        <v>47</v>
      </c>
      <c r="F187" s="31" t="n">
        <v>7</v>
      </c>
      <c r="G187" s="33" t="n">
        <v>22512</v>
      </c>
      <c r="H187" s="33" t="n">
        <v>12758</v>
      </c>
    </row>
    <row r="188" customFormat="false" ht="15" hidden="false" customHeight="true" outlineLevel="0" collapsed="false">
      <c r="A188" s="31" t="s">
        <v>266</v>
      </c>
      <c r="B188" s="32" t="n">
        <v>45886</v>
      </c>
      <c r="C188" s="31" t="s">
        <v>36</v>
      </c>
      <c r="D188" s="31" t="s">
        <v>68</v>
      </c>
      <c r="E188" s="31" t="s">
        <v>48</v>
      </c>
      <c r="F188" s="31" t="n">
        <v>1</v>
      </c>
      <c r="G188" s="33" t="n">
        <v>1662</v>
      </c>
      <c r="H188" s="33" t="n">
        <v>984</v>
      </c>
    </row>
    <row r="189" customFormat="false" ht="15" hidden="false" customHeight="true" outlineLevel="0" collapsed="false">
      <c r="A189" s="31" t="s">
        <v>267</v>
      </c>
      <c r="B189" s="32" t="n">
        <v>45886</v>
      </c>
      <c r="C189" s="31" t="s">
        <v>37</v>
      </c>
      <c r="D189" s="31" t="s">
        <v>71</v>
      </c>
      <c r="E189" s="31" t="s">
        <v>44</v>
      </c>
      <c r="F189" s="31" t="n">
        <v>4</v>
      </c>
      <c r="G189" s="33" t="n">
        <v>948</v>
      </c>
      <c r="H189" s="33" t="n">
        <v>544</v>
      </c>
    </row>
    <row r="190" customFormat="false" ht="15" hidden="false" customHeight="true" outlineLevel="0" collapsed="false">
      <c r="A190" s="31" t="s">
        <v>268</v>
      </c>
      <c r="B190" s="32" t="n">
        <v>45887</v>
      </c>
      <c r="C190" s="31" t="s">
        <v>37</v>
      </c>
      <c r="D190" s="31" t="s">
        <v>71</v>
      </c>
      <c r="E190" s="31" t="s">
        <v>42</v>
      </c>
      <c r="F190" s="31" t="n">
        <v>6</v>
      </c>
      <c r="G190" s="33" t="n">
        <v>1020</v>
      </c>
      <c r="H190" s="33" t="n">
        <v>741</v>
      </c>
    </row>
    <row r="191" customFormat="false" ht="15" hidden="false" customHeight="true" outlineLevel="0" collapsed="false">
      <c r="A191" s="31" t="s">
        <v>269</v>
      </c>
      <c r="B191" s="32" t="n">
        <v>45888</v>
      </c>
      <c r="C191" s="31" t="s">
        <v>39</v>
      </c>
      <c r="D191" s="31" t="s">
        <v>68</v>
      </c>
      <c r="E191" s="31" t="s">
        <v>47</v>
      </c>
      <c r="F191" s="31" t="n">
        <v>7</v>
      </c>
      <c r="G191" s="33" t="n">
        <v>10647</v>
      </c>
      <c r="H191" s="33" t="n">
        <v>6060</v>
      </c>
    </row>
    <row r="192" customFormat="false" ht="15" hidden="false" customHeight="true" outlineLevel="0" collapsed="false">
      <c r="A192" s="31" t="s">
        <v>270</v>
      </c>
      <c r="B192" s="32" t="n">
        <v>45889</v>
      </c>
      <c r="C192" s="31" t="s">
        <v>38</v>
      </c>
      <c r="D192" s="31" t="s">
        <v>69</v>
      </c>
      <c r="E192" s="31" t="s">
        <v>49</v>
      </c>
      <c r="F192" s="31" t="n">
        <v>1</v>
      </c>
      <c r="G192" s="33" t="n">
        <v>2737</v>
      </c>
      <c r="H192" s="33" t="n">
        <v>1753</v>
      </c>
    </row>
    <row r="193" customFormat="false" ht="15" hidden="false" customHeight="true" outlineLevel="0" collapsed="false">
      <c r="A193" s="31" t="s">
        <v>271</v>
      </c>
      <c r="B193" s="32" t="n">
        <v>45889</v>
      </c>
      <c r="C193" s="31" t="s">
        <v>37</v>
      </c>
      <c r="D193" s="31" t="s">
        <v>69</v>
      </c>
      <c r="E193" s="31" t="s">
        <v>45</v>
      </c>
      <c r="F193" s="31" t="n">
        <v>3</v>
      </c>
      <c r="G193" s="33" t="n">
        <v>10812</v>
      </c>
      <c r="H193" s="33" t="n">
        <v>7427</v>
      </c>
    </row>
    <row r="194" customFormat="false" ht="15" hidden="false" customHeight="true" outlineLevel="0" collapsed="false">
      <c r="A194" s="31" t="s">
        <v>272</v>
      </c>
      <c r="B194" s="32" t="n">
        <v>45889</v>
      </c>
      <c r="C194" s="31" t="s">
        <v>38</v>
      </c>
      <c r="D194" s="31" t="s">
        <v>70</v>
      </c>
      <c r="E194" s="31" t="s">
        <v>46</v>
      </c>
      <c r="F194" s="31" t="n">
        <v>7</v>
      </c>
      <c r="G194" s="33" t="n">
        <v>44940</v>
      </c>
      <c r="H194" s="33" t="n">
        <v>30340</v>
      </c>
    </row>
    <row r="195" customFormat="false" ht="15" hidden="false" customHeight="true" outlineLevel="0" collapsed="false">
      <c r="A195" s="31" t="s">
        <v>273</v>
      </c>
      <c r="B195" s="32" t="n">
        <v>45889</v>
      </c>
      <c r="C195" s="31" t="s">
        <v>38</v>
      </c>
      <c r="D195" s="31" t="s">
        <v>70</v>
      </c>
      <c r="E195" s="31" t="s">
        <v>46</v>
      </c>
      <c r="F195" s="31" t="n">
        <v>8</v>
      </c>
      <c r="G195" s="33" t="n">
        <v>63656</v>
      </c>
      <c r="H195" s="33" t="n">
        <v>40530</v>
      </c>
    </row>
    <row r="196" customFormat="false" ht="15" hidden="false" customHeight="true" outlineLevel="0" collapsed="false">
      <c r="A196" s="31" t="s">
        <v>274</v>
      </c>
      <c r="B196" s="32" t="n">
        <v>45890</v>
      </c>
      <c r="C196" s="31" t="s">
        <v>36</v>
      </c>
      <c r="D196" s="31" t="s">
        <v>71</v>
      </c>
      <c r="E196" s="31" t="s">
        <v>45</v>
      </c>
      <c r="F196" s="31" t="n">
        <v>8</v>
      </c>
      <c r="G196" s="33" t="n">
        <v>2456</v>
      </c>
      <c r="H196" s="33" t="n">
        <v>1428</v>
      </c>
    </row>
    <row r="197" customFormat="false" ht="15" hidden="false" customHeight="true" outlineLevel="0" collapsed="false">
      <c r="A197" s="31" t="s">
        <v>275</v>
      </c>
      <c r="B197" s="32" t="n">
        <v>45892</v>
      </c>
      <c r="C197" s="31" t="s">
        <v>38</v>
      </c>
      <c r="D197" s="31" t="s">
        <v>69</v>
      </c>
      <c r="E197" s="31" t="s">
        <v>42</v>
      </c>
      <c r="F197" s="31" t="n">
        <v>6</v>
      </c>
      <c r="G197" s="33" t="n">
        <v>17472</v>
      </c>
      <c r="H197" s="33" t="n">
        <v>12066</v>
      </c>
    </row>
    <row r="198" customFormat="false" ht="15" hidden="false" customHeight="true" outlineLevel="0" collapsed="false">
      <c r="A198" s="31" t="s">
        <v>276</v>
      </c>
      <c r="B198" s="32" t="n">
        <v>45892</v>
      </c>
      <c r="C198" s="31" t="s">
        <v>36</v>
      </c>
      <c r="D198" s="31" t="s">
        <v>68</v>
      </c>
      <c r="E198" s="31" t="s">
        <v>43</v>
      </c>
      <c r="F198" s="31" t="n">
        <v>8</v>
      </c>
      <c r="G198" s="33" t="n">
        <v>14072</v>
      </c>
      <c r="H198" s="33" t="n">
        <v>7776</v>
      </c>
    </row>
    <row r="199" customFormat="false" ht="15" hidden="false" customHeight="true" outlineLevel="0" collapsed="false">
      <c r="A199" s="31" t="s">
        <v>277</v>
      </c>
      <c r="B199" s="32" t="n">
        <v>45894</v>
      </c>
      <c r="C199" s="31" t="s">
        <v>37</v>
      </c>
      <c r="D199" s="31" t="s">
        <v>68</v>
      </c>
      <c r="E199" s="31" t="s">
        <v>47</v>
      </c>
      <c r="F199" s="31" t="n">
        <v>4</v>
      </c>
      <c r="G199" s="33" t="n">
        <v>6972</v>
      </c>
      <c r="H199" s="33" t="n">
        <v>4940</v>
      </c>
    </row>
    <row r="200" customFormat="false" ht="15" hidden="false" customHeight="true" outlineLevel="0" collapsed="false">
      <c r="A200" s="31" t="s">
        <v>278</v>
      </c>
      <c r="B200" s="32" t="n">
        <v>45895</v>
      </c>
      <c r="C200" s="31" t="s">
        <v>37</v>
      </c>
      <c r="D200" s="31" t="s">
        <v>69</v>
      </c>
      <c r="E200" s="31" t="s">
        <v>48</v>
      </c>
      <c r="F200" s="31" t="n">
        <v>5</v>
      </c>
      <c r="G200" s="33" t="n">
        <v>9340</v>
      </c>
      <c r="H200" s="33" t="n">
        <v>6855</v>
      </c>
    </row>
    <row r="201" customFormat="false" ht="15" hidden="false" customHeight="true" outlineLevel="0" collapsed="false">
      <c r="A201" s="31" t="s">
        <v>279</v>
      </c>
      <c r="B201" s="32" t="n">
        <v>45896</v>
      </c>
      <c r="C201" s="31" t="s">
        <v>36</v>
      </c>
      <c r="D201" s="31" t="s">
        <v>70</v>
      </c>
      <c r="E201" s="31" t="s">
        <v>49</v>
      </c>
      <c r="F201" s="31" t="n">
        <v>8</v>
      </c>
      <c r="G201" s="33" t="n">
        <v>45120</v>
      </c>
      <c r="H201" s="33" t="n">
        <v>34474</v>
      </c>
    </row>
    <row r="202" customFormat="false" ht="15" hidden="false" customHeight="true" outlineLevel="0" collapsed="false">
      <c r="A202" s="31" t="s">
        <v>280</v>
      </c>
      <c r="B202" s="32" t="n">
        <v>45896</v>
      </c>
      <c r="C202" s="31" t="s">
        <v>38</v>
      </c>
      <c r="D202" s="31" t="s">
        <v>71</v>
      </c>
      <c r="E202" s="31" t="s">
        <v>49</v>
      </c>
      <c r="F202" s="31" t="n">
        <v>4</v>
      </c>
      <c r="G202" s="33" t="n">
        <v>724</v>
      </c>
      <c r="H202" s="33" t="n">
        <v>552</v>
      </c>
    </row>
    <row r="203" customFormat="false" ht="15" hidden="false" customHeight="true" outlineLevel="0" collapsed="false">
      <c r="A203" s="31" t="s">
        <v>281</v>
      </c>
      <c r="B203" s="32" t="n">
        <v>45898</v>
      </c>
      <c r="C203" s="31" t="s">
        <v>37</v>
      </c>
      <c r="D203" s="31" t="s">
        <v>71</v>
      </c>
      <c r="E203" s="31" t="s">
        <v>47</v>
      </c>
      <c r="F203" s="31" t="n">
        <v>6</v>
      </c>
      <c r="G203" s="33" t="n">
        <v>2640</v>
      </c>
      <c r="H203" s="33" t="n">
        <v>1885</v>
      </c>
    </row>
    <row r="204" customFormat="false" ht="15" hidden="false" customHeight="true" outlineLevel="0" collapsed="false">
      <c r="A204" s="31" t="s">
        <v>282</v>
      </c>
      <c r="B204" s="32" t="n">
        <v>45900</v>
      </c>
      <c r="C204" s="31" t="s">
        <v>36</v>
      </c>
      <c r="D204" s="31" t="s">
        <v>68</v>
      </c>
      <c r="E204" s="31" t="s">
        <v>42</v>
      </c>
      <c r="F204" s="31" t="n">
        <v>3</v>
      </c>
      <c r="G204" s="33" t="n">
        <v>4737</v>
      </c>
      <c r="H204" s="33" t="n">
        <v>3240</v>
      </c>
    </row>
    <row r="205" customFormat="false" ht="15" hidden="false" customHeight="true" outlineLevel="0" collapsed="false">
      <c r="A205" s="31" t="s">
        <v>283</v>
      </c>
      <c r="B205" s="32" t="n">
        <v>45901</v>
      </c>
      <c r="C205" s="31" t="s">
        <v>39</v>
      </c>
      <c r="D205" s="31" t="s">
        <v>68</v>
      </c>
      <c r="E205" s="31" t="s">
        <v>46</v>
      </c>
      <c r="F205" s="31" t="n">
        <v>2</v>
      </c>
      <c r="G205" s="33" t="n">
        <v>2692</v>
      </c>
      <c r="H205" s="33" t="n">
        <v>2044</v>
      </c>
    </row>
    <row r="206" customFormat="false" ht="15" hidden="false" customHeight="true" outlineLevel="0" collapsed="false">
      <c r="A206" s="31" t="s">
        <v>284</v>
      </c>
      <c r="B206" s="32" t="n">
        <v>45901</v>
      </c>
      <c r="C206" s="31" t="s">
        <v>36</v>
      </c>
      <c r="D206" s="31" t="s">
        <v>69</v>
      </c>
      <c r="E206" s="31" t="s">
        <v>46</v>
      </c>
      <c r="F206" s="31" t="n">
        <v>8</v>
      </c>
      <c r="G206" s="33" t="n">
        <v>31192</v>
      </c>
      <c r="H206" s="33" t="n">
        <v>19308</v>
      </c>
    </row>
    <row r="207" customFormat="false" ht="15" hidden="false" customHeight="true" outlineLevel="0" collapsed="false">
      <c r="A207" s="31" t="s">
        <v>285</v>
      </c>
      <c r="B207" s="32" t="n">
        <v>45903</v>
      </c>
      <c r="C207" s="31" t="s">
        <v>36</v>
      </c>
      <c r="D207" s="31" t="s">
        <v>69</v>
      </c>
      <c r="E207" s="31" t="s">
        <v>46</v>
      </c>
      <c r="F207" s="31" t="n">
        <v>1</v>
      </c>
      <c r="G207" s="33" t="n">
        <v>2921</v>
      </c>
      <c r="H207" s="33" t="n">
        <v>1824</v>
      </c>
    </row>
    <row r="208" customFormat="false" ht="15" hidden="false" customHeight="true" outlineLevel="0" collapsed="false">
      <c r="A208" s="31" t="s">
        <v>286</v>
      </c>
      <c r="B208" s="32" t="n">
        <v>45904</v>
      </c>
      <c r="C208" s="31" t="s">
        <v>36</v>
      </c>
      <c r="D208" s="31" t="s">
        <v>69</v>
      </c>
      <c r="E208" s="31" t="s">
        <v>47</v>
      </c>
      <c r="F208" s="31" t="n">
        <v>3</v>
      </c>
      <c r="G208" s="33" t="n">
        <v>12390</v>
      </c>
      <c r="H208" s="33" t="n">
        <v>8152</v>
      </c>
    </row>
    <row r="209" customFormat="false" ht="15" hidden="false" customHeight="true" outlineLevel="0" collapsed="false">
      <c r="A209" s="31" t="s">
        <v>287</v>
      </c>
      <c r="B209" s="32" t="n">
        <v>45904</v>
      </c>
      <c r="C209" s="31" t="s">
        <v>39</v>
      </c>
      <c r="D209" s="31" t="s">
        <v>69</v>
      </c>
      <c r="E209" s="31" t="s">
        <v>48</v>
      </c>
      <c r="F209" s="31" t="n">
        <v>4</v>
      </c>
      <c r="G209" s="33" t="n">
        <v>7236</v>
      </c>
      <c r="H209" s="33" t="n">
        <v>5024</v>
      </c>
    </row>
    <row r="210" customFormat="false" ht="15" hidden="false" customHeight="true" outlineLevel="0" collapsed="false">
      <c r="A210" s="31" t="s">
        <v>288</v>
      </c>
      <c r="B210" s="32" t="n">
        <v>45905</v>
      </c>
      <c r="C210" s="31" t="s">
        <v>39</v>
      </c>
      <c r="D210" s="31" t="s">
        <v>69</v>
      </c>
      <c r="E210" s="31" t="s">
        <v>48</v>
      </c>
      <c r="F210" s="31" t="n">
        <v>2</v>
      </c>
      <c r="G210" s="33" t="n">
        <v>6800</v>
      </c>
      <c r="H210" s="33" t="n">
        <v>5116</v>
      </c>
    </row>
    <row r="211" customFormat="false" ht="15" hidden="false" customHeight="true" outlineLevel="0" collapsed="false">
      <c r="A211" s="31" t="s">
        <v>289</v>
      </c>
      <c r="B211" s="32" t="n">
        <v>45905</v>
      </c>
      <c r="C211" s="31" t="s">
        <v>36</v>
      </c>
      <c r="D211" s="31" t="s">
        <v>69</v>
      </c>
      <c r="E211" s="31" t="s">
        <v>49</v>
      </c>
      <c r="F211" s="31" t="n">
        <v>3</v>
      </c>
      <c r="G211" s="33" t="n">
        <v>12897</v>
      </c>
      <c r="H211" s="33" t="n">
        <v>8597</v>
      </c>
    </row>
    <row r="212" customFormat="false" ht="15" hidden="false" customHeight="true" outlineLevel="0" collapsed="false">
      <c r="A212" s="31" t="s">
        <v>290</v>
      </c>
      <c r="B212" s="32" t="n">
        <v>45907</v>
      </c>
      <c r="C212" s="31" t="s">
        <v>36</v>
      </c>
      <c r="D212" s="31" t="s">
        <v>70</v>
      </c>
      <c r="E212" s="31" t="s">
        <v>45</v>
      </c>
      <c r="F212" s="31" t="n">
        <v>1</v>
      </c>
      <c r="G212" s="33" t="n">
        <v>3727</v>
      </c>
      <c r="H212" s="33" t="n">
        <v>2569</v>
      </c>
    </row>
    <row r="213" customFormat="false" ht="15" hidden="false" customHeight="true" outlineLevel="0" collapsed="false">
      <c r="A213" s="31" t="s">
        <v>291</v>
      </c>
      <c r="B213" s="32" t="n">
        <v>45909</v>
      </c>
      <c r="C213" s="31" t="s">
        <v>39</v>
      </c>
      <c r="D213" s="31" t="s">
        <v>69</v>
      </c>
      <c r="E213" s="31" t="s">
        <v>42</v>
      </c>
      <c r="F213" s="31" t="n">
        <v>4</v>
      </c>
      <c r="G213" s="33" t="n">
        <v>9840</v>
      </c>
      <c r="H213" s="33" t="n">
        <v>6590</v>
      </c>
    </row>
    <row r="214" customFormat="false" ht="15" hidden="false" customHeight="true" outlineLevel="0" collapsed="false">
      <c r="A214" s="31" t="s">
        <v>292</v>
      </c>
      <c r="B214" s="32" t="n">
        <v>45913</v>
      </c>
      <c r="C214" s="31" t="s">
        <v>37</v>
      </c>
      <c r="D214" s="31" t="s">
        <v>69</v>
      </c>
      <c r="E214" s="31" t="s">
        <v>47</v>
      </c>
      <c r="F214" s="31" t="n">
        <v>8</v>
      </c>
      <c r="G214" s="33" t="n">
        <v>33304</v>
      </c>
      <c r="H214" s="33" t="n">
        <v>24179</v>
      </c>
    </row>
    <row r="215" customFormat="false" ht="15" hidden="false" customHeight="true" outlineLevel="0" collapsed="false">
      <c r="A215" s="31" t="s">
        <v>293</v>
      </c>
      <c r="B215" s="32" t="n">
        <v>45913</v>
      </c>
      <c r="C215" s="31" t="s">
        <v>38</v>
      </c>
      <c r="D215" s="31" t="s">
        <v>69</v>
      </c>
      <c r="E215" s="31" t="s">
        <v>48</v>
      </c>
      <c r="F215" s="31" t="n">
        <v>2</v>
      </c>
      <c r="G215" s="33" t="n">
        <v>3158</v>
      </c>
      <c r="H215" s="33" t="n">
        <v>1965</v>
      </c>
    </row>
    <row r="216" customFormat="false" ht="15" hidden="false" customHeight="true" outlineLevel="0" collapsed="false">
      <c r="A216" s="31" t="s">
        <v>294</v>
      </c>
      <c r="B216" s="32" t="n">
        <v>45918</v>
      </c>
      <c r="C216" s="31" t="s">
        <v>36</v>
      </c>
      <c r="D216" s="31" t="s">
        <v>71</v>
      </c>
      <c r="E216" s="31" t="s">
        <v>49</v>
      </c>
      <c r="F216" s="31" t="n">
        <v>4</v>
      </c>
      <c r="G216" s="33" t="n">
        <v>2088</v>
      </c>
      <c r="H216" s="33" t="n">
        <v>1226</v>
      </c>
    </row>
    <row r="217" customFormat="false" ht="15" hidden="false" customHeight="true" outlineLevel="0" collapsed="false">
      <c r="A217" s="31" t="s">
        <v>295</v>
      </c>
      <c r="B217" s="32" t="n">
        <v>45918</v>
      </c>
      <c r="C217" s="31" t="s">
        <v>36</v>
      </c>
      <c r="D217" s="31" t="s">
        <v>68</v>
      </c>
      <c r="E217" s="31" t="s">
        <v>49</v>
      </c>
      <c r="F217" s="31" t="n">
        <v>5</v>
      </c>
      <c r="G217" s="33" t="n">
        <v>6780</v>
      </c>
      <c r="H217" s="33" t="n">
        <v>4376</v>
      </c>
    </row>
    <row r="218" customFormat="false" ht="15" hidden="false" customHeight="true" outlineLevel="0" collapsed="false">
      <c r="A218" s="31" t="s">
        <v>296</v>
      </c>
      <c r="B218" s="32" t="n">
        <v>45920</v>
      </c>
      <c r="C218" s="31" t="s">
        <v>38</v>
      </c>
      <c r="D218" s="31" t="s">
        <v>69</v>
      </c>
      <c r="E218" s="31" t="s">
        <v>44</v>
      </c>
      <c r="F218" s="31" t="n">
        <v>4</v>
      </c>
      <c r="G218" s="33" t="n">
        <v>11932</v>
      </c>
      <c r="H218" s="33" t="n">
        <v>7454</v>
      </c>
    </row>
    <row r="219" customFormat="false" ht="15" hidden="false" customHeight="true" outlineLevel="0" collapsed="false">
      <c r="A219" s="31" t="s">
        <v>297</v>
      </c>
      <c r="B219" s="32" t="n">
        <v>45920</v>
      </c>
      <c r="C219" s="31" t="s">
        <v>36</v>
      </c>
      <c r="D219" s="31" t="s">
        <v>68</v>
      </c>
      <c r="E219" s="31" t="s">
        <v>43</v>
      </c>
      <c r="F219" s="31" t="n">
        <v>2</v>
      </c>
      <c r="G219" s="33" t="n">
        <v>4548</v>
      </c>
      <c r="H219" s="33" t="n">
        <v>2608</v>
      </c>
    </row>
    <row r="220" customFormat="false" ht="15" hidden="false" customHeight="true" outlineLevel="0" collapsed="false">
      <c r="A220" s="31" t="s">
        <v>298</v>
      </c>
      <c r="B220" s="32" t="n">
        <v>45920</v>
      </c>
      <c r="C220" s="31" t="s">
        <v>39</v>
      </c>
      <c r="D220" s="31" t="s">
        <v>68</v>
      </c>
      <c r="E220" s="31" t="s">
        <v>49</v>
      </c>
      <c r="F220" s="31" t="n">
        <v>8</v>
      </c>
      <c r="G220" s="33" t="n">
        <v>5456</v>
      </c>
      <c r="H220" s="33" t="n">
        <v>3205</v>
      </c>
    </row>
    <row r="221" customFormat="false" ht="15" hidden="false" customHeight="true" outlineLevel="0" collapsed="false">
      <c r="A221" s="31" t="s">
        <v>299</v>
      </c>
      <c r="B221" s="32" t="n">
        <v>45921</v>
      </c>
      <c r="C221" s="31" t="s">
        <v>39</v>
      </c>
      <c r="D221" s="31" t="s">
        <v>69</v>
      </c>
      <c r="E221" s="31" t="s">
        <v>46</v>
      </c>
      <c r="F221" s="31" t="n">
        <v>5</v>
      </c>
      <c r="G221" s="33" t="n">
        <v>15635</v>
      </c>
      <c r="H221" s="33" t="n">
        <v>10424</v>
      </c>
    </row>
    <row r="222" customFormat="false" ht="15" hidden="false" customHeight="true" outlineLevel="0" collapsed="false">
      <c r="A222" s="31" t="s">
        <v>300</v>
      </c>
      <c r="B222" s="32" t="n">
        <v>45923</v>
      </c>
      <c r="C222" s="31" t="s">
        <v>36</v>
      </c>
      <c r="D222" s="31" t="s">
        <v>71</v>
      </c>
      <c r="E222" s="31" t="s">
        <v>44</v>
      </c>
      <c r="F222" s="31" t="n">
        <v>5</v>
      </c>
      <c r="G222" s="33" t="n">
        <v>1440</v>
      </c>
      <c r="H222" s="33" t="n">
        <v>1029</v>
      </c>
    </row>
    <row r="223" customFormat="false" ht="15" hidden="false" customHeight="true" outlineLevel="0" collapsed="false">
      <c r="A223" s="31" t="s">
        <v>301</v>
      </c>
      <c r="B223" s="32" t="n">
        <v>45923</v>
      </c>
      <c r="C223" s="31" t="s">
        <v>39</v>
      </c>
      <c r="D223" s="31" t="s">
        <v>70</v>
      </c>
      <c r="E223" s="31" t="s">
        <v>44</v>
      </c>
      <c r="F223" s="31" t="n">
        <v>4</v>
      </c>
      <c r="G223" s="33" t="n">
        <v>28472</v>
      </c>
      <c r="H223" s="33" t="n">
        <v>21085</v>
      </c>
    </row>
    <row r="224" customFormat="false" ht="15" hidden="false" customHeight="true" outlineLevel="0" collapsed="false">
      <c r="A224" s="31" t="s">
        <v>302</v>
      </c>
      <c r="B224" s="32" t="n">
        <v>45924</v>
      </c>
      <c r="C224" s="31" t="s">
        <v>38</v>
      </c>
      <c r="D224" s="31" t="s">
        <v>71</v>
      </c>
      <c r="E224" s="31" t="s">
        <v>48</v>
      </c>
      <c r="F224" s="31" t="n">
        <v>5</v>
      </c>
      <c r="G224" s="33" t="n">
        <v>2550</v>
      </c>
      <c r="H224" s="33" t="n">
        <v>1497</v>
      </c>
    </row>
    <row r="225" customFormat="false" ht="15" hidden="false" customHeight="true" outlineLevel="0" collapsed="false">
      <c r="A225" s="31" t="s">
        <v>303</v>
      </c>
      <c r="B225" s="32" t="n">
        <v>45925</v>
      </c>
      <c r="C225" s="31" t="s">
        <v>37</v>
      </c>
      <c r="D225" s="31" t="s">
        <v>71</v>
      </c>
      <c r="E225" s="31" t="s">
        <v>49</v>
      </c>
      <c r="F225" s="31" t="n">
        <v>5</v>
      </c>
      <c r="G225" s="33" t="n">
        <v>1090</v>
      </c>
      <c r="H225" s="33" t="n">
        <v>763</v>
      </c>
    </row>
    <row r="226" customFormat="false" ht="15" hidden="false" customHeight="true" outlineLevel="0" collapsed="false">
      <c r="A226" s="31" t="s">
        <v>304</v>
      </c>
      <c r="B226" s="32" t="n">
        <v>45928</v>
      </c>
      <c r="C226" s="31" t="s">
        <v>39</v>
      </c>
      <c r="D226" s="31" t="s">
        <v>71</v>
      </c>
      <c r="E226" s="31" t="s">
        <v>46</v>
      </c>
      <c r="F226" s="31" t="n">
        <v>3</v>
      </c>
      <c r="G226" s="33" t="n">
        <v>711</v>
      </c>
      <c r="H226" s="33" t="n">
        <v>503</v>
      </c>
    </row>
    <row r="227" customFormat="false" ht="15" hidden="false" customHeight="true" outlineLevel="0" collapsed="false">
      <c r="A227" s="31" t="s">
        <v>305</v>
      </c>
      <c r="B227" s="32" t="n">
        <v>45929</v>
      </c>
      <c r="C227" s="31" t="s">
        <v>38</v>
      </c>
      <c r="D227" s="31" t="s">
        <v>71</v>
      </c>
      <c r="E227" s="31" t="s">
        <v>42</v>
      </c>
      <c r="F227" s="31" t="n">
        <v>7</v>
      </c>
      <c r="G227" s="33" t="n">
        <v>2079</v>
      </c>
      <c r="H227" s="33" t="n">
        <v>1590</v>
      </c>
    </row>
    <row r="228" customFormat="false" ht="15" hidden="false" customHeight="true" outlineLevel="0" collapsed="false">
      <c r="A228" s="31" t="s">
        <v>306</v>
      </c>
      <c r="B228" s="32" t="n">
        <v>45933</v>
      </c>
      <c r="C228" s="31" t="s">
        <v>36</v>
      </c>
      <c r="D228" s="31" t="s">
        <v>69</v>
      </c>
      <c r="E228" s="31" t="s">
        <v>43</v>
      </c>
      <c r="F228" s="31" t="n">
        <v>2</v>
      </c>
      <c r="G228" s="33" t="n">
        <v>3346</v>
      </c>
      <c r="H228" s="33" t="n">
        <v>1989</v>
      </c>
    </row>
    <row r="229" customFormat="false" ht="15" hidden="false" customHeight="true" outlineLevel="0" collapsed="false">
      <c r="A229" s="31" t="s">
        <v>307</v>
      </c>
      <c r="B229" s="32" t="n">
        <v>45935</v>
      </c>
      <c r="C229" s="31" t="s">
        <v>38</v>
      </c>
      <c r="D229" s="31" t="s">
        <v>70</v>
      </c>
      <c r="E229" s="31" t="s">
        <v>47</v>
      </c>
      <c r="F229" s="31" t="n">
        <v>1</v>
      </c>
      <c r="G229" s="33" t="n">
        <v>6944</v>
      </c>
      <c r="H229" s="33" t="n">
        <v>5186</v>
      </c>
    </row>
    <row r="230" customFormat="false" ht="15" hidden="false" customHeight="true" outlineLevel="0" collapsed="false">
      <c r="A230" s="31" t="s">
        <v>308</v>
      </c>
      <c r="B230" s="32" t="n">
        <v>45937</v>
      </c>
      <c r="C230" s="31" t="s">
        <v>39</v>
      </c>
      <c r="D230" s="31" t="s">
        <v>69</v>
      </c>
      <c r="E230" s="31" t="s">
        <v>48</v>
      </c>
      <c r="F230" s="31" t="n">
        <v>8</v>
      </c>
      <c r="G230" s="33" t="n">
        <v>33280</v>
      </c>
      <c r="H230" s="33" t="n">
        <v>20476</v>
      </c>
    </row>
    <row r="231" customFormat="false" ht="15" hidden="false" customHeight="true" outlineLevel="0" collapsed="false">
      <c r="A231" s="31" t="s">
        <v>309</v>
      </c>
      <c r="B231" s="32" t="n">
        <v>45940</v>
      </c>
      <c r="C231" s="31" t="s">
        <v>36</v>
      </c>
      <c r="D231" s="31" t="s">
        <v>71</v>
      </c>
      <c r="E231" s="31" t="s">
        <v>44</v>
      </c>
      <c r="F231" s="31" t="n">
        <v>7</v>
      </c>
      <c r="G231" s="33" t="n">
        <v>3115</v>
      </c>
      <c r="H231" s="33" t="n">
        <v>2211</v>
      </c>
    </row>
    <row r="232" customFormat="false" ht="15" hidden="false" customHeight="true" outlineLevel="0" collapsed="false">
      <c r="A232" s="31" t="s">
        <v>310</v>
      </c>
      <c r="B232" s="32" t="n">
        <v>45941</v>
      </c>
      <c r="C232" s="31" t="s">
        <v>36</v>
      </c>
      <c r="D232" s="31" t="s">
        <v>70</v>
      </c>
      <c r="E232" s="31" t="s">
        <v>49</v>
      </c>
      <c r="F232" s="31" t="n">
        <v>2</v>
      </c>
      <c r="G232" s="33" t="n">
        <v>14112</v>
      </c>
      <c r="H232" s="33" t="n">
        <v>10792</v>
      </c>
    </row>
    <row r="233" customFormat="false" ht="15" hidden="false" customHeight="true" outlineLevel="0" collapsed="false">
      <c r="A233" s="31" t="s">
        <v>311</v>
      </c>
      <c r="B233" s="32" t="n">
        <v>45944</v>
      </c>
      <c r="C233" s="31" t="s">
        <v>36</v>
      </c>
      <c r="D233" s="31" t="s">
        <v>70</v>
      </c>
      <c r="E233" s="31" t="s">
        <v>44</v>
      </c>
      <c r="F233" s="31" t="n">
        <v>3</v>
      </c>
      <c r="G233" s="33" t="n">
        <v>15453</v>
      </c>
      <c r="H233" s="33" t="n">
        <v>11643</v>
      </c>
    </row>
    <row r="234" customFormat="false" ht="15" hidden="false" customHeight="true" outlineLevel="0" collapsed="false">
      <c r="A234" s="31" t="s">
        <v>312</v>
      </c>
      <c r="B234" s="32" t="n">
        <v>45944</v>
      </c>
      <c r="C234" s="31" t="s">
        <v>37</v>
      </c>
      <c r="D234" s="31" t="s">
        <v>69</v>
      </c>
      <c r="E234" s="31" t="s">
        <v>49</v>
      </c>
      <c r="F234" s="31" t="n">
        <v>7</v>
      </c>
      <c r="G234" s="33" t="n">
        <v>18354</v>
      </c>
      <c r="H234" s="33" t="n">
        <v>11455</v>
      </c>
    </row>
    <row r="235" customFormat="false" ht="15" hidden="false" customHeight="true" outlineLevel="0" collapsed="false">
      <c r="A235" s="31" t="s">
        <v>313</v>
      </c>
      <c r="B235" s="32" t="n">
        <v>45944</v>
      </c>
      <c r="C235" s="31" t="s">
        <v>37</v>
      </c>
      <c r="D235" s="31" t="s">
        <v>69</v>
      </c>
      <c r="E235" s="31" t="s">
        <v>42</v>
      </c>
      <c r="F235" s="31" t="n">
        <v>5</v>
      </c>
      <c r="G235" s="33" t="n">
        <v>18945</v>
      </c>
      <c r="H235" s="33" t="n">
        <v>10643</v>
      </c>
    </row>
    <row r="236" customFormat="false" ht="15" hidden="false" customHeight="true" outlineLevel="0" collapsed="false">
      <c r="A236" s="31" t="s">
        <v>314</v>
      </c>
      <c r="B236" s="32" t="n">
        <v>45946</v>
      </c>
      <c r="C236" s="31" t="s">
        <v>38</v>
      </c>
      <c r="D236" s="31" t="s">
        <v>68</v>
      </c>
      <c r="E236" s="31" t="s">
        <v>47</v>
      </c>
      <c r="F236" s="31" t="n">
        <v>5</v>
      </c>
      <c r="G236" s="33" t="n">
        <v>9860</v>
      </c>
      <c r="H236" s="33" t="n">
        <v>5601</v>
      </c>
    </row>
    <row r="237" customFormat="false" ht="15" hidden="false" customHeight="true" outlineLevel="0" collapsed="false">
      <c r="A237" s="31" t="s">
        <v>315</v>
      </c>
      <c r="B237" s="32" t="n">
        <v>45947</v>
      </c>
      <c r="C237" s="31" t="s">
        <v>39</v>
      </c>
      <c r="D237" s="31" t="s">
        <v>70</v>
      </c>
      <c r="E237" s="31" t="s">
        <v>47</v>
      </c>
      <c r="F237" s="31" t="n">
        <v>4</v>
      </c>
      <c r="G237" s="33" t="n">
        <v>23384</v>
      </c>
      <c r="H237" s="33" t="n">
        <v>15466</v>
      </c>
    </row>
    <row r="238" customFormat="false" ht="15" hidden="false" customHeight="true" outlineLevel="0" collapsed="false">
      <c r="A238" s="31" t="s">
        <v>316</v>
      </c>
      <c r="B238" s="32" t="n">
        <v>45950</v>
      </c>
      <c r="C238" s="31" t="s">
        <v>36</v>
      </c>
      <c r="D238" s="31" t="s">
        <v>68</v>
      </c>
      <c r="E238" s="31" t="s">
        <v>46</v>
      </c>
      <c r="F238" s="31" t="n">
        <v>7</v>
      </c>
      <c r="G238" s="33" t="n">
        <v>12187</v>
      </c>
      <c r="H238" s="33" t="n">
        <v>6864</v>
      </c>
    </row>
    <row r="239" customFormat="false" ht="15" hidden="false" customHeight="true" outlineLevel="0" collapsed="false">
      <c r="A239" s="31" t="s">
        <v>317</v>
      </c>
      <c r="B239" s="32" t="n">
        <v>45951</v>
      </c>
      <c r="C239" s="31" t="s">
        <v>39</v>
      </c>
      <c r="D239" s="31" t="s">
        <v>69</v>
      </c>
      <c r="E239" s="31" t="s">
        <v>42</v>
      </c>
      <c r="F239" s="31" t="n">
        <v>5</v>
      </c>
      <c r="G239" s="33" t="n">
        <v>12610</v>
      </c>
      <c r="H239" s="33" t="n">
        <v>9819</v>
      </c>
    </row>
    <row r="240" customFormat="false" ht="15" hidden="false" customHeight="true" outlineLevel="0" collapsed="false">
      <c r="A240" s="31" t="s">
        <v>318</v>
      </c>
      <c r="B240" s="32" t="n">
        <v>45952</v>
      </c>
      <c r="C240" s="31" t="s">
        <v>37</v>
      </c>
      <c r="D240" s="31" t="s">
        <v>69</v>
      </c>
      <c r="E240" s="31" t="s">
        <v>46</v>
      </c>
      <c r="F240" s="31" t="n">
        <v>1</v>
      </c>
      <c r="G240" s="33" t="n">
        <v>2191</v>
      </c>
      <c r="H240" s="33" t="n">
        <v>1477</v>
      </c>
    </row>
    <row r="241" customFormat="false" ht="15" hidden="false" customHeight="true" outlineLevel="0" collapsed="false">
      <c r="A241" s="31" t="s">
        <v>319</v>
      </c>
      <c r="B241" s="32" t="n">
        <v>45953</v>
      </c>
      <c r="C241" s="31" t="s">
        <v>37</v>
      </c>
      <c r="D241" s="31" t="s">
        <v>70</v>
      </c>
      <c r="E241" s="31" t="s">
        <v>45</v>
      </c>
      <c r="F241" s="31" t="n">
        <v>5</v>
      </c>
      <c r="G241" s="33" t="n">
        <v>15075</v>
      </c>
      <c r="H241" s="33" t="n">
        <v>10074</v>
      </c>
    </row>
    <row r="242" customFormat="false" ht="15" hidden="false" customHeight="true" outlineLevel="0" collapsed="false">
      <c r="A242" s="31" t="s">
        <v>320</v>
      </c>
      <c r="B242" s="32" t="n">
        <v>45955</v>
      </c>
      <c r="C242" s="31" t="s">
        <v>36</v>
      </c>
      <c r="D242" s="31" t="s">
        <v>69</v>
      </c>
      <c r="E242" s="31" t="s">
        <v>45</v>
      </c>
      <c r="F242" s="31" t="n">
        <v>6</v>
      </c>
      <c r="G242" s="33" t="n">
        <v>9270</v>
      </c>
      <c r="H242" s="33" t="n">
        <v>6734</v>
      </c>
    </row>
    <row r="243" customFormat="false" ht="15" hidden="false" customHeight="true" outlineLevel="0" collapsed="false">
      <c r="A243" s="31" t="s">
        <v>321</v>
      </c>
      <c r="B243" s="32" t="n">
        <v>45956</v>
      </c>
      <c r="C243" s="31" t="s">
        <v>37</v>
      </c>
      <c r="D243" s="31" t="s">
        <v>71</v>
      </c>
      <c r="E243" s="31" t="s">
        <v>49</v>
      </c>
      <c r="F243" s="31" t="n">
        <v>8</v>
      </c>
      <c r="G243" s="33" t="n">
        <v>2432</v>
      </c>
      <c r="H243" s="33" t="n">
        <v>1510</v>
      </c>
    </row>
    <row r="244" customFormat="false" ht="15" hidden="false" customHeight="true" outlineLevel="0" collapsed="false">
      <c r="A244" s="31" t="s">
        <v>322</v>
      </c>
      <c r="B244" s="32" t="n">
        <v>45956</v>
      </c>
      <c r="C244" s="31" t="s">
        <v>37</v>
      </c>
      <c r="D244" s="31" t="s">
        <v>70</v>
      </c>
      <c r="E244" s="31" t="s">
        <v>42</v>
      </c>
      <c r="F244" s="31" t="n">
        <v>7</v>
      </c>
      <c r="G244" s="33" t="n">
        <v>31864</v>
      </c>
      <c r="H244" s="33" t="n">
        <v>24114</v>
      </c>
    </row>
    <row r="245" customFormat="false" ht="15" hidden="false" customHeight="true" outlineLevel="0" collapsed="false">
      <c r="A245" s="31" t="s">
        <v>323</v>
      </c>
      <c r="B245" s="32" t="n">
        <v>45957</v>
      </c>
      <c r="C245" s="31" t="s">
        <v>36</v>
      </c>
      <c r="D245" s="31" t="s">
        <v>71</v>
      </c>
      <c r="E245" s="31" t="s">
        <v>46</v>
      </c>
      <c r="F245" s="31" t="n">
        <v>4</v>
      </c>
      <c r="G245" s="33" t="n">
        <v>1060</v>
      </c>
      <c r="H245" s="33" t="n">
        <v>678</v>
      </c>
    </row>
    <row r="246" customFormat="false" ht="15" hidden="false" customHeight="true" outlineLevel="0" collapsed="false">
      <c r="A246" s="31" t="s">
        <v>324</v>
      </c>
      <c r="B246" s="32" t="n">
        <v>45958</v>
      </c>
      <c r="C246" s="31" t="s">
        <v>36</v>
      </c>
      <c r="D246" s="31" t="s">
        <v>68</v>
      </c>
      <c r="E246" s="31" t="s">
        <v>46</v>
      </c>
      <c r="F246" s="31" t="n">
        <v>6</v>
      </c>
      <c r="G246" s="33" t="n">
        <v>11298</v>
      </c>
      <c r="H246" s="33" t="n">
        <v>7872</v>
      </c>
    </row>
    <row r="247" customFormat="false" ht="15" hidden="false" customHeight="true" outlineLevel="0" collapsed="false">
      <c r="A247" s="31" t="s">
        <v>325</v>
      </c>
      <c r="B247" s="32" t="n">
        <v>45958</v>
      </c>
      <c r="C247" s="31" t="s">
        <v>36</v>
      </c>
      <c r="D247" s="31" t="s">
        <v>69</v>
      </c>
      <c r="E247" s="31" t="s">
        <v>45</v>
      </c>
      <c r="F247" s="31" t="n">
        <v>6</v>
      </c>
      <c r="G247" s="33" t="n">
        <v>23598</v>
      </c>
      <c r="H247" s="33" t="n">
        <v>13490</v>
      </c>
    </row>
    <row r="248" customFormat="false" ht="15" hidden="false" customHeight="true" outlineLevel="0" collapsed="false">
      <c r="A248" s="31" t="s">
        <v>326</v>
      </c>
      <c r="B248" s="32" t="n">
        <v>45960</v>
      </c>
      <c r="C248" s="31" t="s">
        <v>36</v>
      </c>
      <c r="D248" s="31" t="s">
        <v>71</v>
      </c>
      <c r="E248" s="31" t="s">
        <v>45</v>
      </c>
      <c r="F248" s="31" t="n">
        <v>4</v>
      </c>
      <c r="G248" s="33" t="n">
        <v>496</v>
      </c>
      <c r="H248" s="33" t="n">
        <v>358</v>
      </c>
    </row>
    <row r="249" customFormat="false" ht="15" hidden="false" customHeight="true" outlineLevel="0" collapsed="false">
      <c r="A249" s="31" t="s">
        <v>327</v>
      </c>
      <c r="B249" s="32" t="n">
        <v>45960</v>
      </c>
      <c r="C249" s="31" t="s">
        <v>36</v>
      </c>
      <c r="D249" s="31" t="s">
        <v>69</v>
      </c>
      <c r="E249" s="31" t="s">
        <v>44</v>
      </c>
      <c r="F249" s="31" t="n">
        <v>2</v>
      </c>
      <c r="G249" s="33" t="n">
        <v>4274</v>
      </c>
      <c r="H249" s="33" t="n">
        <v>2491</v>
      </c>
    </row>
    <row r="250" customFormat="false" ht="15" hidden="false" customHeight="true" outlineLevel="0" collapsed="false">
      <c r="A250" s="31" t="s">
        <v>328</v>
      </c>
      <c r="B250" s="32" t="n">
        <v>45961</v>
      </c>
      <c r="C250" s="31" t="s">
        <v>39</v>
      </c>
      <c r="D250" s="31" t="s">
        <v>70</v>
      </c>
      <c r="E250" s="31" t="s">
        <v>43</v>
      </c>
      <c r="F250" s="31" t="n">
        <v>1</v>
      </c>
      <c r="G250" s="33" t="n">
        <v>5774</v>
      </c>
      <c r="H250" s="33" t="n">
        <v>3843</v>
      </c>
    </row>
    <row r="251" customFormat="false" ht="15" hidden="false" customHeight="true" outlineLevel="0" collapsed="false">
      <c r="A251" s="31" t="s">
        <v>329</v>
      </c>
      <c r="B251" s="32" t="n">
        <v>45962</v>
      </c>
      <c r="C251" s="31" t="s">
        <v>36</v>
      </c>
      <c r="D251" s="31" t="s">
        <v>70</v>
      </c>
      <c r="E251" s="31" t="s">
        <v>43</v>
      </c>
      <c r="F251" s="31" t="n">
        <v>4</v>
      </c>
      <c r="G251" s="33" t="n">
        <v>10680</v>
      </c>
      <c r="H251" s="33" t="n">
        <v>8037</v>
      </c>
    </row>
    <row r="252" customFormat="false" ht="15" hidden="false" customHeight="true" outlineLevel="0" collapsed="false">
      <c r="A252" s="31" t="s">
        <v>330</v>
      </c>
      <c r="B252" s="32" t="n">
        <v>45963</v>
      </c>
      <c r="C252" s="31" t="s">
        <v>39</v>
      </c>
      <c r="D252" s="31" t="s">
        <v>71</v>
      </c>
      <c r="E252" s="31" t="s">
        <v>49</v>
      </c>
      <c r="F252" s="31" t="n">
        <v>2</v>
      </c>
      <c r="G252" s="33" t="n">
        <v>792</v>
      </c>
      <c r="H252" s="33" t="n">
        <v>615</v>
      </c>
    </row>
    <row r="253" customFormat="false" ht="15" hidden="false" customHeight="true" outlineLevel="0" collapsed="false">
      <c r="A253" s="31" t="s">
        <v>331</v>
      </c>
      <c r="B253" s="32" t="n">
        <v>45964</v>
      </c>
      <c r="C253" s="31" t="s">
        <v>38</v>
      </c>
      <c r="D253" s="31" t="s">
        <v>68</v>
      </c>
      <c r="E253" s="31" t="s">
        <v>46</v>
      </c>
      <c r="F253" s="31" t="n">
        <v>4</v>
      </c>
      <c r="G253" s="33" t="n">
        <v>6488</v>
      </c>
      <c r="H253" s="33" t="n">
        <v>4178</v>
      </c>
    </row>
    <row r="254" customFormat="false" ht="15" hidden="false" customHeight="true" outlineLevel="0" collapsed="false">
      <c r="A254" s="31" t="s">
        <v>332</v>
      </c>
      <c r="B254" s="32" t="n">
        <v>45965</v>
      </c>
      <c r="C254" s="31" t="s">
        <v>36</v>
      </c>
      <c r="D254" s="31" t="s">
        <v>69</v>
      </c>
      <c r="E254" s="31" t="s">
        <v>42</v>
      </c>
      <c r="F254" s="31" t="n">
        <v>7</v>
      </c>
      <c r="G254" s="33" t="n">
        <v>19733</v>
      </c>
      <c r="H254" s="33" t="n">
        <v>14854</v>
      </c>
    </row>
    <row r="255" customFormat="false" ht="15" hidden="false" customHeight="true" outlineLevel="0" collapsed="false">
      <c r="A255" s="31" t="s">
        <v>333</v>
      </c>
      <c r="B255" s="32" t="n">
        <v>45965</v>
      </c>
      <c r="C255" s="31" t="s">
        <v>36</v>
      </c>
      <c r="D255" s="31" t="s">
        <v>69</v>
      </c>
      <c r="E255" s="31" t="s">
        <v>49</v>
      </c>
      <c r="F255" s="31" t="n">
        <v>7</v>
      </c>
      <c r="G255" s="33" t="n">
        <v>28959</v>
      </c>
      <c r="H255" s="33" t="n">
        <v>16296</v>
      </c>
    </row>
    <row r="256" customFormat="false" ht="15" hidden="false" customHeight="true" outlineLevel="0" collapsed="false">
      <c r="A256" s="31" t="s">
        <v>334</v>
      </c>
      <c r="B256" s="32" t="n">
        <v>45965</v>
      </c>
      <c r="C256" s="31" t="s">
        <v>37</v>
      </c>
      <c r="D256" s="31" t="s">
        <v>68</v>
      </c>
      <c r="E256" s="31" t="s">
        <v>43</v>
      </c>
      <c r="F256" s="31" t="n">
        <v>7</v>
      </c>
      <c r="G256" s="33" t="n">
        <v>11431</v>
      </c>
      <c r="H256" s="33" t="n">
        <v>8836</v>
      </c>
    </row>
    <row r="257" customFormat="false" ht="15" hidden="false" customHeight="true" outlineLevel="0" collapsed="false">
      <c r="A257" s="31" t="s">
        <v>335</v>
      </c>
      <c r="B257" s="32" t="n">
        <v>45966</v>
      </c>
      <c r="C257" s="31" t="s">
        <v>39</v>
      </c>
      <c r="D257" s="31" t="s">
        <v>68</v>
      </c>
      <c r="E257" s="31" t="s">
        <v>48</v>
      </c>
      <c r="F257" s="31" t="n">
        <v>8</v>
      </c>
      <c r="G257" s="33" t="n">
        <v>11944</v>
      </c>
      <c r="H257" s="33" t="n">
        <v>8397</v>
      </c>
    </row>
    <row r="258" customFormat="false" ht="15" hidden="false" customHeight="true" outlineLevel="0" collapsed="false">
      <c r="A258" s="31" t="s">
        <v>336</v>
      </c>
      <c r="B258" s="32" t="n">
        <v>45967</v>
      </c>
      <c r="C258" s="31" t="s">
        <v>37</v>
      </c>
      <c r="D258" s="31" t="s">
        <v>71</v>
      </c>
      <c r="E258" s="31" t="s">
        <v>42</v>
      </c>
      <c r="F258" s="31" t="n">
        <v>7</v>
      </c>
      <c r="G258" s="33" t="n">
        <v>2849</v>
      </c>
      <c r="H258" s="33" t="n">
        <v>1922</v>
      </c>
    </row>
    <row r="259" customFormat="false" ht="15" hidden="false" customHeight="true" outlineLevel="0" collapsed="false">
      <c r="A259" s="31" t="s">
        <v>337</v>
      </c>
      <c r="B259" s="32" t="n">
        <v>45969</v>
      </c>
      <c r="C259" s="31" t="s">
        <v>37</v>
      </c>
      <c r="D259" s="31" t="s">
        <v>71</v>
      </c>
      <c r="E259" s="31" t="s">
        <v>42</v>
      </c>
      <c r="F259" s="31" t="n">
        <v>8</v>
      </c>
      <c r="G259" s="33" t="n">
        <v>2624</v>
      </c>
      <c r="H259" s="33" t="n">
        <v>1615</v>
      </c>
    </row>
    <row r="260" customFormat="false" ht="15" hidden="false" customHeight="true" outlineLevel="0" collapsed="false">
      <c r="A260" s="31" t="s">
        <v>338</v>
      </c>
      <c r="B260" s="32" t="n">
        <v>45970</v>
      </c>
      <c r="C260" s="31" t="s">
        <v>36</v>
      </c>
      <c r="D260" s="31" t="s">
        <v>68</v>
      </c>
      <c r="E260" s="31" t="s">
        <v>47</v>
      </c>
      <c r="F260" s="31" t="n">
        <v>3</v>
      </c>
      <c r="G260" s="33" t="n">
        <v>5097</v>
      </c>
      <c r="H260" s="33" t="n">
        <v>3353</v>
      </c>
    </row>
    <row r="261" customFormat="false" ht="15" hidden="false" customHeight="true" outlineLevel="0" collapsed="false">
      <c r="A261" s="31" t="s">
        <v>339</v>
      </c>
      <c r="B261" s="32" t="n">
        <v>45970</v>
      </c>
      <c r="C261" s="31" t="s">
        <v>38</v>
      </c>
      <c r="D261" s="31" t="s">
        <v>69</v>
      </c>
      <c r="E261" s="31" t="s">
        <v>49</v>
      </c>
      <c r="F261" s="31" t="n">
        <v>8</v>
      </c>
      <c r="G261" s="33" t="n">
        <v>30072</v>
      </c>
      <c r="H261" s="33" t="n">
        <v>19321</v>
      </c>
    </row>
    <row r="262" customFormat="false" ht="15" hidden="false" customHeight="true" outlineLevel="0" collapsed="false">
      <c r="A262" s="31" t="s">
        <v>340</v>
      </c>
      <c r="B262" s="32" t="n">
        <v>45972</v>
      </c>
      <c r="C262" s="31" t="s">
        <v>38</v>
      </c>
      <c r="D262" s="31" t="s">
        <v>69</v>
      </c>
      <c r="E262" s="31" t="s">
        <v>43</v>
      </c>
      <c r="F262" s="31" t="n">
        <v>3</v>
      </c>
      <c r="G262" s="33" t="n">
        <v>12477</v>
      </c>
      <c r="H262" s="33" t="n">
        <v>9129</v>
      </c>
    </row>
    <row r="263" customFormat="false" ht="15" hidden="false" customHeight="true" outlineLevel="0" collapsed="false">
      <c r="A263" s="31" t="s">
        <v>341</v>
      </c>
      <c r="B263" s="32" t="n">
        <v>45972</v>
      </c>
      <c r="C263" s="31" t="s">
        <v>37</v>
      </c>
      <c r="D263" s="31" t="s">
        <v>71</v>
      </c>
      <c r="E263" s="31" t="s">
        <v>47</v>
      </c>
      <c r="F263" s="31" t="n">
        <v>5</v>
      </c>
      <c r="G263" s="33" t="n">
        <v>1165</v>
      </c>
      <c r="H263" s="33" t="n">
        <v>658</v>
      </c>
    </row>
    <row r="264" customFormat="false" ht="15" hidden="false" customHeight="true" outlineLevel="0" collapsed="false">
      <c r="A264" s="31" t="s">
        <v>342</v>
      </c>
      <c r="B264" s="32" t="n">
        <v>45973</v>
      </c>
      <c r="C264" s="31" t="s">
        <v>37</v>
      </c>
      <c r="D264" s="31" t="s">
        <v>69</v>
      </c>
      <c r="E264" s="31" t="s">
        <v>48</v>
      </c>
      <c r="F264" s="31" t="n">
        <v>6</v>
      </c>
      <c r="G264" s="33" t="n">
        <v>20154</v>
      </c>
      <c r="H264" s="33" t="n">
        <v>12046</v>
      </c>
    </row>
    <row r="265" customFormat="false" ht="15" hidden="false" customHeight="true" outlineLevel="0" collapsed="false">
      <c r="A265" s="31" t="s">
        <v>343</v>
      </c>
      <c r="B265" s="32" t="n">
        <v>45973</v>
      </c>
      <c r="C265" s="31" t="s">
        <v>37</v>
      </c>
      <c r="D265" s="31" t="s">
        <v>69</v>
      </c>
      <c r="E265" s="31" t="s">
        <v>49</v>
      </c>
      <c r="F265" s="31" t="n">
        <v>5</v>
      </c>
      <c r="G265" s="33" t="n">
        <v>20680</v>
      </c>
      <c r="H265" s="33" t="n">
        <v>12509</v>
      </c>
    </row>
    <row r="266" customFormat="false" ht="15" hidden="false" customHeight="true" outlineLevel="0" collapsed="false">
      <c r="A266" s="31" t="s">
        <v>344</v>
      </c>
      <c r="B266" s="32" t="n">
        <v>45976</v>
      </c>
      <c r="C266" s="31" t="s">
        <v>39</v>
      </c>
      <c r="D266" s="31" t="s">
        <v>71</v>
      </c>
      <c r="E266" s="31" t="s">
        <v>42</v>
      </c>
      <c r="F266" s="31" t="n">
        <v>8</v>
      </c>
      <c r="G266" s="33" t="n">
        <v>4384</v>
      </c>
      <c r="H266" s="33" t="n">
        <v>2655</v>
      </c>
    </row>
    <row r="267" customFormat="false" ht="15" hidden="false" customHeight="true" outlineLevel="0" collapsed="false">
      <c r="A267" s="31" t="s">
        <v>345</v>
      </c>
      <c r="B267" s="32" t="n">
        <v>45977</v>
      </c>
      <c r="C267" s="31" t="s">
        <v>36</v>
      </c>
      <c r="D267" s="31" t="s">
        <v>71</v>
      </c>
      <c r="E267" s="31" t="s">
        <v>44</v>
      </c>
      <c r="F267" s="31" t="n">
        <v>2</v>
      </c>
      <c r="G267" s="33" t="n">
        <v>1014</v>
      </c>
      <c r="H267" s="33" t="n">
        <v>777</v>
      </c>
    </row>
    <row r="268" customFormat="false" ht="15" hidden="false" customHeight="true" outlineLevel="0" collapsed="false">
      <c r="A268" s="31" t="s">
        <v>346</v>
      </c>
      <c r="B268" s="32" t="n">
        <v>45977</v>
      </c>
      <c r="C268" s="31" t="s">
        <v>38</v>
      </c>
      <c r="D268" s="31" t="s">
        <v>69</v>
      </c>
      <c r="E268" s="31" t="s">
        <v>46</v>
      </c>
      <c r="F268" s="31" t="n">
        <v>1</v>
      </c>
      <c r="G268" s="33" t="n">
        <v>2916</v>
      </c>
      <c r="H268" s="33" t="n">
        <v>2244</v>
      </c>
    </row>
    <row r="269" customFormat="false" ht="15" hidden="false" customHeight="true" outlineLevel="0" collapsed="false">
      <c r="A269" s="31" t="s">
        <v>347</v>
      </c>
      <c r="B269" s="32" t="n">
        <v>45979</v>
      </c>
      <c r="C269" s="31" t="s">
        <v>39</v>
      </c>
      <c r="D269" s="31" t="s">
        <v>69</v>
      </c>
      <c r="E269" s="31" t="s">
        <v>49</v>
      </c>
      <c r="F269" s="31" t="n">
        <v>3</v>
      </c>
      <c r="G269" s="33" t="n">
        <v>12048</v>
      </c>
      <c r="H269" s="33" t="n">
        <v>7703</v>
      </c>
    </row>
    <row r="270" customFormat="false" ht="15" hidden="false" customHeight="true" outlineLevel="0" collapsed="false">
      <c r="A270" s="31" t="s">
        <v>348</v>
      </c>
      <c r="B270" s="32" t="n">
        <v>45980</v>
      </c>
      <c r="C270" s="31" t="s">
        <v>38</v>
      </c>
      <c r="D270" s="31" t="s">
        <v>69</v>
      </c>
      <c r="E270" s="31" t="s">
        <v>48</v>
      </c>
      <c r="F270" s="31" t="n">
        <v>4</v>
      </c>
      <c r="G270" s="33" t="n">
        <v>14720</v>
      </c>
      <c r="H270" s="33" t="n">
        <v>10226</v>
      </c>
    </row>
    <row r="271" customFormat="false" ht="15" hidden="false" customHeight="true" outlineLevel="0" collapsed="false">
      <c r="A271" s="31" t="s">
        <v>349</v>
      </c>
      <c r="B271" s="32" t="n">
        <v>45980</v>
      </c>
      <c r="C271" s="31" t="s">
        <v>36</v>
      </c>
      <c r="D271" s="31" t="s">
        <v>70</v>
      </c>
      <c r="E271" s="31" t="s">
        <v>45</v>
      </c>
      <c r="F271" s="31" t="n">
        <v>6</v>
      </c>
      <c r="G271" s="33" t="n">
        <v>49398</v>
      </c>
      <c r="H271" s="33" t="n">
        <v>30752</v>
      </c>
    </row>
    <row r="272" customFormat="false" ht="15" hidden="false" customHeight="true" outlineLevel="0" collapsed="false">
      <c r="A272" s="31" t="s">
        <v>350</v>
      </c>
      <c r="B272" s="32" t="n">
        <v>45980</v>
      </c>
      <c r="C272" s="31" t="s">
        <v>39</v>
      </c>
      <c r="D272" s="31" t="s">
        <v>71</v>
      </c>
      <c r="E272" s="31" t="s">
        <v>42</v>
      </c>
      <c r="F272" s="31" t="n">
        <v>3</v>
      </c>
      <c r="G272" s="33" t="n">
        <v>1476</v>
      </c>
      <c r="H272" s="33" t="n">
        <v>855</v>
      </c>
    </row>
    <row r="273" customFormat="false" ht="15" hidden="false" customHeight="true" outlineLevel="0" collapsed="false">
      <c r="A273" s="31" t="s">
        <v>351</v>
      </c>
      <c r="B273" s="32" t="n">
        <v>45982</v>
      </c>
      <c r="C273" s="31" t="s">
        <v>36</v>
      </c>
      <c r="D273" s="31" t="s">
        <v>69</v>
      </c>
      <c r="E273" s="31" t="s">
        <v>46</v>
      </c>
      <c r="F273" s="31" t="n">
        <v>2</v>
      </c>
      <c r="G273" s="33" t="n">
        <v>5118</v>
      </c>
      <c r="H273" s="33" t="n">
        <v>3923</v>
      </c>
    </row>
    <row r="274" customFormat="false" ht="15" hidden="false" customHeight="true" outlineLevel="0" collapsed="false">
      <c r="A274" s="31" t="s">
        <v>352</v>
      </c>
      <c r="B274" s="32" t="n">
        <v>45983</v>
      </c>
      <c r="C274" s="31" t="s">
        <v>36</v>
      </c>
      <c r="D274" s="31" t="s">
        <v>69</v>
      </c>
      <c r="E274" s="31" t="s">
        <v>46</v>
      </c>
      <c r="F274" s="31" t="n">
        <v>2</v>
      </c>
      <c r="G274" s="33" t="n">
        <v>8666</v>
      </c>
      <c r="H274" s="33" t="n">
        <v>5176</v>
      </c>
    </row>
    <row r="275" customFormat="false" ht="15" hidden="false" customHeight="true" outlineLevel="0" collapsed="false">
      <c r="A275" s="31" t="s">
        <v>353</v>
      </c>
      <c r="B275" s="32" t="n">
        <v>45983</v>
      </c>
      <c r="C275" s="31" t="s">
        <v>36</v>
      </c>
      <c r="D275" s="31" t="s">
        <v>71</v>
      </c>
      <c r="E275" s="31" t="s">
        <v>48</v>
      </c>
      <c r="F275" s="31" t="n">
        <v>4</v>
      </c>
      <c r="G275" s="33" t="n">
        <v>696</v>
      </c>
      <c r="H275" s="33" t="n">
        <v>394</v>
      </c>
    </row>
    <row r="276" customFormat="false" ht="15" hidden="false" customHeight="true" outlineLevel="0" collapsed="false">
      <c r="A276" s="31" t="s">
        <v>354</v>
      </c>
      <c r="B276" s="32" t="n">
        <v>45985</v>
      </c>
      <c r="C276" s="31" t="s">
        <v>37</v>
      </c>
      <c r="D276" s="31" t="s">
        <v>70</v>
      </c>
      <c r="E276" s="31" t="s">
        <v>43</v>
      </c>
      <c r="F276" s="31" t="n">
        <v>7</v>
      </c>
      <c r="G276" s="33" t="n">
        <v>33509</v>
      </c>
      <c r="H276" s="33" t="n">
        <v>21950</v>
      </c>
    </row>
    <row r="277" customFormat="false" ht="15" hidden="false" customHeight="true" outlineLevel="0" collapsed="false">
      <c r="A277" s="31" t="s">
        <v>355</v>
      </c>
      <c r="B277" s="32" t="n">
        <v>45985</v>
      </c>
      <c r="C277" s="31" t="s">
        <v>37</v>
      </c>
      <c r="D277" s="31" t="s">
        <v>70</v>
      </c>
      <c r="E277" s="31" t="s">
        <v>46</v>
      </c>
      <c r="F277" s="31" t="n">
        <v>7</v>
      </c>
      <c r="G277" s="33" t="n">
        <v>30975</v>
      </c>
      <c r="H277" s="33" t="n">
        <v>20545</v>
      </c>
    </row>
    <row r="278" customFormat="false" ht="15" hidden="false" customHeight="true" outlineLevel="0" collapsed="false">
      <c r="A278" s="31" t="s">
        <v>356</v>
      </c>
      <c r="B278" s="32" t="n">
        <v>45986</v>
      </c>
      <c r="C278" s="31" t="s">
        <v>39</v>
      </c>
      <c r="D278" s="31" t="s">
        <v>69</v>
      </c>
      <c r="E278" s="31" t="s">
        <v>45</v>
      </c>
      <c r="F278" s="31" t="n">
        <v>5</v>
      </c>
      <c r="G278" s="33" t="n">
        <v>9100</v>
      </c>
      <c r="H278" s="33" t="n">
        <v>6421</v>
      </c>
    </row>
    <row r="279" customFormat="false" ht="15" hidden="false" customHeight="true" outlineLevel="0" collapsed="false">
      <c r="A279" s="31" t="s">
        <v>357</v>
      </c>
      <c r="B279" s="32" t="n">
        <v>45987</v>
      </c>
      <c r="C279" s="31" t="s">
        <v>38</v>
      </c>
      <c r="D279" s="31" t="s">
        <v>68</v>
      </c>
      <c r="E279" s="31" t="s">
        <v>49</v>
      </c>
      <c r="F279" s="31" t="n">
        <v>7</v>
      </c>
      <c r="G279" s="33" t="n">
        <v>7042</v>
      </c>
      <c r="H279" s="33" t="n">
        <v>5077</v>
      </c>
    </row>
    <row r="280" customFormat="false" ht="15" hidden="false" customHeight="true" outlineLevel="0" collapsed="false">
      <c r="A280" s="31" t="s">
        <v>358</v>
      </c>
      <c r="B280" s="32" t="n">
        <v>45990</v>
      </c>
      <c r="C280" s="31" t="s">
        <v>39</v>
      </c>
      <c r="D280" s="31" t="s">
        <v>71</v>
      </c>
      <c r="E280" s="31" t="s">
        <v>46</v>
      </c>
      <c r="F280" s="31" t="n">
        <v>6</v>
      </c>
      <c r="G280" s="33" t="n">
        <v>1884</v>
      </c>
      <c r="H280" s="33" t="n">
        <v>1181</v>
      </c>
    </row>
    <row r="281" customFormat="false" ht="15" hidden="false" customHeight="true" outlineLevel="0" collapsed="false">
      <c r="A281" s="31" t="s">
        <v>359</v>
      </c>
      <c r="B281" s="32" t="n">
        <v>45992</v>
      </c>
      <c r="C281" s="31" t="s">
        <v>37</v>
      </c>
      <c r="D281" s="31" t="s">
        <v>69</v>
      </c>
      <c r="E281" s="31" t="s">
        <v>48</v>
      </c>
      <c r="F281" s="31" t="n">
        <v>1</v>
      </c>
      <c r="G281" s="33" t="n">
        <v>4252</v>
      </c>
      <c r="H281" s="33" t="n">
        <v>2936</v>
      </c>
    </row>
    <row r="282" customFormat="false" ht="15" hidden="false" customHeight="true" outlineLevel="0" collapsed="false">
      <c r="A282" s="31" t="s">
        <v>360</v>
      </c>
      <c r="B282" s="32" t="n">
        <v>45992</v>
      </c>
      <c r="C282" s="31" t="s">
        <v>36</v>
      </c>
      <c r="D282" s="31" t="s">
        <v>70</v>
      </c>
      <c r="E282" s="31" t="s">
        <v>43</v>
      </c>
      <c r="F282" s="31" t="n">
        <v>5</v>
      </c>
      <c r="G282" s="33" t="n">
        <v>28395</v>
      </c>
      <c r="H282" s="33" t="n">
        <v>18364</v>
      </c>
    </row>
    <row r="283" customFormat="false" ht="15" hidden="false" customHeight="true" outlineLevel="0" collapsed="false">
      <c r="A283" s="31" t="s">
        <v>361</v>
      </c>
      <c r="B283" s="32" t="n">
        <v>45993</v>
      </c>
      <c r="C283" s="31" t="s">
        <v>39</v>
      </c>
      <c r="D283" s="31" t="s">
        <v>68</v>
      </c>
      <c r="E283" s="31" t="s">
        <v>45</v>
      </c>
      <c r="F283" s="31" t="n">
        <v>2</v>
      </c>
      <c r="G283" s="33" t="n">
        <v>3436</v>
      </c>
      <c r="H283" s="33" t="n">
        <v>2409</v>
      </c>
    </row>
    <row r="284" customFormat="false" ht="15" hidden="false" customHeight="true" outlineLevel="0" collapsed="false">
      <c r="A284" s="31" t="s">
        <v>362</v>
      </c>
      <c r="B284" s="32" t="n">
        <v>45994</v>
      </c>
      <c r="C284" s="31" t="s">
        <v>36</v>
      </c>
      <c r="D284" s="31" t="s">
        <v>69</v>
      </c>
      <c r="E284" s="31" t="s">
        <v>42</v>
      </c>
      <c r="F284" s="31" t="n">
        <v>6</v>
      </c>
      <c r="G284" s="33" t="n">
        <v>9396</v>
      </c>
      <c r="H284" s="33" t="n">
        <v>5977</v>
      </c>
    </row>
    <row r="285" customFormat="false" ht="15" hidden="false" customHeight="true" outlineLevel="0" collapsed="false">
      <c r="A285" s="31" t="s">
        <v>363</v>
      </c>
      <c r="B285" s="32" t="n">
        <v>45997</v>
      </c>
      <c r="C285" s="31" t="s">
        <v>38</v>
      </c>
      <c r="D285" s="31" t="s">
        <v>71</v>
      </c>
      <c r="E285" s="31" t="s">
        <v>49</v>
      </c>
      <c r="F285" s="31" t="n">
        <v>3</v>
      </c>
      <c r="G285" s="33" t="n">
        <v>1020</v>
      </c>
      <c r="H285" s="33" t="n">
        <v>578</v>
      </c>
    </row>
    <row r="286" customFormat="false" ht="15" hidden="false" customHeight="true" outlineLevel="0" collapsed="false">
      <c r="A286" s="31" t="s">
        <v>364</v>
      </c>
      <c r="B286" s="32" t="n">
        <v>45997</v>
      </c>
      <c r="C286" s="31" t="s">
        <v>37</v>
      </c>
      <c r="D286" s="31" t="s">
        <v>71</v>
      </c>
      <c r="E286" s="31" t="s">
        <v>45</v>
      </c>
      <c r="F286" s="31" t="n">
        <v>8</v>
      </c>
      <c r="G286" s="33" t="n">
        <v>3544</v>
      </c>
      <c r="H286" s="33" t="n">
        <v>2481</v>
      </c>
    </row>
    <row r="287" customFormat="false" ht="15" hidden="false" customHeight="true" outlineLevel="0" collapsed="false">
      <c r="A287" s="31" t="s">
        <v>365</v>
      </c>
      <c r="B287" s="32" t="n">
        <v>46003</v>
      </c>
      <c r="C287" s="31" t="s">
        <v>37</v>
      </c>
      <c r="D287" s="31" t="s">
        <v>68</v>
      </c>
      <c r="E287" s="31" t="s">
        <v>42</v>
      </c>
      <c r="F287" s="31" t="n">
        <v>7</v>
      </c>
      <c r="G287" s="33" t="n">
        <v>10409</v>
      </c>
      <c r="H287" s="33" t="n">
        <v>7709</v>
      </c>
    </row>
    <row r="288" customFormat="false" ht="15" hidden="false" customHeight="true" outlineLevel="0" collapsed="false">
      <c r="A288" s="31" t="s">
        <v>366</v>
      </c>
      <c r="B288" s="32" t="n">
        <v>46007</v>
      </c>
      <c r="C288" s="31" t="s">
        <v>38</v>
      </c>
      <c r="D288" s="31" t="s">
        <v>69</v>
      </c>
      <c r="E288" s="31" t="s">
        <v>45</v>
      </c>
      <c r="F288" s="31" t="n">
        <v>8</v>
      </c>
      <c r="G288" s="33" t="n">
        <v>33496</v>
      </c>
      <c r="H288" s="33" t="n">
        <v>21514</v>
      </c>
    </row>
    <row r="289" customFormat="false" ht="15" hidden="false" customHeight="true" outlineLevel="0" collapsed="false">
      <c r="A289" s="31" t="s">
        <v>367</v>
      </c>
      <c r="B289" s="32" t="n">
        <v>46008</v>
      </c>
      <c r="C289" s="31" t="s">
        <v>37</v>
      </c>
      <c r="D289" s="31" t="s">
        <v>70</v>
      </c>
      <c r="E289" s="31" t="s">
        <v>42</v>
      </c>
      <c r="F289" s="31" t="n">
        <v>3</v>
      </c>
      <c r="G289" s="33" t="n">
        <v>20169</v>
      </c>
      <c r="H289" s="33" t="n">
        <v>12924</v>
      </c>
    </row>
    <row r="290" customFormat="false" ht="15" hidden="false" customHeight="true" outlineLevel="0" collapsed="false">
      <c r="A290" s="31" t="s">
        <v>368</v>
      </c>
      <c r="B290" s="32" t="n">
        <v>46008</v>
      </c>
      <c r="C290" s="31" t="s">
        <v>39</v>
      </c>
      <c r="D290" s="31" t="s">
        <v>69</v>
      </c>
      <c r="E290" s="31" t="s">
        <v>43</v>
      </c>
      <c r="F290" s="31" t="n">
        <v>5</v>
      </c>
      <c r="G290" s="33" t="n">
        <v>21085</v>
      </c>
      <c r="H290" s="33" t="n">
        <v>15531</v>
      </c>
    </row>
    <row r="291" customFormat="false" ht="15" hidden="false" customHeight="true" outlineLevel="0" collapsed="false">
      <c r="A291" s="31" t="s">
        <v>369</v>
      </c>
      <c r="B291" s="32" t="n">
        <v>46009</v>
      </c>
      <c r="C291" s="31" t="s">
        <v>36</v>
      </c>
      <c r="D291" s="31" t="s">
        <v>70</v>
      </c>
      <c r="E291" s="31" t="s">
        <v>42</v>
      </c>
      <c r="F291" s="31" t="n">
        <v>3</v>
      </c>
      <c r="G291" s="33" t="n">
        <v>7887</v>
      </c>
      <c r="H291" s="33" t="n">
        <v>5011</v>
      </c>
    </row>
    <row r="292" customFormat="false" ht="15" hidden="false" customHeight="true" outlineLevel="0" collapsed="false">
      <c r="A292" s="31" t="s">
        <v>370</v>
      </c>
      <c r="B292" s="32" t="n">
        <v>46011</v>
      </c>
      <c r="C292" s="31" t="s">
        <v>37</v>
      </c>
      <c r="D292" s="31" t="s">
        <v>69</v>
      </c>
      <c r="E292" s="31" t="s">
        <v>43</v>
      </c>
      <c r="F292" s="31" t="n">
        <v>7</v>
      </c>
      <c r="G292" s="33" t="n">
        <v>25858</v>
      </c>
      <c r="H292" s="33" t="n">
        <v>17559</v>
      </c>
    </row>
    <row r="293" customFormat="false" ht="15" hidden="false" customHeight="true" outlineLevel="0" collapsed="false">
      <c r="A293" s="31" t="s">
        <v>371</v>
      </c>
      <c r="B293" s="32" t="n">
        <v>46013</v>
      </c>
      <c r="C293" s="31" t="s">
        <v>38</v>
      </c>
      <c r="D293" s="31" t="s">
        <v>70</v>
      </c>
      <c r="E293" s="31" t="s">
        <v>43</v>
      </c>
      <c r="F293" s="31" t="n">
        <v>2</v>
      </c>
      <c r="G293" s="33" t="n">
        <v>6108</v>
      </c>
      <c r="H293" s="33" t="n">
        <v>4157</v>
      </c>
    </row>
    <row r="294" customFormat="false" ht="15" hidden="false" customHeight="true" outlineLevel="0" collapsed="false">
      <c r="A294" s="31" t="s">
        <v>372</v>
      </c>
      <c r="B294" s="32" t="n">
        <v>46013</v>
      </c>
      <c r="C294" s="31" t="s">
        <v>38</v>
      </c>
      <c r="D294" s="31" t="s">
        <v>71</v>
      </c>
      <c r="E294" s="31" t="s">
        <v>45</v>
      </c>
      <c r="F294" s="31" t="n">
        <v>5</v>
      </c>
      <c r="G294" s="33" t="n">
        <v>1250</v>
      </c>
      <c r="H294" s="33" t="n">
        <v>789</v>
      </c>
    </row>
    <row r="295" customFormat="false" ht="15" hidden="false" customHeight="true" outlineLevel="0" collapsed="false">
      <c r="A295" s="31" t="s">
        <v>373</v>
      </c>
      <c r="B295" s="32" t="n">
        <v>46015</v>
      </c>
      <c r="C295" s="31" t="s">
        <v>39</v>
      </c>
      <c r="D295" s="31" t="s">
        <v>71</v>
      </c>
      <c r="E295" s="31" t="s">
        <v>44</v>
      </c>
      <c r="F295" s="31" t="n">
        <v>8</v>
      </c>
      <c r="G295" s="33" t="n">
        <v>1016</v>
      </c>
      <c r="H295" s="33" t="n">
        <v>790</v>
      </c>
    </row>
    <row r="296" customFormat="false" ht="15" hidden="false" customHeight="true" outlineLevel="0" collapsed="false">
      <c r="A296" s="31" t="s">
        <v>374</v>
      </c>
      <c r="B296" s="32" t="n">
        <v>46016</v>
      </c>
      <c r="C296" s="31" t="s">
        <v>37</v>
      </c>
      <c r="D296" s="31" t="s">
        <v>71</v>
      </c>
      <c r="E296" s="31" t="s">
        <v>44</v>
      </c>
      <c r="F296" s="31" t="n">
        <v>8</v>
      </c>
      <c r="G296" s="33" t="n">
        <v>1360</v>
      </c>
      <c r="H296" s="33" t="n">
        <v>1014</v>
      </c>
    </row>
    <row r="297" customFormat="false" ht="15" hidden="false" customHeight="true" outlineLevel="0" collapsed="false">
      <c r="A297" s="31" t="s">
        <v>375</v>
      </c>
      <c r="B297" s="32" t="n">
        <v>46018</v>
      </c>
      <c r="C297" s="31" t="s">
        <v>37</v>
      </c>
      <c r="D297" s="31" t="s">
        <v>69</v>
      </c>
      <c r="E297" s="31" t="s">
        <v>48</v>
      </c>
      <c r="F297" s="31" t="n">
        <v>3</v>
      </c>
      <c r="G297" s="33" t="n">
        <v>9492</v>
      </c>
      <c r="H297" s="33" t="n">
        <v>6570</v>
      </c>
    </row>
    <row r="298" customFormat="false" ht="15" hidden="false" customHeight="true" outlineLevel="0" collapsed="false">
      <c r="A298" s="31" t="s">
        <v>376</v>
      </c>
      <c r="B298" s="32" t="n">
        <v>46018</v>
      </c>
      <c r="C298" s="31" t="s">
        <v>37</v>
      </c>
      <c r="D298" s="31" t="s">
        <v>68</v>
      </c>
      <c r="E298" s="31" t="s">
        <v>48</v>
      </c>
      <c r="F298" s="31" t="n">
        <v>4</v>
      </c>
      <c r="G298" s="33" t="n">
        <v>3656</v>
      </c>
      <c r="H298" s="33" t="n">
        <v>2681</v>
      </c>
    </row>
    <row r="299" customFormat="false" ht="15" hidden="false" customHeight="true" outlineLevel="0" collapsed="false">
      <c r="A299" s="31" t="s">
        <v>377</v>
      </c>
      <c r="B299" s="32" t="n">
        <v>46019</v>
      </c>
      <c r="C299" s="31" t="s">
        <v>36</v>
      </c>
      <c r="D299" s="31" t="s">
        <v>69</v>
      </c>
      <c r="E299" s="31" t="s">
        <v>42</v>
      </c>
      <c r="F299" s="31" t="n">
        <v>1</v>
      </c>
      <c r="G299" s="33" t="n">
        <v>3158</v>
      </c>
      <c r="H299" s="33" t="n">
        <v>1817</v>
      </c>
    </row>
    <row r="300" customFormat="false" ht="15" hidden="false" customHeight="true" outlineLevel="0" collapsed="false">
      <c r="A300" s="31" t="s">
        <v>378</v>
      </c>
      <c r="B300" s="32" t="n">
        <v>46020</v>
      </c>
      <c r="C300" s="31" t="s">
        <v>37</v>
      </c>
      <c r="D300" s="31" t="s">
        <v>70</v>
      </c>
      <c r="E300" s="31" t="s">
        <v>48</v>
      </c>
      <c r="F300" s="31" t="n">
        <v>5</v>
      </c>
      <c r="G300" s="33" t="n">
        <v>15705</v>
      </c>
      <c r="H300" s="33" t="n">
        <v>9413</v>
      </c>
    </row>
    <row r="301" customFormat="false" ht="15" hidden="false" customHeight="true" outlineLevel="0" collapsed="false">
      <c r="A301" s="31" t="s">
        <v>379</v>
      </c>
      <c r="B301" s="32" t="n">
        <v>46020</v>
      </c>
      <c r="C301" s="31" t="s">
        <v>38</v>
      </c>
      <c r="D301" s="31" t="s">
        <v>70</v>
      </c>
      <c r="E301" s="31" t="s">
        <v>43</v>
      </c>
      <c r="F301" s="31" t="n">
        <v>8</v>
      </c>
      <c r="G301" s="33" t="n">
        <v>33344</v>
      </c>
      <c r="H301" s="33" t="n">
        <v>23355</v>
      </c>
    </row>
  </sheetData>
  <autoFilter ref="A1:H3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0" width="11"/>
    <col collapsed="false" customWidth="true" hidden="false" outlineLevel="0" max="2" min="2" style="30" width="22"/>
    <col collapsed="false" customWidth="true" hidden="false" outlineLevel="0" max="3" min="3" style="30" width="14"/>
    <col collapsed="false" customWidth="true" hidden="false" outlineLevel="0" max="4" min="4" style="30" width="12"/>
    <col collapsed="false" customWidth="true" hidden="false" outlineLevel="0" max="5" min="5" style="30" width="16"/>
    <col collapsed="false" customWidth="true" hidden="false" outlineLevel="0" max="6" min="6" style="30" width="3"/>
    <col collapsed="false" customWidth="true" hidden="false" outlineLevel="0" max="8" min="7" style="30" width="11"/>
    <col collapsed="false" customWidth="true" hidden="false" outlineLevel="0" max="9" min="9" style="30" width="7"/>
    <col collapsed="false" customWidth="true" hidden="false" outlineLevel="0" max="10" min="10" style="30" width="20"/>
    <col collapsed="false" customWidth="true" hidden="false" outlineLevel="0" max="11" min="11" style="30" width="14"/>
    <col collapsed="false" customWidth="true" hidden="false" outlineLevel="0" max="12" min="12" style="30" width="15"/>
    <col collapsed="false" customWidth="true" hidden="false" outlineLevel="0" max="13" min="13" style="30" width="3"/>
    <col collapsed="false" customWidth="true" hidden="false" outlineLevel="0" max="14" min="14" style="30" width="17"/>
    <col collapsed="false" customWidth="true" hidden="false" outlineLevel="0" max="15" min="15" style="30" width="15"/>
  </cols>
  <sheetData>
    <row r="1" customFormat="false" ht="19.5" hidden="false" customHeight="true" outlineLevel="0" collapsed="false">
      <c r="A1" s="34" t="s">
        <v>8</v>
      </c>
    </row>
    <row r="2" customFormat="false" ht="15" hidden="false" customHeight="true" outlineLevel="0" collapsed="false">
      <c r="A2" s="35" t="s">
        <v>380</v>
      </c>
    </row>
    <row r="4" customFormat="false" ht="23.25" hidden="false" customHeight="true" outlineLevel="0" collapsed="false">
      <c r="A4" s="19" t="s">
        <v>381</v>
      </c>
      <c r="B4" s="19" t="s">
        <v>382</v>
      </c>
      <c r="C4" s="19" t="s">
        <v>22</v>
      </c>
      <c r="D4" s="19" t="s">
        <v>383</v>
      </c>
      <c r="E4" s="19" t="s">
        <v>384</v>
      </c>
      <c r="G4" s="19" t="s">
        <v>77</v>
      </c>
      <c r="H4" s="19" t="s">
        <v>381</v>
      </c>
      <c r="I4" s="19" t="s">
        <v>385</v>
      </c>
      <c r="J4" s="36" t="s">
        <v>382</v>
      </c>
      <c r="K4" s="36" t="s">
        <v>386</v>
      </c>
      <c r="L4" s="36" t="s">
        <v>387</v>
      </c>
      <c r="N4" s="19" t="s">
        <v>388</v>
      </c>
      <c r="O4" s="19" t="s">
        <v>389</v>
      </c>
    </row>
    <row r="5" customFormat="false" ht="15" hidden="false" customHeight="true" outlineLevel="0" collapsed="false">
      <c r="A5" s="37" t="s">
        <v>390</v>
      </c>
      <c r="B5" s="37" t="s">
        <v>391</v>
      </c>
      <c r="C5" s="37" t="s">
        <v>69</v>
      </c>
      <c r="D5" s="38" t="n">
        <v>2499</v>
      </c>
      <c r="E5" s="37" t="n">
        <v>40</v>
      </c>
      <c r="G5" s="37" t="s">
        <v>392</v>
      </c>
      <c r="H5" s="37" t="s">
        <v>393</v>
      </c>
      <c r="I5" s="37" t="n">
        <v>2</v>
      </c>
      <c r="J5" s="37" t="str">
        <f aca="false">IFERROR(INDEX($B$5:$B$19,MATCH(H5,$A$5:$A$19,0)),"Not found")</f>
        <v>Power Bank</v>
      </c>
      <c r="K5" s="39" t="n">
        <f aca="false">IFERROR(INDEX($D$5:$D$19,MATCH(H5,$A$5:$A$19,0)),0)</f>
        <v>1499</v>
      </c>
      <c r="L5" s="39" t="n">
        <f aca="false">K5*I5</f>
        <v>2998</v>
      </c>
      <c r="N5" s="40" t="n">
        <v>0</v>
      </c>
      <c r="O5" s="41" t="n">
        <v>0</v>
      </c>
    </row>
    <row r="6" customFormat="false" ht="15" hidden="false" customHeight="true" outlineLevel="0" collapsed="false">
      <c r="A6" s="37" t="s">
        <v>394</v>
      </c>
      <c r="B6" s="37" t="s">
        <v>395</v>
      </c>
      <c r="C6" s="37" t="s">
        <v>69</v>
      </c>
      <c r="D6" s="38" t="n">
        <v>5999</v>
      </c>
      <c r="E6" s="37" t="n">
        <v>15</v>
      </c>
      <c r="G6" s="37" t="s">
        <v>396</v>
      </c>
      <c r="H6" s="37" t="s">
        <v>397</v>
      </c>
      <c r="I6" s="37" t="n">
        <v>1</v>
      </c>
      <c r="J6" s="37" t="str">
        <f aca="false">IFERROR(INDEX($B$5:$B$19,MATCH(H6,$A$5:$A$19,0)),"Not found")</f>
        <v>Face Serum</v>
      </c>
      <c r="K6" s="39" t="n">
        <f aca="false">IFERROR(INDEX($D$5:$D$19,MATCH(H6,$A$5:$A$19,0)),0)</f>
        <v>899</v>
      </c>
      <c r="L6" s="39" t="n">
        <f aca="false">K6*I6</f>
        <v>899</v>
      </c>
      <c r="N6" s="40" t="n">
        <v>10000</v>
      </c>
      <c r="O6" s="41" t="n">
        <v>0.02</v>
      </c>
    </row>
    <row r="7" customFormat="false" ht="15" hidden="false" customHeight="true" outlineLevel="0" collapsed="false">
      <c r="A7" s="37" t="s">
        <v>393</v>
      </c>
      <c r="B7" s="37" t="s">
        <v>398</v>
      </c>
      <c r="C7" s="37" t="s">
        <v>69</v>
      </c>
      <c r="D7" s="38" t="n">
        <v>1499</v>
      </c>
      <c r="E7" s="37" t="n">
        <v>60</v>
      </c>
      <c r="G7" s="37" t="s">
        <v>399</v>
      </c>
      <c r="H7" s="37" t="s">
        <v>400</v>
      </c>
      <c r="I7" s="37" t="n">
        <v>1</v>
      </c>
      <c r="J7" s="37" t="str">
        <f aca="false">IFERROR(INDEX($B$5:$B$19,MATCH(H7,$A$5:$A$19,0)),"Not found")</f>
        <v>Coffee Maker</v>
      </c>
      <c r="K7" s="39" t="n">
        <f aca="false">IFERROR(INDEX($D$5:$D$19,MATCH(H7,$A$5:$A$19,0)),0)</f>
        <v>2999</v>
      </c>
      <c r="L7" s="39" t="n">
        <f aca="false">K7*I7</f>
        <v>2999</v>
      </c>
      <c r="N7" s="40" t="n">
        <v>25000</v>
      </c>
      <c r="O7" s="41" t="n">
        <v>0.04</v>
      </c>
    </row>
    <row r="8" customFormat="false" ht="15" hidden="false" customHeight="true" outlineLevel="0" collapsed="false">
      <c r="A8" s="37" t="s">
        <v>401</v>
      </c>
      <c r="B8" s="37" t="s">
        <v>402</v>
      </c>
      <c r="C8" s="37" t="s">
        <v>69</v>
      </c>
      <c r="D8" s="38" t="n">
        <v>3299</v>
      </c>
      <c r="E8" s="37" t="n">
        <v>25</v>
      </c>
      <c r="G8" s="37" t="s">
        <v>403</v>
      </c>
      <c r="H8" s="37" t="s">
        <v>404</v>
      </c>
      <c r="I8" s="37" t="n">
        <v>3</v>
      </c>
      <c r="J8" s="37" t="str">
        <f aca="false">IFERROR(INDEX($B$5:$B$19,MATCH(H8,$A$5:$A$19,0)),"Not found")</f>
        <v>Not found</v>
      </c>
      <c r="K8" s="39" t="n">
        <f aca="false">IFERROR(INDEX($D$5:$D$19,MATCH(H8,$A$5:$A$19,0)),0)</f>
        <v>0</v>
      </c>
      <c r="L8" s="39" t="n">
        <f aca="false">K8*I8</f>
        <v>0</v>
      </c>
      <c r="N8" s="40" t="n">
        <v>50000</v>
      </c>
      <c r="O8" s="41" t="n">
        <v>0.06</v>
      </c>
    </row>
    <row r="9" customFormat="false" ht="15" hidden="false" customHeight="true" outlineLevel="0" collapsed="false">
      <c r="A9" s="37" t="s">
        <v>405</v>
      </c>
      <c r="B9" s="37" t="s">
        <v>406</v>
      </c>
      <c r="C9" s="37" t="s">
        <v>68</v>
      </c>
      <c r="D9" s="38" t="n">
        <v>799</v>
      </c>
      <c r="E9" s="37" t="n">
        <v>120</v>
      </c>
      <c r="G9" s="37" t="s">
        <v>407</v>
      </c>
      <c r="H9" s="37" t="s">
        <v>405</v>
      </c>
      <c r="I9" s="37" t="n">
        <v>4</v>
      </c>
      <c r="J9" s="37" t="str">
        <f aca="false">IFERROR(INDEX($B$5:$B$19,MATCH(H9,$A$5:$A$19,0)),"Not found")</f>
        <v>Cotton T-Shirt</v>
      </c>
      <c r="K9" s="39" t="n">
        <f aca="false">IFERROR(INDEX($D$5:$D$19,MATCH(H9,$A$5:$A$19,0)),0)</f>
        <v>799</v>
      </c>
      <c r="L9" s="39" t="n">
        <f aca="false">K9*I9</f>
        <v>3196</v>
      </c>
      <c r="N9" s="40" t="n">
        <v>100000</v>
      </c>
      <c r="O9" s="41" t="n">
        <v>0.08</v>
      </c>
    </row>
    <row r="10" customFormat="false" ht="15" hidden="false" customHeight="true" outlineLevel="0" collapsed="false">
      <c r="A10" s="37" t="s">
        <v>408</v>
      </c>
      <c r="B10" s="37" t="s">
        <v>409</v>
      </c>
      <c r="C10" s="37" t="s">
        <v>68</v>
      </c>
      <c r="D10" s="38" t="n">
        <v>1999</v>
      </c>
      <c r="E10" s="37" t="n">
        <v>45</v>
      </c>
      <c r="G10" s="37" t="s">
        <v>410</v>
      </c>
      <c r="H10" s="37" t="s">
        <v>394</v>
      </c>
      <c r="I10" s="37" t="n">
        <v>1</v>
      </c>
      <c r="J10" s="37" t="str">
        <f aca="false">IFERROR(INDEX($B$5:$B$19,MATCH(H10,$A$5:$A$19,0)),"Not found")</f>
        <v>Smart Watch</v>
      </c>
      <c r="K10" s="39" t="n">
        <f aca="false">IFERROR(INDEX($D$5:$D$19,MATCH(H10,$A$5:$A$19,0)),0)</f>
        <v>5999</v>
      </c>
      <c r="L10" s="39" t="n">
        <f aca="false">K10*I10</f>
        <v>5999</v>
      </c>
    </row>
    <row r="11" customFormat="false" ht="15" hidden="false" customHeight="true" outlineLevel="0" collapsed="false">
      <c r="A11" s="37" t="s">
        <v>411</v>
      </c>
      <c r="B11" s="37" t="s">
        <v>412</v>
      </c>
      <c r="C11" s="37" t="s">
        <v>68</v>
      </c>
      <c r="D11" s="38" t="n">
        <v>1799</v>
      </c>
      <c r="E11" s="37" t="n">
        <v>30</v>
      </c>
      <c r="G11" s="37" t="s">
        <v>413</v>
      </c>
      <c r="H11" s="37" t="s">
        <v>414</v>
      </c>
      <c r="I11" s="37" t="n">
        <v>5</v>
      </c>
      <c r="J11" s="37" t="str">
        <f aca="false">IFERROR(INDEX($B$5:$B$19,MATCH(H11,$A$5:$A$19,0)),"Not found")</f>
        <v>Gel Pens Pack</v>
      </c>
      <c r="K11" s="39" t="n">
        <f aca="false">IFERROR(INDEX($D$5:$D$19,MATCH(H11,$A$5:$A$19,0)),0)</f>
        <v>199</v>
      </c>
      <c r="L11" s="39" t="n">
        <f aca="false">K11*I11</f>
        <v>995</v>
      </c>
    </row>
    <row r="12" customFormat="false" ht="15" hidden="false" customHeight="true" outlineLevel="0" collapsed="false">
      <c r="A12" s="37" t="s">
        <v>415</v>
      </c>
      <c r="B12" s="37" t="s">
        <v>416</v>
      </c>
      <c r="C12" s="37" t="s">
        <v>417</v>
      </c>
      <c r="D12" s="38" t="n">
        <v>1299</v>
      </c>
      <c r="E12" s="37" t="n">
        <v>50</v>
      </c>
      <c r="G12" s="37" t="s">
        <v>418</v>
      </c>
      <c r="H12" s="37" t="s">
        <v>411</v>
      </c>
      <c r="I12" s="37" t="n">
        <v>2</v>
      </c>
      <c r="J12" s="37" t="str">
        <f aca="false">IFERROR(INDEX($B$5:$B$19,MATCH(H12,$A$5:$A$19,0)),"Not found")</f>
        <v>Hoodie</v>
      </c>
      <c r="K12" s="39" t="n">
        <f aca="false">IFERROR(INDEX($D$5:$D$19,MATCH(H12,$A$5:$A$19,0)),0)</f>
        <v>1799</v>
      </c>
      <c r="L12" s="39" t="n">
        <f aca="false">K12*I12</f>
        <v>3598</v>
      </c>
    </row>
    <row r="13" customFormat="false" ht="15" hidden="false" customHeight="true" outlineLevel="0" collapsed="false">
      <c r="A13" s="37" t="s">
        <v>400</v>
      </c>
      <c r="B13" s="37" t="s">
        <v>419</v>
      </c>
      <c r="C13" s="37" t="s">
        <v>417</v>
      </c>
      <c r="D13" s="38" t="n">
        <v>2999</v>
      </c>
      <c r="E13" s="37" t="n">
        <v>12</v>
      </c>
      <c r="G13" s="37" t="s">
        <v>420</v>
      </c>
      <c r="H13" s="37" t="s">
        <v>421</v>
      </c>
      <c r="I13" s="37" t="n">
        <v>1</v>
      </c>
      <c r="J13" s="37" t="str">
        <f aca="false">IFERROR(INDEX($B$5:$B$19,MATCH(H13,$A$5:$A$19,0)),"Not found")</f>
        <v>Perfume</v>
      </c>
      <c r="K13" s="39" t="n">
        <f aca="false">IFERROR(INDEX($D$5:$D$19,MATCH(H13,$A$5:$A$19,0)),0)</f>
        <v>1599</v>
      </c>
      <c r="L13" s="39" t="n">
        <f aca="false">K13*I13</f>
        <v>1599</v>
      </c>
    </row>
    <row r="14" customFormat="false" ht="15" hidden="false" customHeight="true" outlineLevel="0" collapsed="false">
      <c r="A14" s="37" t="s">
        <v>422</v>
      </c>
      <c r="B14" s="37" t="s">
        <v>423</v>
      </c>
      <c r="C14" s="37" t="s">
        <v>417</v>
      </c>
      <c r="D14" s="38" t="n">
        <v>999</v>
      </c>
      <c r="E14" s="37" t="n">
        <v>35</v>
      </c>
      <c r="G14" s="37" t="s">
        <v>424</v>
      </c>
      <c r="H14" s="37" t="s">
        <v>425</v>
      </c>
      <c r="I14" s="37" t="n">
        <v>3</v>
      </c>
      <c r="J14" s="37" t="str">
        <f aca="false">IFERROR(INDEX($B$5:$B$19,MATCH(H14,$A$5:$A$19,0)),"Not found")</f>
        <v>Desk Organizer</v>
      </c>
      <c r="K14" s="39" t="n">
        <f aca="false">IFERROR(INDEX($D$5:$D$19,MATCH(H14,$A$5:$A$19,0)),0)</f>
        <v>499</v>
      </c>
      <c r="L14" s="39" t="n">
        <f aca="false">K14*I14</f>
        <v>1497</v>
      </c>
    </row>
    <row r="15" customFormat="false" ht="15" hidden="false" customHeight="true" outlineLevel="0" collapsed="false">
      <c r="A15" s="37" t="s">
        <v>397</v>
      </c>
      <c r="B15" s="37" t="s">
        <v>426</v>
      </c>
      <c r="C15" s="37" t="s">
        <v>427</v>
      </c>
      <c r="D15" s="38" t="n">
        <v>899</v>
      </c>
      <c r="E15" s="37" t="n">
        <v>80</v>
      </c>
    </row>
    <row r="16" customFormat="false" ht="39.75" hidden="false" customHeight="true" outlineLevel="0" collapsed="false">
      <c r="A16" s="37" t="s">
        <v>421</v>
      </c>
      <c r="B16" s="37" t="s">
        <v>428</v>
      </c>
      <c r="C16" s="37" t="s">
        <v>427</v>
      </c>
      <c r="D16" s="38" t="n">
        <v>1599</v>
      </c>
      <c r="E16" s="37" t="n">
        <v>22</v>
      </c>
      <c r="G16" s="42" t="s">
        <v>429</v>
      </c>
      <c r="H16" s="42"/>
      <c r="I16" s="42"/>
      <c r="J16" s="42"/>
      <c r="K16" s="42"/>
      <c r="L16" s="42"/>
    </row>
    <row r="17" customFormat="false" ht="15" hidden="false" customHeight="true" outlineLevel="0" collapsed="false">
      <c r="A17" s="37" t="s">
        <v>430</v>
      </c>
      <c r="B17" s="37" t="s">
        <v>431</v>
      </c>
      <c r="C17" s="37" t="s">
        <v>71</v>
      </c>
      <c r="D17" s="38" t="n">
        <v>149</v>
      </c>
      <c r="E17" s="37" t="n">
        <v>300</v>
      </c>
    </row>
    <row r="18" customFormat="false" ht="15" hidden="false" customHeight="true" outlineLevel="0" collapsed="false">
      <c r="A18" s="37" t="s">
        <v>414</v>
      </c>
      <c r="B18" s="37" t="s">
        <v>432</v>
      </c>
      <c r="C18" s="37" t="s">
        <v>71</v>
      </c>
      <c r="D18" s="38" t="n">
        <v>199</v>
      </c>
      <c r="E18" s="37" t="n">
        <v>250</v>
      </c>
    </row>
    <row r="19" customFormat="false" ht="15" hidden="false" customHeight="true" outlineLevel="0" collapsed="false">
      <c r="A19" s="37" t="s">
        <v>425</v>
      </c>
      <c r="B19" s="37" t="s">
        <v>433</v>
      </c>
      <c r="C19" s="37" t="s">
        <v>71</v>
      </c>
      <c r="D19" s="38" t="n">
        <v>499</v>
      </c>
      <c r="E19" s="37" t="n">
        <v>70</v>
      </c>
    </row>
    <row r="21" customFormat="false" ht="15" hidden="false" customHeight="true" outlineLevel="0" collapsed="false">
      <c r="A21" s="43" t="s">
        <v>434</v>
      </c>
      <c r="B21" s="43" t="s">
        <v>57</v>
      </c>
      <c r="C21" s="43"/>
      <c r="D21" s="43"/>
      <c r="E21" s="43" t="s">
        <v>58</v>
      </c>
      <c r="F21" s="44"/>
      <c r="G21" s="43" t="s">
        <v>435</v>
      </c>
      <c r="H21" s="43"/>
      <c r="I21" s="43"/>
      <c r="J21" s="43"/>
      <c r="K21" s="43"/>
      <c r="L21" s="43"/>
    </row>
    <row r="22" customFormat="false" ht="30" hidden="false" customHeight="true" outlineLevel="0" collapsed="false">
      <c r="A22" s="37" t="n">
        <v>1</v>
      </c>
      <c r="B22" s="24" t="s">
        <v>436</v>
      </c>
      <c r="C22" s="24"/>
      <c r="D22" s="24"/>
      <c r="E22" s="45" t="n">
        <f aca="false">INDEX(D5:D19,MATCH("P007",A5:A19,0))</f>
        <v>1799</v>
      </c>
      <c r="F22" s="44"/>
      <c r="G22" s="46" t="s">
        <v>437</v>
      </c>
      <c r="H22" s="46"/>
      <c r="I22" s="46"/>
      <c r="J22" s="46"/>
      <c r="K22" s="46"/>
      <c r="L22" s="46"/>
    </row>
    <row r="23" customFormat="false" ht="30" hidden="false" customHeight="true" outlineLevel="0" collapsed="false">
      <c r="A23" s="37" t="n">
        <v>2</v>
      </c>
      <c r="B23" s="24" t="s">
        <v>438</v>
      </c>
      <c r="C23" s="24"/>
      <c r="D23" s="24"/>
      <c r="E23" s="47" t="str">
        <f aca="false">INDEX(C5:C19,MATCH("Smart Watch",B5:B19,0))</f>
        <v>Electronics</v>
      </c>
      <c r="F23" s="44"/>
      <c r="G23" s="46" t="s">
        <v>439</v>
      </c>
      <c r="H23" s="46"/>
      <c r="I23" s="46"/>
      <c r="J23" s="46"/>
      <c r="K23" s="46"/>
      <c r="L23" s="46"/>
    </row>
    <row r="24" customFormat="false" ht="30" hidden="false" customHeight="true" outlineLevel="0" collapsed="false">
      <c r="A24" s="37" t="n">
        <v>3</v>
      </c>
      <c r="B24" s="24" t="s">
        <v>440</v>
      </c>
      <c r="C24" s="24"/>
      <c r="D24" s="24"/>
      <c r="E24" s="47" t="str">
        <f aca="false">INDEX(A5:A19,MATCH("Coffee Maker",B5:B19,0))</f>
        <v>P009</v>
      </c>
      <c r="F24" s="44"/>
      <c r="G24" s="46" t="s">
        <v>441</v>
      </c>
      <c r="H24" s="46"/>
      <c r="I24" s="46"/>
      <c r="J24" s="46"/>
      <c r="K24" s="46"/>
      <c r="L24" s="46"/>
    </row>
    <row r="25" customFormat="false" ht="30" hidden="false" customHeight="true" outlineLevel="0" collapsed="false">
      <c r="A25" s="37" t="n">
        <v>4</v>
      </c>
      <c r="B25" s="24" t="s">
        <v>442</v>
      </c>
      <c r="C25" s="24"/>
      <c r="D25" s="24"/>
      <c r="E25" s="47" t="str">
        <f aca="false">IFERROR(INDEX(E5:E19,MATCH("P099",A5:A19,0)),"Not found")</f>
        <v>Not found</v>
      </c>
      <c r="F25" s="44"/>
      <c r="G25" s="46" t="s">
        <v>443</v>
      </c>
      <c r="H25" s="46"/>
      <c r="I25" s="46"/>
      <c r="J25" s="46"/>
      <c r="K25" s="46"/>
      <c r="L25" s="46"/>
    </row>
    <row r="26" customFormat="false" ht="30" hidden="false" customHeight="true" outlineLevel="0" collapsed="false">
      <c r="A26" s="37" t="n">
        <v>5</v>
      </c>
      <c r="B26" s="24" t="s">
        <v>444</v>
      </c>
      <c r="C26" s="24"/>
      <c r="D26" s="24"/>
      <c r="E26" s="48" t="n">
        <f aca="false">INDEX(O5:O9,MATCH(37500,N5:N9,1))</f>
        <v>0.04</v>
      </c>
      <c r="F26" s="44"/>
      <c r="G26" s="46" t="s">
        <v>445</v>
      </c>
      <c r="H26" s="46"/>
      <c r="I26" s="46"/>
      <c r="J26" s="46"/>
      <c r="K26" s="46"/>
      <c r="L26" s="46"/>
    </row>
    <row r="27" customFormat="false" ht="30" hidden="false" customHeight="true" outlineLevel="0" collapsed="false">
      <c r="A27" s="37" t="n">
        <v>6</v>
      </c>
      <c r="B27" s="24" t="s">
        <v>446</v>
      </c>
      <c r="C27" s="24"/>
      <c r="D27" s="24"/>
      <c r="E27" s="45" t="n">
        <f aca="false">120000*INDEX(O5:O9,MATCH(120000,N5:N9,1))</f>
        <v>9600</v>
      </c>
      <c r="F27" s="44"/>
      <c r="G27" s="46" t="s">
        <v>447</v>
      </c>
      <c r="H27" s="46"/>
      <c r="I27" s="46"/>
      <c r="J27" s="46"/>
      <c r="K27" s="46"/>
      <c r="L27" s="46"/>
    </row>
    <row r="28" customFormat="false" ht="30" hidden="false" customHeight="true" outlineLevel="0" collapsed="false">
      <c r="A28" s="37" t="n">
        <v>7</v>
      </c>
      <c r="B28" s="24" t="s">
        <v>448</v>
      </c>
      <c r="C28" s="24"/>
      <c r="D28" s="24"/>
      <c r="E28" s="45" t="n">
        <f aca="false">SUM(L5:L14)</f>
        <v>23780</v>
      </c>
      <c r="F28" s="44"/>
      <c r="G28" s="46" t="s">
        <v>449</v>
      </c>
      <c r="H28" s="46"/>
      <c r="I28" s="46"/>
      <c r="J28" s="46"/>
      <c r="K28" s="46"/>
      <c r="L28" s="46"/>
    </row>
    <row r="29" customFormat="false" ht="42" hidden="false" customHeight="true" outlineLevel="0" collapsed="false">
      <c r="A29" s="49"/>
      <c r="B29" s="50"/>
      <c r="C29" s="44"/>
      <c r="D29" s="44"/>
      <c r="E29" s="49"/>
      <c r="F29" s="44"/>
      <c r="G29" s="44"/>
      <c r="H29" s="44"/>
      <c r="I29" s="44"/>
      <c r="J29" s="44"/>
      <c r="K29" s="44"/>
      <c r="L29" s="44"/>
    </row>
  </sheetData>
  <mergeCells count="17">
    <mergeCell ref="G16:L16"/>
    <mergeCell ref="B21:D21"/>
    <mergeCell ref="G21:L21"/>
    <mergeCell ref="B22:D22"/>
    <mergeCell ref="G22:L22"/>
    <mergeCell ref="B23:D23"/>
    <mergeCell ref="G23:L23"/>
    <mergeCell ref="B24:D24"/>
    <mergeCell ref="G24:L24"/>
    <mergeCell ref="B25:D25"/>
    <mergeCell ref="G25:L25"/>
    <mergeCell ref="B26:D26"/>
    <mergeCell ref="G26:L26"/>
    <mergeCell ref="B27:D27"/>
    <mergeCell ref="G27:L27"/>
    <mergeCell ref="B28:D28"/>
    <mergeCell ref="G28:L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0" width="16"/>
    <col collapsed="false" customWidth="true" hidden="false" outlineLevel="0" max="2" min="2" style="30" width="27"/>
    <col collapsed="false" customWidth="true" hidden="false" outlineLevel="0" max="3" min="3" style="30" width="17"/>
    <col collapsed="false" customWidth="true" hidden="false" outlineLevel="0" max="4" min="4" style="30" width="21"/>
    <col collapsed="false" customWidth="true" hidden="false" outlineLevel="0" max="5" min="5" style="30" width="3"/>
    <col collapsed="false" customWidth="true" hidden="false" outlineLevel="0" max="6" min="6" style="30" width="18"/>
    <col collapsed="false" customWidth="true" hidden="false" outlineLevel="0" max="8" min="7" style="30" width="13"/>
    <col collapsed="false" customWidth="true" hidden="false" outlineLevel="0" max="9" min="9" style="30" width="18"/>
    <col collapsed="false" customWidth="true" hidden="false" outlineLevel="0" max="10" min="10" style="30" width="22"/>
    <col collapsed="false" customWidth="true" hidden="false" outlineLevel="0" max="11" min="11" style="30" width="15"/>
    <col collapsed="false" customWidth="true" hidden="false" outlineLevel="0" max="13" min="12" style="30" width="16"/>
    <col collapsed="false" customWidth="true" hidden="false" outlineLevel="0" max="14" min="14" style="30" width="20"/>
  </cols>
  <sheetData>
    <row r="1" customFormat="false" ht="19.5" hidden="false" customHeight="true" outlineLevel="0" collapsed="false">
      <c r="A1" s="34" t="s">
        <v>450</v>
      </c>
    </row>
    <row r="2" customFormat="false" ht="15" hidden="false" customHeight="true" outlineLevel="0" collapsed="false">
      <c r="A2" s="35" t="s">
        <v>451</v>
      </c>
    </row>
    <row r="4" customFormat="false" ht="43.5" hidden="false" customHeight="true" outlineLevel="0" collapsed="false">
      <c r="A4" s="19" t="s">
        <v>452</v>
      </c>
      <c r="B4" s="19" t="s">
        <v>453</v>
      </c>
      <c r="C4" s="19" t="s">
        <v>454</v>
      </c>
      <c r="D4" s="19" t="s">
        <v>455</v>
      </c>
      <c r="F4" s="36" t="s">
        <v>456</v>
      </c>
      <c r="G4" s="36" t="s">
        <v>457</v>
      </c>
      <c r="H4" s="36" t="s">
        <v>458</v>
      </c>
      <c r="I4" s="36" t="s">
        <v>459</v>
      </c>
      <c r="J4" s="36" t="s">
        <v>460</v>
      </c>
      <c r="K4" s="36" t="s">
        <v>461</v>
      </c>
      <c r="L4" s="36" t="s">
        <v>462</v>
      </c>
      <c r="M4" s="36" t="s">
        <v>463</v>
      </c>
      <c r="N4" s="36" t="s">
        <v>464</v>
      </c>
    </row>
    <row r="5" customFormat="false" ht="15" hidden="false" customHeight="true" outlineLevel="0" collapsed="false">
      <c r="A5" s="37" t="s">
        <v>465</v>
      </c>
      <c r="B5" s="37" t="s">
        <v>466</v>
      </c>
      <c r="C5" s="37" t="s">
        <v>467</v>
      </c>
      <c r="D5" s="37" t="s">
        <v>468</v>
      </c>
      <c r="F5" s="37" t="str">
        <f aca="false">PROPER(TRIM(A5))</f>
        <v>Ravi Kumar</v>
      </c>
      <c r="G5" s="37" t="str">
        <f aca="false">LEFT(F5,FIND(" ",F5)-1)</f>
        <v>Ravi</v>
      </c>
      <c r="H5" s="37" t="str">
        <f aca="false">MID(F5,FIND(" ",F5)+1,50)</f>
        <v>Kumar</v>
      </c>
      <c r="I5" s="37" t="str">
        <f aca="false">LEFT(B5,FIND("@",B5)-1)</f>
        <v>ravi.kumar</v>
      </c>
      <c r="J5" s="37" t="str">
        <f aca="false">MID(B5,FIND("@",B5)+1,50)</f>
        <v>gmail.com</v>
      </c>
      <c r="K5" s="37" t="str">
        <f aca="false">RIGHT(C5,4)</f>
        <v>3210</v>
      </c>
      <c r="L5" s="37" t="n">
        <f aca="false">VALUE(MID(D5,5,4))</f>
        <v>2025</v>
      </c>
      <c r="M5" s="37" t="str">
        <f aca="false">RIGHT(D5,3)</f>
        <v>MUM</v>
      </c>
      <c r="N5" s="37" t="str">
        <f aca="false">H5&amp;", "&amp;G5</f>
        <v>Kumar, Ravi</v>
      </c>
    </row>
    <row r="6" customFormat="false" ht="15" hidden="false" customHeight="true" outlineLevel="0" collapsed="false">
      <c r="A6" s="37" t="s">
        <v>469</v>
      </c>
      <c r="B6" s="37" t="s">
        <v>470</v>
      </c>
      <c r="C6" s="37" t="s">
        <v>471</v>
      </c>
      <c r="D6" s="37" t="s">
        <v>472</v>
      </c>
      <c r="F6" s="37" t="str">
        <f aca="false">PROPER(TRIM(A6))</f>
        <v>Priya Sharma</v>
      </c>
      <c r="G6" s="37" t="str">
        <f aca="false">LEFT(F6,FIND(" ",F6)-1)</f>
        <v>Priya</v>
      </c>
      <c r="H6" s="37" t="str">
        <f aca="false">MID(F6,FIND(" ",F6)+1,50)</f>
        <v>Sharma</v>
      </c>
      <c r="I6" s="37" t="str">
        <f aca="false">LEFT(B6,FIND("@",B6)-1)</f>
        <v>priya_s</v>
      </c>
      <c r="J6" s="37" t="str">
        <f aca="false">MID(B6,FIND("@",B6)+1,50)</f>
        <v>outlook.com</v>
      </c>
      <c r="K6" s="37" t="str">
        <f aca="false">RIGHT(C6,4)</f>
        <v>6789</v>
      </c>
      <c r="L6" s="37" t="n">
        <f aca="false">VALUE(MID(D6,5,4))</f>
        <v>2024</v>
      </c>
      <c r="M6" s="37" t="str">
        <f aca="false">RIGHT(D6,3)</f>
        <v>DEL</v>
      </c>
      <c r="N6" s="37" t="str">
        <f aca="false">H6&amp;", "&amp;G6</f>
        <v>Sharma, Priya</v>
      </c>
    </row>
    <row r="7" customFormat="false" ht="15" hidden="false" customHeight="true" outlineLevel="0" collapsed="false">
      <c r="A7" s="37" t="s">
        <v>473</v>
      </c>
      <c r="B7" s="37" t="s">
        <v>474</v>
      </c>
      <c r="C7" s="37" t="s">
        <v>475</v>
      </c>
      <c r="D7" s="37" t="s">
        <v>476</v>
      </c>
      <c r="F7" s="37" t="str">
        <f aca="false">PROPER(TRIM(A7))</f>
        <v>Amit Patel</v>
      </c>
      <c r="G7" s="37" t="str">
        <f aca="false">LEFT(F7,FIND(" ",F7)-1)</f>
        <v>Amit</v>
      </c>
      <c r="H7" s="37" t="str">
        <f aca="false">MID(F7,FIND(" ",F7)+1,50)</f>
        <v>Patel</v>
      </c>
      <c r="I7" s="37" t="str">
        <f aca="false">LEFT(B7,FIND("@",B7)-1)</f>
        <v>amit.patel</v>
      </c>
      <c r="J7" s="37" t="str">
        <f aca="false">MID(B7,FIND("@",B7)+1,50)</f>
        <v>company.co.in</v>
      </c>
      <c r="K7" s="37" t="str">
        <f aca="false">RIGHT(C7,4)</f>
        <v>6655</v>
      </c>
      <c r="L7" s="37" t="n">
        <f aca="false">VALUE(MID(D7,5,4))</f>
        <v>2025</v>
      </c>
      <c r="M7" s="37" t="str">
        <f aca="false">RIGHT(D7,3)</f>
        <v>PUN</v>
      </c>
      <c r="N7" s="37" t="str">
        <f aca="false">H7&amp;", "&amp;G7</f>
        <v>Patel, Amit</v>
      </c>
    </row>
    <row r="8" customFormat="false" ht="15" hidden="false" customHeight="true" outlineLevel="0" collapsed="false">
      <c r="A8" s="37" t="s">
        <v>477</v>
      </c>
      <c r="B8" s="37" t="s">
        <v>478</v>
      </c>
      <c r="C8" s="37" t="s">
        <v>479</v>
      </c>
      <c r="D8" s="37" t="s">
        <v>480</v>
      </c>
      <c r="F8" s="37" t="str">
        <f aca="false">PROPER(TRIM(A8))</f>
        <v>Sneha Iyer</v>
      </c>
      <c r="G8" s="37" t="str">
        <f aca="false">LEFT(F8,FIND(" ",F8)-1)</f>
        <v>Sneha</v>
      </c>
      <c r="H8" s="37" t="str">
        <f aca="false">MID(F8,FIND(" ",F8)+1,50)</f>
        <v>Iyer</v>
      </c>
      <c r="I8" s="37" t="str">
        <f aca="false">LEFT(B8,FIND("@",B8)-1)</f>
        <v>sneha.iyer</v>
      </c>
      <c r="J8" s="37" t="str">
        <f aca="false">MID(B8,FIND("@",B8)+1,50)</f>
        <v>gmail.com</v>
      </c>
      <c r="K8" s="37" t="str">
        <f aca="false">RIGHT(C8,4)</f>
        <v>1122</v>
      </c>
      <c r="L8" s="37" t="n">
        <f aca="false">VALUE(MID(D8,5,4))</f>
        <v>2023</v>
      </c>
      <c r="M8" s="37" t="str">
        <f aca="false">RIGHT(D8,3)</f>
        <v>BLR</v>
      </c>
      <c r="N8" s="37" t="str">
        <f aca="false">H8&amp;", "&amp;G8</f>
        <v>Iyer, Sneha</v>
      </c>
    </row>
    <row r="9" customFormat="false" ht="15" hidden="false" customHeight="true" outlineLevel="0" collapsed="false">
      <c r="A9" s="37" t="s">
        <v>481</v>
      </c>
      <c r="B9" s="37" t="s">
        <v>482</v>
      </c>
      <c r="C9" s="37" t="s">
        <v>483</v>
      </c>
      <c r="D9" s="37" t="s">
        <v>484</v>
      </c>
      <c r="F9" s="37" t="str">
        <f aca="false">PROPER(TRIM(A9))</f>
        <v>Rohan Mehta</v>
      </c>
      <c r="G9" s="37" t="str">
        <f aca="false">LEFT(F9,FIND(" ",F9)-1)</f>
        <v>Rohan</v>
      </c>
      <c r="H9" s="37" t="str">
        <f aca="false">MID(F9,FIND(" ",F9)+1,50)</f>
        <v>Mehta</v>
      </c>
      <c r="I9" s="37" t="str">
        <f aca="false">LEFT(B9,FIND("@",B9)-1)</f>
        <v>rohan99</v>
      </c>
      <c r="J9" s="37" t="str">
        <f aca="false">MID(B9,FIND("@",B9)+1,50)</f>
        <v>yahoo.com</v>
      </c>
      <c r="K9" s="37" t="str">
        <f aca="false">RIGHT(C9,4)</f>
        <v>6677</v>
      </c>
      <c r="L9" s="37" t="n">
        <f aca="false">VALUE(MID(D9,5,4))</f>
        <v>2025</v>
      </c>
      <c r="M9" s="37" t="str">
        <f aca="false">RIGHT(D9,3)</f>
        <v>MUM</v>
      </c>
      <c r="N9" s="37" t="str">
        <f aca="false">H9&amp;", "&amp;G9</f>
        <v>Mehta, Rohan</v>
      </c>
    </row>
    <row r="10" customFormat="false" ht="15" hidden="false" customHeight="true" outlineLevel="0" collapsed="false">
      <c r="A10" s="37" t="s">
        <v>485</v>
      </c>
      <c r="B10" s="37" t="s">
        <v>486</v>
      </c>
      <c r="C10" s="37" t="s">
        <v>487</v>
      </c>
      <c r="D10" s="37" t="s">
        <v>488</v>
      </c>
      <c r="F10" s="37" t="str">
        <f aca="false">PROPER(TRIM(A10))</f>
        <v>Kavita Nair</v>
      </c>
      <c r="G10" s="37" t="str">
        <f aca="false">LEFT(F10,FIND(" ",F10)-1)</f>
        <v>Kavita</v>
      </c>
      <c r="H10" s="37" t="str">
        <f aca="false">MID(F10,FIND(" ",F10)+1,50)</f>
        <v>Nair</v>
      </c>
      <c r="I10" s="37" t="str">
        <f aca="false">LEFT(B10,FIND("@",B10)-1)</f>
        <v>kavita.nair</v>
      </c>
      <c r="J10" s="37" t="str">
        <f aca="false">MID(B10,FIND("@",B10)+1,50)</f>
        <v>outlook.com</v>
      </c>
      <c r="K10" s="37" t="str">
        <f aca="false">RIGHT(C10,4)</f>
        <v>8899</v>
      </c>
      <c r="L10" s="37" t="n">
        <f aca="false">VALUE(MID(D10,5,4))</f>
        <v>2024</v>
      </c>
      <c r="M10" s="37" t="str">
        <f aca="false">RIGHT(D10,3)</f>
        <v>CHE</v>
      </c>
      <c r="N10" s="37" t="str">
        <f aca="false">H10&amp;", "&amp;G10</f>
        <v>Nair, Kavita</v>
      </c>
    </row>
    <row r="11" customFormat="false" ht="15" hidden="false" customHeight="true" outlineLevel="0" collapsed="false">
      <c r="A11" s="37" t="s">
        <v>489</v>
      </c>
      <c r="B11" s="37" t="s">
        <v>490</v>
      </c>
      <c r="C11" s="37" t="s">
        <v>491</v>
      </c>
      <c r="D11" s="37" t="s">
        <v>492</v>
      </c>
      <c r="F11" s="37" t="str">
        <f aca="false">PROPER(TRIM(A11))</f>
        <v>Arjun Singh</v>
      </c>
      <c r="G11" s="37" t="str">
        <f aca="false">LEFT(F11,FIND(" ",F11)-1)</f>
        <v>Arjun</v>
      </c>
      <c r="H11" s="37" t="str">
        <f aca="false">MID(F11,FIND(" ",F11)+1,50)</f>
        <v>Singh</v>
      </c>
      <c r="I11" s="37" t="str">
        <f aca="false">LEFT(B11,FIND("@",B11)-1)</f>
        <v>arjun.singh</v>
      </c>
      <c r="J11" s="37" t="str">
        <f aca="false">MID(B11,FIND("@",B11)+1,50)</f>
        <v>company.co.in</v>
      </c>
      <c r="K11" s="37" t="str">
        <f aca="false">RIGHT(C11,4)</f>
        <v>4455</v>
      </c>
      <c r="L11" s="37" t="n">
        <f aca="false">VALUE(MID(D11,5,4))</f>
        <v>2025</v>
      </c>
      <c r="M11" s="37" t="str">
        <f aca="false">RIGHT(D11,3)</f>
        <v>DEL</v>
      </c>
      <c r="N11" s="37" t="str">
        <f aca="false">H11&amp;", "&amp;G11</f>
        <v>Singh, Arjun</v>
      </c>
    </row>
    <row r="12" customFormat="false" ht="15" hidden="false" customHeight="true" outlineLevel="0" collapsed="false">
      <c r="A12" s="37" t="s">
        <v>493</v>
      </c>
      <c r="B12" s="37" t="s">
        <v>494</v>
      </c>
      <c r="C12" s="37" t="s">
        <v>495</v>
      </c>
      <c r="D12" s="37" t="s">
        <v>496</v>
      </c>
      <c r="F12" s="37" t="str">
        <f aca="false">PROPER(TRIM(A12))</f>
        <v>Meera Joshi</v>
      </c>
      <c r="G12" s="37" t="str">
        <f aca="false">LEFT(F12,FIND(" ",F12)-1)</f>
        <v>Meera</v>
      </c>
      <c r="H12" s="37" t="str">
        <f aca="false">MID(F12,FIND(" ",F12)+1,50)</f>
        <v>Joshi</v>
      </c>
      <c r="I12" s="37" t="str">
        <f aca="false">LEFT(B12,FIND("@",B12)-1)</f>
        <v>meera_j</v>
      </c>
      <c r="J12" s="37" t="str">
        <f aca="false">MID(B12,FIND("@",B12)+1,50)</f>
        <v>gmail.com</v>
      </c>
      <c r="K12" s="37" t="str">
        <f aca="false">RIGHT(C12,4)</f>
        <v>3344</v>
      </c>
      <c r="L12" s="37" t="n">
        <f aca="false">VALUE(MID(D12,5,4))</f>
        <v>2023</v>
      </c>
      <c r="M12" s="37" t="str">
        <f aca="false">RIGHT(D12,3)</f>
        <v>PUN</v>
      </c>
      <c r="N12" s="37" t="str">
        <f aca="false">H12&amp;", "&amp;G12</f>
        <v>Joshi, Meera</v>
      </c>
    </row>
    <row r="14" customFormat="false" ht="15" hidden="false" customHeight="false" outlineLevel="0" collapsed="false">
      <c r="A14" s="16" t="s">
        <v>497</v>
      </c>
    </row>
    <row r="15" customFormat="false" ht="42" hidden="false" customHeight="true" outlineLevel="0" collapsed="false">
      <c r="F15" s="46" t="s">
        <v>498</v>
      </c>
      <c r="G15" s="46" t="s">
        <v>499</v>
      </c>
      <c r="H15" s="46" t="s">
        <v>500</v>
      </c>
      <c r="I15" s="46" t="s">
        <v>501</v>
      </c>
      <c r="J15" s="46" t="s">
        <v>502</v>
      </c>
      <c r="K15" s="46" t="s">
        <v>503</v>
      </c>
      <c r="L15" s="46" t="s">
        <v>504</v>
      </c>
      <c r="M15" s="46" t="s">
        <v>505</v>
      </c>
      <c r="N15" s="46" t="s">
        <v>506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30" width="14"/>
    <col collapsed="false" customWidth="true" hidden="false" outlineLevel="0" max="4" min="4" style="30" width="15"/>
    <col collapsed="false" customWidth="true" hidden="false" outlineLevel="0" max="5" min="5" style="30" width="3"/>
    <col collapsed="false" customWidth="true" hidden="false" outlineLevel="0" max="8" min="6" style="30" width="10"/>
    <col collapsed="false" customWidth="true" hidden="false" outlineLevel="0" max="9" min="9" style="30" width="12"/>
    <col collapsed="false" customWidth="true" hidden="false" outlineLevel="0" max="11" min="10" style="30" width="14"/>
    <col collapsed="false" customWidth="true" hidden="false" outlineLevel="0" max="12" min="12" style="30" width="16"/>
    <col collapsed="false" customWidth="true" hidden="false" outlineLevel="0" max="13" min="13" style="30" width="20"/>
    <col collapsed="false" customWidth="true" hidden="false" outlineLevel="0" max="14" min="14" style="30" width="14"/>
  </cols>
  <sheetData>
    <row r="1" customFormat="false" ht="19.5" hidden="false" customHeight="true" outlineLevel="0" collapsed="false">
      <c r="A1" s="34" t="s">
        <v>507</v>
      </c>
    </row>
    <row r="2" customFormat="false" ht="15" hidden="false" customHeight="true" outlineLevel="0" collapsed="false">
      <c r="A2" s="35" t="s">
        <v>508</v>
      </c>
    </row>
    <row r="3" customFormat="false" ht="15" hidden="false" customHeight="true" outlineLevel="0" collapsed="false">
      <c r="A3" s="51" t="s">
        <v>509</v>
      </c>
      <c r="B3" s="52" t="n">
        <v>46295</v>
      </c>
    </row>
    <row r="5" customFormat="false" ht="57.75" hidden="false" customHeight="true" outlineLevel="0" collapsed="false">
      <c r="A5" s="19" t="s">
        <v>510</v>
      </c>
      <c r="B5" s="19" t="s">
        <v>511</v>
      </c>
      <c r="C5" s="19" t="s">
        <v>512</v>
      </c>
      <c r="D5" s="19" t="s">
        <v>513</v>
      </c>
      <c r="F5" s="36" t="s">
        <v>514</v>
      </c>
      <c r="G5" s="36" t="s">
        <v>515</v>
      </c>
      <c r="H5" s="36" t="s">
        <v>516</v>
      </c>
      <c r="I5" s="36" t="s">
        <v>517</v>
      </c>
      <c r="J5" s="36" t="s">
        <v>518</v>
      </c>
      <c r="K5" s="36" t="s">
        <v>519</v>
      </c>
      <c r="L5" s="36" t="s">
        <v>520</v>
      </c>
      <c r="M5" s="36" t="s">
        <v>521</v>
      </c>
      <c r="N5" s="36" t="s">
        <v>522</v>
      </c>
    </row>
    <row r="6" customFormat="false" ht="15" hidden="false" customHeight="true" outlineLevel="0" collapsed="false">
      <c r="A6" s="53" t="n">
        <v>46037</v>
      </c>
      <c r="B6" s="53" t="n">
        <v>46039</v>
      </c>
      <c r="C6" s="53" t="n">
        <v>46059</v>
      </c>
      <c r="D6" s="53" t="n">
        <v>34770</v>
      </c>
      <c r="F6" s="37" t="n">
        <f aca="false">YEAR(A6)</f>
        <v>2026</v>
      </c>
      <c r="G6" s="37" t="n">
        <f aca="false">MONTH(A6)</f>
        <v>1</v>
      </c>
      <c r="H6" s="37" t="n">
        <f aca="false">DAY(A6)</f>
        <v>15</v>
      </c>
      <c r="I6" s="37" t="str">
        <f aca="false">TEXT(A6,"mmmm")</f>
        <v>January</v>
      </c>
      <c r="J6" s="37" t="n">
        <f aca="false">B6-A6</f>
        <v>2</v>
      </c>
      <c r="K6" s="37" t="str">
        <f aca="false">TEXT(A6,"dddd")</f>
        <v>Thursday</v>
      </c>
      <c r="L6" s="53" t="n">
        <f aca="false">EOMONTH(A6,0)</f>
        <v>46053</v>
      </c>
      <c r="M6" s="37" t="n">
        <f aca="false">C6-$B$3</f>
        <v>-236</v>
      </c>
      <c r="N6" s="37" t="n">
        <f aca="false">DATEDIF(D6,$B$3,"Y")</f>
        <v>31</v>
      </c>
    </row>
    <row r="7" customFormat="false" ht="15" hidden="false" customHeight="true" outlineLevel="0" collapsed="false">
      <c r="A7" s="53" t="n">
        <v>46056</v>
      </c>
      <c r="B7" s="53" t="n">
        <v>46061</v>
      </c>
      <c r="C7" s="53" t="n">
        <v>46106</v>
      </c>
      <c r="D7" s="53" t="n">
        <v>32452</v>
      </c>
      <c r="F7" s="37" t="n">
        <f aca="false">YEAR(A7)</f>
        <v>2026</v>
      </c>
      <c r="G7" s="37" t="n">
        <f aca="false">MONTH(A7)</f>
        <v>2</v>
      </c>
      <c r="H7" s="37" t="n">
        <f aca="false">DAY(A7)</f>
        <v>3</v>
      </c>
      <c r="I7" s="37" t="str">
        <f aca="false">TEXT(A7,"mmmm")</f>
        <v>February</v>
      </c>
      <c r="J7" s="37" t="n">
        <f aca="false">B7-A7</f>
        <v>5</v>
      </c>
      <c r="K7" s="37" t="str">
        <f aca="false">TEXT(A7,"dddd")</f>
        <v>Tuesday</v>
      </c>
      <c r="L7" s="53" t="n">
        <f aca="false">EOMONTH(A7,0)</f>
        <v>46081</v>
      </c>
      <c r="M7" s="37" t="n">
        <f aca="false">C7-$B$3</f>
        <v>-189</v>
      </c>
      <c r="N7" s="37" t="n">
        <f aca="false">DATEDIF(D7,$B$3,"Y")</f>
        <v>37</v>
      </c>
    </row>
    <row r="8" customFormat="false" ht="15" hidden="false" customHeight="true" outlineLevel="0" collapsed="false">
      <c r="A8" s="53" t="n">
        <v>46109</v>
      </c>
      <c r="B8" s="53" t="n">
        <v>46112</v>
      </c>
      <c r="C8" s="53" t="n">
        <v>46122</v>
      </c>
      <c r="D8" s="53" t="n">
        <v>36737</v>
      </c>
      <c r="F8" s="37" t="n">
        <f aca="false">YEAR(A8)</f>
        <v>2026</v>
      </c>
      <c r="G8" s="37" t="n">
        <f aca="false">MONTH(A8)</f>
        <v>3</v>
      </c>
      <c r="H8" s="37" t="n">
        <f aca="false">DAY(A8)</f>
        <v>28</v>
      </c>
      <c r="I8" s="37" t="str">
        <f aca="false">TEXT(A8,"mmmm")</f>
        <v>March</v>
      </c>
      <c r="J8" s="37" t="n">
        <f aca="false">B8-A8</f>
        <v>3</v>
      </c>
      <c r="K8" s="37" t="str">
        <f aca="false">TEXT(A8,"dddd")</f>
        <v>Saturday</v>
      </c>
      <c r="L8" s="53" t="n">
        <f aca="false">EOMONTH(A8,0)</f>
        <v>46112</v>
      </c>
      <c r="M8" s="37" t="n">
        <f aca="false">C8-$B$3</f>
        <v>-173</v>
      </c>
      <c r="N8" s="37" t="n">
        <f aca="false">DATEDIF(D8,$B$3,"Y")</f>
        <v>26</v>
      </c>
    </row>
    <row r="9" customFormat="false" ht="15" hidden="false" customHeight="true" outlineLevel="0" collapsed="false">
      <c r="A9" s="53" t="n">
        <v>46121</v>
      </c>
      <c r="B9" s="53" t="n">
        <v>46128</v>
      </c>
      <c r="C9" s="53" t="n">
        <v>46188</v>
      </c>
      <c r="D9" s="53" t="n">
        <v>33622</v>
      </c>
      <c r="F9" s="37" t="n">
        <f aca="false">YEAR(A9)</f>
        <v>2026</v>
      </c>
      <c r="G9" s="37" t="n">
        <f aca="false">MONTH(A9)</f>
        <v>4</v>
      </c>
      <c r="H9" s="37" t="n">
        <f aca="false">DAY(A9)</f>
        <v>9</v>
      </c>
      <c r="I9" s="37" t="str">
        <f aca="false">TEXT(A9,"mmmm")</f>
        <v>April</v>
      </c>
      <c r="J9" s="37" t="n">
        <f aca="false">B9-A9</f>
        <v>7</v>
      </c>
      <c r="K9" s="37" t="str">
        <f aca="false">TEXT(A9,"dddd")</f>
        <v>Thursday</v>
      </c>
      <c r="L9" s="53" t="n">
        <f aca="false">EOMONTH(A9,0)</f>
        <v>46142</v>
      </c>
      <c r="M9" s="37" t="n">
        <f aca="false">C9-$B$3</f>
        <v>-107</v>
      </c>
      <c r="N9" s="37" t="n">
        <f aca="false">DATEDIF(D9,$B$3,"Y")</f>
        <v>34</v>
      </c>
    </row>
    <row r="10" customFormat="false" ht="15" hidden="false" customHeight="true" outlineLevel="0" collapsed="false">
      <c r="A10" s="53" t="n">
        <v>46163</v>
      </c>
      <c r="B10" s="53" t="n">
        <v>46165</v>
      </c>
      <c r="C10" s="53" t="n">
        <v>46195</v>
      </c>
      <c r="D10" s="53" t="n">
        <v>31320</v>
      </c>
      <c r="F10" s="37" t="n">
        <f aca="false">YEAR(A10)</f>
        <v>2026</v>
      </c>
      <c r="G10" s="37" t="n">
        <f aca="false">MONTH(A10)</f>
        <v>5</v>
      </c>
      <c r="H10" s="37" t="n">
        <f aca="false">DAY(A10)</f>
        <v>21</v>
      </c>
      <c r="I10" s="37" t="str">
        <f aca="false">TEXT(A10,"mmmm")</f>
        <v>May</v>
      </c>
      <c r="J10" s="37" t="n">
        <f aca="false">B10-A10</f>
        <v>2</v>
      </c>
      <c r="K10" s="37" t="str">
        <f aca="false">TEXT(A10,"dddd")</f>
        <v>Thursday</v>
      </c>
      <c r="L10" s="53" t="n">
        <f aca="false">EOMONTH(A10,0)</f>
        <v>46173</v>
      </c>
      <c r="M10" s="37" t="n">
        <f aca="false">C10-$B$3</f>
        <v>-100</v>
      </c>
      <c r="N10" s="37" t="n">
        <f aca="false">DATEDIF(D10,$B$3,"Y")</f>
        <v>41</v>
      </c>
    </row>
    <row r="11" customFormat="false" ht="15" hidden="false" customHeight="true" outlineLevel="0" collapsed="false">
      <c r="A11" s="53" t="n">
        <v>46203</v>
      </c>
      <c r="B11" s="53" t="n">
        <v>46207</v>
      </c>
      <c r="C11" s="53" t="n">
        <v>46222</v>
      </c>
      <c r="D11" s="53" t="n">
        <v>36154</v>
      </c>
      <c r="F11" s="37" t="n">
        <f aca="false">YEAR(A11)</f>
        <v>2026</v>
      </c>
      <c r="G11" s="37" t="n">
        <f aca="false">MONTH(A11)</f>
        <v>6</v>
      </c>
      <c r="H11" s="37" t="n">
        <f aca="false">DAY(A11)</f>
        <v>30</v>
      </c>
      <c r="I11" s="37" t="str">
        <f aca="false">TEXT(A11,"mmmm")</f>
        <v>June</v>
      </c>
      <c r="J11" s="37" t="n">
        <f aca="false">B11-A11</f>
        <v>4</v>
      </c>
      <c r="K11" s="37" t="str">
        <f aca="false">TEXT(A11,"dddd")</f>
        <v>Tuesday</v>
      </c>
      <c r="L11" s="53" t="n">
        <f aca="false">EOMONTH(A11,0)</f>
        <v>46203</v>
      </c>
      <c r="M11" s="37" t="n">
        <f aca="false">C11-$B$3</f>
        <v>-73</v>
      </c>
      <c r="N11" s="37" t="n">
        <f aca="false">DATEDIF(D11,$B$3,"Y")</f>
        <v>27</v>
      </c>
    </row>
    <row r="12" customFormat="false" ht="15" hidden="false" customHeight="true" outlineLevel="0" collapsed="false">
      <c r="A12" s="53" t="n">
        <v>46217</v>
      </c>
      <c r="B12" s="53" t="n">
        <v>46223</v>
      </c>
      <c r="C12" s="53" t="n">
        <v>46248</v>
      </c>
      <c r="D12" s="53" t="n">
        <v>36983</v>
      </c>
      <c r="F12" s="37" t="n">
        <f aca="false">YEAR(A12)</f>
        <v>2026</v>
      </c>
      <c r="G12" s="37" t="n">
        <f aca="false">MONTH(A12)</f>
        <v>7</v>
      </c>
      <c r="H12" s="37" t="n">
        <f aca="false">DAY(A12)</f>
        <v>14</v>
      </c>
      <c r="I12" s="37" t="str">
        <f aca="false">TEXT(A12,"mmmm")</f>
        <v>July</v>
      </c>
      <c r="J12" s="37" t="n">
        <f aca="false">B12-A12</f>
        <v>6</v>
      </c>
      <c r="K12" s="37" t="str">
        <f aca="false">TEXT(A12,"dddd")</f>
        <v>Tuesday</v>
      </c>
      <c r="L12" s="53" t="n">
        <f aca="false">EOMONTH(A12,0)</f>
        <v>46234</v>
      </c>
      <c r="M12" s="37" t="n">
        <f aca="false">C12-$B$3</f>
        <v>-47</v>
      </c>
      <c r="N12" s="37" t="n">
        <f aca="false">DATEDIF(D12,$B$3,"Y")</f>
        <v>25</v>
      </c>
    </row>
    <row r="13" customFormat="false" ht="15" hidden="false" customHeight="true" outlineLevel="0" collapsed="false">
      <c r="A13" s="53" t="n">
        <v>46259</v>
      </c>
      <c r="B13" s="53" t="n">
        <v>46260</v>
      </c>
      <c r="C13" s="53" t="n">
        <v>46300</v>
      </c>
      <c r="D13" s="53" t="n">
        <v>33156</v>
      </c>
      <c r="F13" s="37" t="n">
        <f aca="false">YEAR(A13)</f>
        <v>2026</v>
      </c>
      <c r="G13" s="37" t="n">
        <f aca="false">MONTH(A13)</f>
        <v>8</v>
      </c>
      <c r="H13" s="37" t="n">
        <f aca="false">DAY(A13)</f>
        <v>25</v>
      </c>
      <c r="I13" s="37" t="str">
        <f aca="false">TEXT(A13,"mmmm")</f>
        <v>August</v>
      </c>
      <c r="J13" s="37" t="n">
        <f aca="false">B13-A13</f>
        <v>1</v>
      </c>
      <c r="K13" s="37" t="str">
        <f aca="false">TEXT(A13,"dddd")</f>
        <v>Tuesday</v>
      </c>
      <c r="L13" s="53" t="n">
        <f aca="false">EOMONTH(A13,0)</f>
        <v>46265</v>
      </c>
      <c r="M13" s="37" t="n">
        <f aca="false">C13-$B$3</f>
        <v>5</v>
      </c>
      <c r="N13" s="37" t="n">
        <f aca="false">DATEDIF(D13,$B$3,"Y")</f>
        <v>35</v>
      </c>
    </row>
    <row r="15" customFormat="false" ht="15" hidden="false" customHeight="false" outlineLevel="0" collapsed="false">
      <c r="A15" s="16" t="s">
        <v>523</v>
      </c>
    </row>
    <row r="16" customFormat="false" ht="36" hidden="false" customHeight="true" outlineLevel="0" collapsed="false">
      <c r="F16" s="46" t="s">
        <v>524</v>
      </c>
      <c r="G16" s="46" t="s">
        <v>525</v>
      </c>
      <c r="H16" s="46" t="s">
        <v>526</v>
      </c>
      <c r="I16" s="46" t="s">
        <v>527</v>
      </c>
      <c r="J16" s="46" t="s">
        <v>528</v>
      </c>
      <c r="K16" s="46" t="s">
        <v>529</v>
      </c>
      <c r="L16" s="46" t="s">
        <v>530</v>
      </c>
      <c r="M16" s="46" t="s">
        <v>531</v>
      </c>
      <c r="N16" s="46" t="s">
        <v>532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6"/>
    <col collapsed="false" customWidth="true" hidden="false" outlineLevel="0" max="3" min="3" style="0" width="50"/>
    <col collapsed="false" customWidth="true" hidden="false" outlineLevel="0" max="4" min="4" style="0" width="16"/>
    <col collapsed="false" customWidth="true" hidden="false" outlineLevel="0" max="5" min="5" style="0" width="3"/>
    <col collapsed="false" customWidth="true" hidden="false" outlineLevel="0" max="7" min="6" style="0" width="14"/>
  </cols>
  <sheetData>
    <row r="1" customFormat="false" ht="19.7" hidden="false" customHeight="false" outlineLevel="0" collapsed="false">
      <c r="A1" s="23" t="s">
        <v>533</v>
      </c>
    </row>
    <row r="2" customFormat="false" ht="15" hidden="false" customHeight="false" outlineLevel="0" collapsed="false">
      <c r="A2" s="2" t="s">
        <v>534</v>
      </c>
    </row>
    <row r="4" customFormat="false" ht="15" hidden="false" customHeight="false" outlineLevel="0" collapsed="false">
      <c r="A4" s="43" t="s">
        <v>434</v>
      </c>
      <c r="B4" s="43" t="s">
        <v>57</v>
      </c>
      <c r="C4" s="43" t="s">
        <v>535</v>
      </c>
      <c r="D4" s="43" t="s">
        <v>58</v>
      </c>
      <c r="F4" s="19" t="s">
        <v>536</v>
      </c>
      <c r="G4" s="19" t="s">
        <v>537</v>
      </c>
    </row>
    <row r="5" customFormat="false" ht="27.75" hidden="false" customHeight="true" outlineLevel="0" collapsed="false">
      <c r="A5" s="20" t="n">
        <v>1</v>
      </c>
      <c r="B5" s="24" t="s">
        <v>538</v>
      </c>
      <c r="C5" s="46" t="s">
        <v>539</v>
      </c>
      <c r="D5" s="54" t="n">
        <f aca="false">SUM('Employee Data'!$E$2:$E$41)</f>
        <v>2657500</v>
      </c>
      <c r="F5" s="20" t="s">
        <v>540</v>
      </c>
      <c r="G5" s="21" t="n">
        <f aca="false">SUMIFS('Employee Data'!$E$2:$E$41,'Employee Data'!$C$2:$C$41,F5)</f>
        <v>577500</v>
      </c>
    </row>
    <row r="6" customFormat="false" ht="31.5" hidden="false" customHeight="true" outlineLevel="0" collapsed="false">
      <c r="A6" s="20" t="n">
        <v>2</v>
      </c>
      <c r="B6" s="24" t="s">
        <v>541</v>
      </c>
      <c r="C6" s="46" t="s">
        <v>542</v>
      </c>
      <c r="D6" s="54" t="n">
        <f aca="false">ROUND(AVERAGEIF('Employee Data'!$C$2:$C$41,"Sales",'Employee Data'!$E$2:$E$41),0)</f>
        <v>64167</v>
      </c>
      <c r="F6" s="20" t="s">
        <v>543</v>
      </c>
      <c r="G6" s="21" t="n">
        <f aca="false">SUMIFS('Employee Data'!$E$2:$E$41,'Employee Data'!$C$2:$C$41,F6)</f>
        <v>658000</v>
      </c>
    </row>
    <row r="7" customFormat="false" ht="27.75" hidden="false" customHeight="true" outlineLevel="0" collapsed="false">
      <c r="A7" s="20" t="n">
        <v>3</v>
      </c>
      <c r="B7" s="24" t="s">
        <v>544</v>
      </c>
      <c r="C7" s="46" t="s">
        <v>545</v>
      </c>
      <c r="D7" s="47" t="n">
        <f aca="false">COUNTIF('Employee Data'!$F$2:$F$41,"Pune")</f>
        <v>10</v>
      </c>
      <c r="F7" s="20" t="s">
        <v>546</v>
      </c>
      <c r="G7" s="21" t="n">
        <f aca="false">SUMIFS('Employee Data'!$E$2:$E$41,'Employee Data'!$C$2:$C$41,F7)</f>
        <v>728500</v>
      </c>
    </row>
    <row r="8" customFormat="false" ht="27.75" hidden="false" customHeight="true" outlineLevel="0" collapsed="false">
      <c r="A8" s="20" t="n">
        <v>4</v>
      </c>
      <c r="B8" s="24" t="s">
        <v>547</v>
      </c>
      <c r="C8" s="46" t="s">
        <v>548</v>
      </c>
      <c r="D8" s="54" t="n">
        <f aca="false">INDEX('Employee Data'!$E$2:$E$41,MATCH("E017",'Employee Data'!$A$2:$A$41,0))</f>
        <v>43500</v>
      </c>
      <c r="F8" s="20" t="s">
        <v>549</v>
      </c>
      <c r="G8" s="21" t="n">
        <f aca="false">SUMIFS('Employee Data'!$E$2:$E$41,'Employee Data'!$C$2:$C$41,F8)</f>
        <v>439500</v>
      </c>
    </row>
    <row r="9" customFormat="false" ht="31.5" hidden="false" customHeight="true" outlineLevel="0" collapsed="false">
      <c r="A9" s="20" t="n">
        <v>5</v>
      </c>
      <c r="B9" s="24" t="s">
        <v>550</v>
      </c>
      <c r="C9" s="46" t="s">
        <v>551</v>
      </c>
      <c r="D9" s="47" t="str">
        <f aca="false">PROPER(TRIM(INDEX('Employee Data'!$B$2:$B$41,MATCH(MAX('Employee Data'!$E$2:$E$41),'Employee Data'!$E$2:$E$41,0))))</f>
        <v>Nikhil Patel</v>
      </c>
      <c r="F9" s="20" t="s">
        <v>552</v>
      </c>
      <c r="G9" s="21" t="n">
        <f aca="false">SUMIFS('Employee Data'!$E$2:$E$41,'Employee Data'!$C$2:$C$41,F9)</f>
        <v>254000</v>
      </c>
    </row>
    <row r="10" customFormat="false" ht="27.75" hidden="false" customHeight="true" outlineLevel="0" collapsed="false">
      <c r="A10" s="20" t="n">
        <v>6</v>
      </c>
      <c r="B10" s="24" t="s">
        <v>553</v>
      </c>
      <c r="C10" s="46" t="s">
        <v>554</v>
      </c>
      <c r="D10" s="47" t="n">
        <f aca="false">COUNTIFS('Employee Data'!$C$2:$C$41,"IT",'Employee Data'!$E$2:$E$41,"&gt;60000")</f>
        <v>4</v>
      </c>
    </row>
    <row r="11" customFormat="false" ht="31.5" hidden="false" customHeight="true" outlineLevel="0" collapsed="false">
      <c r="A11" s="20" t="n">
        <v>7</v>
      </c>
      <c r="B11" s="24" t="s">
        <v>555</v>
      </c>
      <c r="C11" s="46" t="s">
        <v>556</v>
      </c>
      <c r="D11" s="54" t="n">
        <f aca="false">SUMIFS('Employee Data'!$E$2:$E$41,'Employee Data'!$F$2:$F$41,"Delhi",'Employee Data'!$D$2:$D$41,"&gt;="&amp;DATE(2023,1,1))</f>
        <v>314000</v>
      </c>
    </row>
    <row r="12" customFormat="false" ht="27.75" hidden="false" customHeight="true" outlineLevel="0" collapsed="false">
      <c r="A12" s="20" t="n">
        <v>8</v>
      </c>
      <c r="B12" s="24" t="s">
        <v>557</v>
      </c>
      <c r="C12" s="46" t="s">
        <v>558</v>
      </c>
      <c r="D12" s="47" t="str">
        <f aca="false">PROPER(TRIM(INDEX('Employee Data'!$B$2:$B$41,MATCH("E005",'Employee Data'!$A$2:$A$41,0))))</f>
        <v>Neha Joshi</v>
      </c>
    </row>
    <row r="13" customFormat="false" ht="31.5" hidden="false" customHeight="true" outlineLevel="0" collapsed="false">
      <c r="A13" s="20" t="n">
        <v>9</v>
      </c>
      <c r="B13" s="24" t="s">
        <v>559</v>
      </c>
      <c r="C13" s="46" t="s">
        <v>560</v>
      </c>
      <c r="D13" s="47" t="str">
        <f aca="false">LEFT(PROPER(TRIM(INDEX('Employee Data'!$B$2:$B$41,MATCH("E010",'Employee Data'!$A$2:$A$41,0)))),FIND(" ",PROPER(TRIM(INDEX('Employee Data'!$B$2:$B$41,MATCH("E010",'Employee Data'!$A$2:$A$41,0)))))-1)</f>
        <v>Sneha</v>
      </c>
    </row>
    <row r="14" customFormat="false" ht="27.75" hidden="false" customHeight="true" outlineLevel="0" collapsed="false">
      <c r="A14" s="20" t="n">
        <v>10</v>
      </c>
      <c r="B14" s="24" t="s">
        <v>561</v>
      </c>
      <c r="C14" s="46" t="s">
        <v>562</v>
      </c>
      <c r="D14" s="47" t="str">
        <f aca="false">MID(INDEX('Employee Data'!$G$2:$G$41,MATCH("E003",'Employee Data'!$A$2:$A$41,0)),FIND("@",INDEX('Employee Data'!$G$2:$G$41,MATCH("E003",'Employee Data'!$A$2:$A$41,0)))+1,50)</f>
        <v>outlook.com</v>
      </c>
    </row>
    <row r="15" customFormat="false" ht="27.75" hidden="false" customHeight="true" outlineLevel="0" collapsed="false">
      <c r="A15" s="20" t="n">
        <v>11</v>
      </c>
      <c r="B15" s="24" t="s">
        <v>563</v>
      </c>
      <c r="C15" s="46" t="s">
        <v>564</v>
      </c>
      <c r="D15" s="55" t="n">
        <f aca="false">YEAR(INDEX('Employee Data'!$D$2:$D$41,MATCH("E020",'Employee Data'!$A$2:$A$41,0)))</f>
        <v>2021</v>
      </c>
    </row>
    <row r="16" customFormat="false" ht="31.5" hidden="false" customHeight="true" outlineLevel="0" collapsed="false">
      <c r="A16" s="20" t="n">
        <v>12</v>
      </c>
      <c r="B16" s="24" t="s">
        <v>565</v>
      </c>
      <c r="C16" s="46" t="s">
        <v>566</v>
      </c>
      <c r="D16" s="47" t="n">
        <f aca="false">DATEDIF(INDEX('Employee Data'!$D$2:$D$41,MATCH("E001",'Employee Data'!$A$2:$A$41,0)),DATE(2026,9,30),"Y")</f>
        <v>5</v>
      </c>
    </row>
    <row r="17" customFormat="false" ht="27.75" hidden="false" customHeight="true" outlineLevel="0" collapsed="false">
      <c r="A17" s="20" t="n">
        <v>13</v>
      </c>
      <c r="B17" s="24" t="s">
        <v>567</v>
      </c>
      <c r="C17" s="46" t="s">
        <v>568</v>
      </c>
      <c r="D17" s="47" t="n">
        <f aca="false">SUMPRODUCT(--(MONTH('Employee Data'!$D$2:$D$41)=3))</f>
        <v>4</v>
      </c>
    </row>
    <row r="18" customFormat="false" ht="31.5" hidden="false" customHeight="true" outlineLevel="0" collapsed="false">
      <c r="A18" s="20" t="n">
        <v>14</v>
      </c>
      <c r="B18" s="24" t="s">
        <v>569</v>
      </c>
      <c r="C18" s="46" t="s">
        <v>570</v>
      </c>
      <c r="D18" s="47" t="str">
        <f aca="false">INDEX($F$5:$F$9,MATCH(MAX($G$5:$G$9),$G$5:$G$9,0))</f>
        <v>HR</v>
      </c>
    </row>
    <row r="19" customFormat="false" ht="31.5" hidden="false" customHeight="true" outlineLevel="0" collapsed="false">
      <c r="A19" s="20" t="n">
        <v>15</v>
      </c>
      <c r="B19" s="24" t="s">
        <v>571</v>
      </c>
      <c r="C19" s="46" t="s">
        <v>572</v>
      </c>
      <c r="D19" s="54" t="n">
        <f aca="false">IF(INDEX('Employee Data'!$E$2:$E$41,MATCH("E008",'Employee Data'!$A$2:$A$41,0))&gt;=70000,0.1,0.05)*INDEX('Employee Data'!$E$2:$E$41,MATCH("E008",'Employee Data'!$A$2:$A$41,0))</f>
        <v>3475</v>
      </c>
    </row>
    <row r="20" customFormat="false" ht="27.75" hidden="false" customHeight="true" outlineLevel="0" collapsed="false">
      <c r="A20" s="20" t="n">
        <v>16</v>
      </c>
      <c r="B20" s="24" t="s">
        <v>573</v>
      </c>
      <c r="C20" s="46" t="s">
        <v>574</v>
      </c>
      <c r="D20" s="47" t="n">
        <f aca="false">SUMPRODUCT(1/COUNTIF('Employee Data'!$F$2:$F$41,'Employee Data'!$F$2:$F$41))</f>
        <v>4</v>
      </c>
    </row>
    <row r="21" customFormat="false" ht="31.5" hidden="false" customHeight="true" outlineLevel="0" collapsed="false">
      <c r="A21" s="20" t="n">
        <v>17</v>
      </c>
      <c r="B21" s="24" t="s">
        <v>575</v>
      </c>
      <c r="C21" s="46" t="s">
        <v>576</v>
      </c>
      <c r="D21" s="47" t="n">
        <f aca="false">RANK(INDEX('Employee Data'!$E$2:$E$41,MATCH("E012",'Employee Data'!$A$2:$A$41,0)),'Employee Data'!$E$2:$E$41)</f>
        <v>35</v>
      </c>
    </row>
    <row r="22" customFormat="false" ht="27.75" hidden="false" customHeight="true" outlineLevel="0" collapsed="false">
      <c r="A22" s="20" t="n">
        <v>18</v>
      </c>
      <c r="B22" s="24" t="s">
        <v>577</v>
      </c>
      <c r="C22" s="46" t="s">
        <v>578</v>
      </c>
      <c r="D22" s="54" t="n">
        <f aca="false">MEDIAN('Employee Data'!$E$2:$E$41)</f>
        <v>64750</v>
      </c>
    </row>
    <row r="23" customFormat="false" ht="31.5" hidden="false" customHeight="true" outlineLevel="0" collapsed="false">
      <c r="A23" s="20" t="n">
        <v>19</v>
      </c>
      <c r="B23" s="24" t="s">
        <v>579</v>
      </c>
      <c r="C23" s="46" t="s">
        <v>580</v>
      </c>
      <c r="D23" s="54" t="n">
        <f aca="false">ROUND(AVERAGEIF('Employee Data'!$C$2:$C$41,"HR",'Employee Data'!$E$2:$E$41),0)</f>
        <v>60708</v>
      </c>
    </row>
    <row r="24" customFormat="false" ht="27.75" hidden="false" customHeight="true" outlineLevel="0" collapsed="false">
      <c r="A24" s="20" t="n">
        <v>20</v>
      </c>
      <c r="B24" s="24" t="s">
        <v>581</v>
      </c>
      <c r="C24" s="46" t="s">
        <v>582</v>
      </c>
      <c r="D24" s="56" t="n">
        <f aca="false">COUNTIF('Employee Data'!$F$2:$F$41,"Mumbai")/COUNTA('Employee Data'!$F$2:$F$41)</f>
        <v>0.375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0" width="9"/>
    <col collapsed="false" customWidth="true" hidden="false" outlineLevel="0" max="2" min="2" style="30" width="24"/>
    <col collapsed="false" customWidth="true" hidden="false" outlineLevel="0" max="3" min="3" style="30" width="14"/>
    <col collapsed="false" customWidth="true" hidden="false" outlineLevel="0" max="4" min="4" style="30" width="13"/>
    <col collapsed="false" customWidth="true" hidden="false" outlineLevel="0" max="5" min="5" style="30" width="10"/>
    <col collapsed="false" customWidth="true" hidden="false" outlineLevel="0" max="6" min="6" style="30" width="12"/>
    <col collapsed="false" customWidth="true" hidden="false" outlineLevel="0" max="7" min="7" style="30" width="28"/>
  </cols>
  <sheetData>
    <row r="1" customFormat="false" ht="15" hidden="false" customHeight="true" outlineLevel="0" collapsed="false">
      <c r="A1" s="19" t="s">
        <v>583</v>
      </c>
      <c r="B1" s="19" t="s">
        <v>584</v>
      </c>
      <c r="C1" s="19" t="s">
        <v>536</v>
      </c>
      <c r="D1" s="19" t="s">
        <v>585</v>
      </c>
      <c r="E1" s="19" t="s">
        <v>586</v>
      </c>
      <c r="F1" s="19" t="s">
        <v>587</v>
      </c>
      <c r="G1" s="19" t="s">
        <v>453</v>
      </c>
    </row>
    <row r="2" customFormat="false" ht="15" hidden="false" customHeight="true" outlineLevel="0" collapsed="false">
      <c r="A2" s="31" t="s">
        <v>588</v>
      </c>
      <c r="B2" s="31" t="s">
        <v>589</v>
      </c>
      <c r="C2" s="31" t="s">
        <v>543</v>
      </c>
      <c r="D2" s="32" t="n">
        <v>44196</v>
      </c>
      <c r="E2" s="33" t="n">
        <v>59000</v>
      </c>
      <c r="F2" s="31" t="s">
        <v>590</v>
      </c>
      <c r="G2" s="31" t="s">
        <v>591</v>
      </c>
    </row>
    <row r="3" customFormat="false" ht="15" hidden="false" customHeight="true" outlineLevel="0" collapsed="false">
      <c r="A3" s="31" t="s">
        <v>592</v>
      </c>
      <c r="B3" s="31" t="s">
        <v>593</v>
      </c>
      <c r="C3" s="31" t="s">
        <v>546</v>
      </c>
      <c r="D3" s="32" t="n">
        <v>44569</v>
      </c>
      <c r="E3" s="33" t="n">
        <v>81000</v>
      </c>
      <c r="F3" s="31" t="s">
        <v>594</v>
      </c>
      <c r="G3" s="31" t="s">
        <v>595</v>
      </c>
    </row>
    <row r="4" customFormat="false" ht="15" hidden="false" customHeight="true" outlineLevel="0" collapsed="false">
      <c r="A4" s="31" t="s">
        <v>596</v>
      </c>
      <c r="B4" s="31" t="s">
        <v>597</v>
      </c>
      <c r="C4" s="31" t="s">
        <v>552</v>
      </c>
      <c r="D4" s="32" t="n">
        <v>43353</v>
      </c>
      <c r="E4" s="33" t="n">
        <v>46500</v>
      </c>
      <c r="F4" s="31" t="s">
        <v>594</v>
      </c>
      <c r="G4" s="31" t="s">
        <v>598</v>
      </c>
    </row>
    <row r="5" customFormat="false" ht="15" hidden="false" customHeight="true" outlineLevel="0" collapsed="false">
      <c r="A5" s="31" t="s">
        <v>599</v>
      </c>
      <c r="B5" s="31" t="s">
        <v>600</v>
      </c>
      <c r="C5" s="31" t="s">
        <v>546</v>
      </c>
      <c r="D5" s="32" t="n">
        <v>45865</v>
      </c>
      <c r="E5" s="33" t="n">
        <v>38500</v>
      </c>
      <c r="F5" s="31" t="s">
        <v>601</v>
      </c>
      <c r="G5" s="31" t="s">
        <v>602</v>
      </c>
    </row>
    <row r="6" customFormat="false" ht="15" hidden="false" customHeight="true" outlineLevel="0" collapsed="false">
      <c r="A6" s="31" t="s">
        <v>603</v>
      </c>
      <c r="B6" s="31" t="s">
        <v>604</v>
      </c>
      <c r="C6" s="31" t="s">
        <v>549</v>
      </c>
      <c r="D6" s="32" t="n">
        <v>45230</v>
      </c>
      <c r="E6" s="33" t="n">
        <v>93000</v>
      </c>
      <c r="F6" s="31" t="s">
        <v>601</v>
      </c>
      <c r="G6" s="31" t="s">
        <v>605</v>
      </c>
    </row>
    <row r="7" customFormat="false" ht="15" hidden="false" customHeight="true" outlineLevel="0" collapsed="false">
      <c r="A7" s="31" t="s">
        <v>606</v>
      </c>
      <c r="B7" s="31" t="s">
        <v>607</v>
      </c>
      <c r="C7" s="31" t="s">
        <v>543</v>
      </c>
      <c r="D7" s="32" t="n">
        <v>43129</v>
      </c>
      <c r="E7" s="33" t="n">
        <v>71500</v>
      </c>
      <c r="F7" s="31" t="s">
        <v>590</v>
      </c>
      <c r="G7" s="31" t="s">
        <v>608</v>
      </c>
    </row>
    <row r="8" customFormat="false" ht="15" hidden="false" customHeight="true" outlineLevel="0" collapsed="false">
      <c r="A8" s="31" t="s">
        <v>609</v>
      </c>
      <c r="B8" s="31" t="s">
        <v>610</v>
      </c>
      <c r="C8" s="31" t="s">
        <v>546</v>
      </c>
      <c r="D8" s="32" t="n">
        <v>45596</v>
      </c>
      <c r="E8" s="33" t="n">
        <v>33000</v>
      </c>
      <c r="F8" s="31" t="s">
        <v>611</v>
      </c>
      <c r="G8" s="31" t="s">
        <v>612</v>
      </c>
    </row>
    <row r="9" customFormat="false" ht="15" hidden="false" customHeight="true" outlineLevel="0" collapsed="false">
      <c r="A9" s="31" t="s">
        <v>613</v>
      </c>
      <c r="B9" s="31" t="s">
        <v>614</v>
      </c>
      <c r="C9" s="31" t="s">
        <v>543</v>
      </c>
      <c r="D9" s="32" t="n">
        <v>43318</v>
      </c>
      <c r="E9" s="33" t="n">
        <v>69500</v>
      </c>
      <c r="F9" s="31" t="s">
        <v>590</v>
      </c>
      <c r="G9" s="31" t="s">
        <v>615</v>
      </c>
    </row>
    <row r="10" customFormat="false" ht="15" hidden="false" customHeight="true" outlineLevel="0" collapsed="false">
      <c r="A10" s="31" t="s">
        <v>616</v>
      </c>
      <c r="B10" s="31" t="s">
        <v>617</v>
      </c>
      <c r="C10" s="31" t="s">
        <v>540</v>
      </c>
      <c r="D10" s="32" t="n">
        <v>44630</v>
      </c>
      <c r="E10" s="33" t="n">
        <v>77000</v>
      </c>
      <c r="F10" s="31" t="s">
        <v>590</v>
      </c>
      <c r="G10" s="31" t="s">
        <v>618</v>
      </c>
    </row>
    <row r="11" customFormat="false" ht="15" hidden="false" customHeight="true" outlineLevel="0" collapsed="false">
      <c r="A11" s="31" t="s">
        <v>619</v>
      </c>
      <c r="B11" s="31" t="s">
        <v>620</v>
      </c>
      <c r="C11" s="31" t="s">
        <v>546</v>
      </c>
      <c r="D11" s="32" t="n">
        <v>44023</v>
      </c>
      <c r="E11" s="33" t="n">
        <v>58000</v>
      </c>
      <c r="F11" s="31" t="s">
        <v>601</v>
      </c>
      <c r="G11" s="31" t="s">
        <v>621</v>
      </c>
    </row>
    <row r="12" customFormat="false" ht="15" hidden="false" customHeight="true" outlineLevel="0" collapsed="false">
      <c r="A12" s="31" t="s">
        <v>622</v>
      </c>
      <c r="B12" s="31" t="s">
        <v>623</v>
      </c>
      <c r="C12" s="31" t="s">
        <v>540</v>
      </c>
      <c r="D12" s="32" t="n">
        <v>45731</v>
      </c>
      <c r="E12" s="33" t="n">
        <v>62000</v>
      </c>
      <c r="F12" s="31" t="s">
        <v>594</v>
      </c>
      <c r="G12" s="31" t="s">
        <v>624</v>
      </c>
    </row>
    <row r="13" customFormat="false" ht="15" hidden="false" customHeight="true" outlineLevel="0" collapsed="false">
      <c r="A13" s="31" t="s">
        <v>625</v>
      </c>
      <c r="B13" s="31" t="s">
        <v>626</v>
      </c>
      <c r="C13" s="31" t="s">
        <v>546</v>
      </c>
      <c r="D13" s="32" t="n">
        <v>45362</v>
      </c>
      <c r="E13" s="33" t="n">
        <v>43500</v>
      </c>
      <c r="F13" s="31" t="s">
        <v>601</v>
      </c>
      <c r="G13" s="31" t="s">
        <v>627</v>
      </c>
    </row>
    <row r="14" customFormat="false" ht="15" hidden="false" customHeight="true" outlineLevel="0" collapsed="false">
      <c r="A14" s="31" t="s">
        <v>628</v>
      </c>
      <c r="B14" s="31" t="s">
        <v>629</v>
      </c>
      <c r="C14" s="31" t="s">
        <v>549</v>
      </c>
      <c r="D14" s="32" t="n">
        <v>43123</v>
      </c>
      <c r="E14" s="33" t="n">
        <v>87000</v>
      </c>
      <c r="F14" s="31" t="s">
        <v>590</v>
      </c>
      <c r="G14" s="31" t="s">
        <v>630</v>
      </c>
    </row>
    <row r="15" customFormat="false" ht="15" hidden="false" customHeight="true" outlineLevel="0" collapsed="false">
      <c r="A15" s="31" t="s">
        <v>631</v>
      </c>
      <c r="B15" s="31" t="s">
        <v>632</v>
      </c>
      <c r="C15" s="31" t="s">
        <v>549</v>
      </c>
      <c r="D15" s="32" t="n">
        <v>44905</v>
      </c>
      <c r="E15" s="33" t="n">
        <v>43500</v>
      </c>
      <c r="F15" s="31" t="s">
        <v>594</v>
      </c>
      <c r="G15" s="31" t="s">
        <v>633</v>
      </c>
    </row>
    <row r="16" customFormat="false" ht="15" hidden="false" customHeight="true" outlineLevel="0" collapsed="false">
      <c r="A16" s="31" t="s">
        <v>634</v>
      </c>
      <c r="B16" s="31" t="s">
        <v>635</v>
      </c>
      <c r="C16" s="31" t="s">
        <v>540</v>
      </c>
      <c r="D16" s="32" t="n">
        <v>44411</v>
      </c>
      <c r="E16" s="33" t="n">
        <v>35000</v>
      </c>
      <c r="F16" s="31" t="s">
        <v>590</v>
      </c>
      <c r="G16" s="31" t="s">
        <v>636</v>
      </c>
    </row>
    <row r="17" customFormat="false" ht="15" hidden="false" customHeight="true" outlineLevel="0" collapsed="false">
      <c r="A17" s="31" t="s">
        <v>637</v>
      </c>
      <c r="B17" s="31" t="s">
        <v>638</v>
      </c>
      <c r="C17" s="31" t="s">
        <v>546</v>
      </c>
      <c r="D17" s="32" t="n">
        <v>43585</v>
      </c>
      <c r="E17" s="33" t="n">
        <v>76500</v>
      </c>
      <c r="F17" s="31" t="s">
        <v>601</v>
      </c>
      <c r="G17" s="31" t="s">
        <v>639</v>
      </c>
    </row>
    <row r="18" customFormat="false" ht="15" hidden="false" customHeight="true" outlineLevel="0" collapsed="false">
      <c r="A18" s="31" t="s">
        <v>640</v>
      </c>
      <c r="B18" s="31" t="s">
        <v>641</v>
      </c>
      <c r="C18" s="31" t="s">
        <v>540</v>
      </c>
      <c r="D18" s="32" t="n">
        <v>45297</v>
      </c>
      <c r="E18" s="33" t="n">
        <v>43500</v>
      </c>
      <c r="F18" s="31" t="s">
        <v>611</v>
      </c>
      <c r="G18" s="31" t="s">
        <v>642</v>
      </c>
    </row>
    <row r="19" customFormat="false" ht="15" hidden="false" customHeight="true" outlineLevel="0" collapsed="false">
      <c r="A19" s="31" t="s">
        <v>643</v>
      </c>
      <c r="B19" s="31" t="s">
        <v>644</v>
      </c>
      <c r="C19" s="31" t="s">
        <v>543</v>
      </c>
      <c r="D19" s="32" t="n">
        <v>44870</v>
      </c>
      <c r="E19" s="33" t="n">
        <v>74000</v>
      </c>
      <c r="F19" s="31" t="s">
        <v>594</v>
      </c>
      <c r="G19" s="31" t="s">
        <v>645</v>
      </c>
    </row>
    <row r="20" customFormat="false" ht="15" hidden="false" customHeight="true" outlineLevel="0" collapsed="false">
      <c r="A20" s="31" t="s">
        <v>646</v>
      </c>
      <c r="B20" s="31" t="s">
        <v>647</v>
      </c>
      <c r="C20" s="31" t="s">
        <v>540</v>
      </c>
      <c r="D20" s="32" t="n">
        <v>45196</v>
      </c>
      <c r="E20" s="33" t="n">
        <v>87500</v>
      </c>
      <c r="F20" s="31" t="s">
        <v>611</v>
      </c>
      <c r="G20" s="31" t="s">
        <v>648</v>
      </c>
    </row>
    <row r="21" customFormat="false" ht="15" hidden="false" customHeight="true" outlineLevel="0" collapsed="false">
      <c r="A21" s="31" t="s">
        <v>649</v>
      </c>
      <c r="B21" s="31" t="s">
        <v>650</v>
      </c>
      <c r="C21" s="31" t="s">
        <v>546</v>
      </c>
      <c r="D21" s="32" t="n">
        <v>44519</v>
      </c>
      <c r="E21" s="33" t="n">
        <v>46500</v>
      </c>
      <c r="F21" s="31" t="s">
        <v>594</v>
      </c>
      <c r="G21" s="31" t="s">
        <v>651</v>
      </c>
    </row>
    <row r="22" customFormat="false" ht="15" hidden="false" customHeight="true" outlineLevel="0" collapsed="false">
      <c r="A22" s="31" t="s">
        <v>652</v>
      </c>
      <c r="B22" s="31" t="s">
        <v>653</v>
      </c>
      <c r="C22" s="31" t="s">
        <v>546</v>
      </c>
      <c r="D22" s="32" t="n">
        <v>44955</v>
      </c>
      <c r="E22" s="33" t="n">
        <v>85000</v>
      </c>
      <c r="F22" s="31" t="s">
        <v>611</v>
      </c>
      <c r="G22" s="31" t="s">
        <v>654</v>
      </c>
    </row>
    <row r="23" customFormat="false" ht="15" hidden="false" customHeight="true" outlineLevel="0" collapsed="false">
      <c r="A23" s="31" t="s">
        <v>655</v>
      </c>
      <c r="B23" s="31" t="s">
        <v>656</v>
      </c>
      <c r="C23" s="31" t="s">
        <v>546</v>
      </c>
      <c r="D23" s="32" t="n">
        <v>45106</v>
      </c>
      <c r="E23" s="33" t="n">
        <v>55500</v>
      </c>
      <c r="F23" s="31" t="s">
        <v>590</v>
      </c>
      <c r="G23" s="31" t="s">
        <v>657</v>
      </c>
    </row>
    <row r="24" customFormat="false" ht="15" hidden="false" customHeight="true" outlineLevel="0" collapsed="false">
      <c r="A24" s="31" t="s">
        <v>658</v>
      </c>
      <c r="B24" s="31" t="s">
        <v>659</v>
      </c>
      <c r="C24" s="31" t="s">
        <v>549</v>
      </c>
      <c r="D24" s="32" t="n">
        <v>44097</v>
      </c>
      <c r="E24" s="33" t="n">
        <v>53000</v>
      </c>
      <c r="F24" s="31" t="s">
        <v>601</v>
      </c>
      <c r="G24" s="31" t="s">
        <v>660</v>
      </c>
    </row>
    <row r="25" customFormat="false" ht="15" hidden="false" customHeight="true" outlineLevel="0" collapsed="false">
      <c r="A25" s="31" t="s">
        <v>661</v>
      </c>
      <c r="B25" s="31" t="s">
        <v>662</v>
      </c>
      <c r="C25" s="31" t="s">
        <v>549</v>
      </c>
      <c r="D25" s="32" t="n">
        <v>44967</v>
      </c>
      <c r="E25" s="33" t="n">
        <v>75500</v>
      </c>
      <c r="F25" s="31" t="s">
        <v>601</v>
      </c>
      <c r="G25" s="31" t="s">
        <v>663</v>
      </c>
    </row>
    <row r="26" customFormat="false" ht="15" hidden="false" customHeight="true" outlineLevel="0" collapsed="false">
      <c r="A26" s="31" t="s">
        <v>664</v>
      </c>
      <c r="B26" s="31" t="s">
        <v>665</v>
      </c>
      <c r="C26" s="31" t="s">
        <v>552</v>
      </c>
      <c r="D26" s="32" t="n">
        <v>45883</v>
      </c>
      <c r="E26" s="33" t="n">
        <v>65000</v>
      </c>
      <c r="F26" s="31" t="s">
        <v>611</v>
      </c>
      <c r="G26" s="31" t="s">
        <v>666</v>
      </c>
    </row>
    <row r="27" customFormat="false" ht="15" hidden="false" customHeight="true" outlineLevel="0" collapsed="false">
      <c r="A27" s="31" t="s">
        <v>667</v>
      </c>
      <c r="B27" s="31" t="s">
        <v>668</v>
      </c>
      <c r="C27" s="31" t="s">
        <v>546</v>
      </c>
      <c r="D27" s="32" t="n">
        <v>45359</v>
      </c>
      <c r="E27" s="33" t="n">
        <v>88500</v>
      </c>
      <c r="F27" s="31" t="s">
        <v>594</v>
      </c>
      <c r="G27" s="31" t="s">
        <v>669</v>
      </c>
    </row>
    <row r="28" customFormat="false" ht="15" hidden="false" customHeight="true" outlineLevel="0" collapsed="false">
      <c r="A28" s="31" t="s">
        <v>670</v>
      </c>
      <c r="B28" s="31" t="s">
        <v>671</v>
      </c>
      <c r="C28" s="31" t="s">
        <v>543</v>
      </c>
      <c r="D28" s="32" t="n">
        <v>43501</v>
      </c>
      <c r="E28" s="33" t="n">
        <v>57500</v>
      </c>
      <c r="F28" s="31" t="s">
        <v>611</v>
      </c>
      <c r="G28" s="31" t="s">
        <v>672</v>
      </c>
    </row>
    <row r="29" customFormat="false" ht="15" hidden="false" customHeight="true" outlineLevel="0" collapsed="false">
      <c r="A29" s="31" t="s">
        <v>673</v>
      </c>
      <c r="B29" s="31" t="s">
        <v>674</v>
      </c>
      <c r="C29" s="31" t="s">
        <v>552</v>
      </c>
      <c r="D29" s="32" t="n">
        <v>43769</v>
      </c>
      <c r="E29" s="33" t="n">
        <v>50000</v>
      </c>
      <c r="F29" s="31" t="s">
        <v>611</v>
      </c>
      <c r="G29" s="31" t="s">
        <v>675</v>
      </c>
    </row>
    <row r="30" customFormat="false" ht="15" hidden="false" customHeight="true" outlineLevel="0" collapsed="false">
      <c r="A30" s="31" t="s">
        <v>676</v>
      </c>
      <c r="B30" s="31" t="s">
        <v>677</v>
      </c>
      <c r="C30" s="31" t="s">
        <v>540</v>
      </c>
      <c r="D30" s="32" t="n">
        <v>44292</v>
      </c>
      <c r="E30" s="33" t="n">
        <v>59500</v>
      </c>
      <c r="F30" s="31" t="s">
        <v>611</v>
      </c>
      <c r="G30" s="31" t="s">
        <v>678</v>
      </c>
    </row>
    <row r="31" customFormat="false" ht="15" hidden="false" customHeight="true" outlineLevel="0" collapsed="false">
      <c r="A31" s="31" t="s">
        <v>679</v>
      </c>
      <c r="B31" s="31" t="s">
        <v>680</v>
      </c>
      <c r="C31" s="31" t="s">
        <v>546</v>
      </c>
      <c r="D31" s="32" t="n">
        <v>44139</v>
      </c>
      <c r="E31" s="33" t="n">
        <v>63500</v>
      </c>
      <c r="F31" s="31" t="s">
        <v>590</v>
      </c>
      <c r="G31" s="31" t="s">
        <v>681</v>
      </c>
    </row>
    <row r="32" customFormat="false" ht="15" hidden="false" customHeight="true" outlineLevel="0" collapsed="false">
      <c r="A32" s="31" t="s">
        <v>682</v>
      </c>
      <c r="B32" s="31" t="s">
        <v>683</v>
      </c>
      <c r="C32" s="31" t="s">
        <v>540</v>
      </c>
      <c r="D32" s="32" t="n">
        <v>43411</v>
      </c>
      <c r="E32" s="33" t="n">
        <v>60500</v>
      </c>
      <c r="F32" s="31" t="s">
        <v>590</v>
      </c>
      <c r="G32" s="31" t="s">
        <v>684</v>
      </c>
    </row>
    <row r="33" customFormat="false" ht="15" hidden="false" customHeight="true" outlineLevel="0" collapsed="false">
      <c r="A33" s="31" t="s">
        <v>685</v>
      </c>
      <c r="B33" s="31" t="s">
        <v>686</v>
      </c>
      <c r="C33" s="31" t="s">
        <v>543</v>
      </c>
      <c r="D33" s="32" t="n">
        <v>43756</v>
      </c>
      <c r="E33" s="33" t="n">
        <v>95500</v>
      </c>
      <c r="F33" s="31" t="s">
        <v>601</v>
      </c>
      <c r="G33" s="31" t="s">
        <v>687</v>
      </c>
    </row>
    <row r="34" customFormat="false" ht="15" hidden="false" customHeight="true" outlineLevel="0" collapsed="false">
      <c r="A34" s="31" t="s">
        <v>688</v>
      </c>
      <c r="B34" s="31" t="s">
        <v>689</v>
      </c>
      <c r="C34" s="31" t="s">
        <v>546</v>
      </c>
      <c r="D34" s="32" t="n">
        <v>45514</v>
      </c>
      <c r="E34" s="33" t="n">
        <v>59000</v>
      </c>
      <c r="F34" s="31" t="s">
        <v>601</v>
      </c>
      <c r="G34" s="31" t="s">
        <v>690</v>
      </c>
    </row>
    <row r="35" customFormat="false" ht="15" hidden="false" customHeight="true" outlineLevel="0" collapsed="false">
      <c r="A35" s="31" t="s">
        <v>691</v>
      </c>
      <c r="B35" s="31" t="s">
        <v>692</v>
      </c>
      <c r="C35" s="31" t="s">
        <v>549</v>
      </c>
      <c r="D35" s="32" t="n">
        <v>44057</v>
      </c>
      <c r="E35" s="33" t="n">
        <v>87500</v>
      </c>
      <c r="F35" s="31" t="s">
        <v>590</v>
      </c>
      <c r="G35" s="31" t="s">
        <v>693</v>
      </c>
    </row>
    <row r="36" customFormat="false" ht="15" hidden="false" customHeight="true" outlineLevel="0" collapsed="false">
      <c r="A36" s="31" t="s">
        <v>694</v>
      </c>
      <c r="B36" s="31" t="s">
        <v>695</v>
      </c>
      <c r="C36" s="31" t="s">
        <v>543</v>
      </c>
      <c r="D36" s="32" t="n">
        <v>44209</v>
      </c>
      <c r="E36" s="33" t="n">
        <v>70500</v>
      </c>
      <c r="F36" s="31" t="s">
        <v>601</v>
      </c>
      <c r="G36" s="31" t="s">
        <v>696</v>
      </c>
    </row>
    <row r="37" customFormat="false" ht="15" hidden="false" customHeight="true" outlineLevel="0" collapsed="false">
      <c r="A37" s="31" t="s">
        <v>697</v>
      </c>
      <c r="B37" s="31" t="s">
        <v>698</v>
      </c>
      <c r="C37" s="31" t="s">
        <v>540</v>
      </c>
      <c r="D37" s="32" t="n">
        <v>43395</v>
      </c>
      <c r="E37" s="33" t="n">
        <v>64500</v>
      </c>
      <c r="F37" s="31" t="s">
        <v>601</v>
      </c>
      <c r="G37" s="31" t="s">
        <v>699</v>
      </c>
    </row>
    <row r="38" customFormat="false" ht="15" hidden="false" customHeight="true" outlineLevel="0" collapsed="false">
      <c r="A38" s="31" t="s">
        <v>700</v>
      </c>
      <c r="B38" s="31" t="s">
        <v>701</v>
      </c>
      <c r="C38" s="31" t="s">
        <v>543</v>
      </c>
      <c r="D38" s="32" t="n">
        <v>44367</v>
      </c>
      <c r="E38" s="33" t="n">
        <v>71000</v>
      </c>
      <c r="F38" s="31" t="s">
        <v>601</v>
      </c>
      <c r="G38" s="31" t="s">
        <v>702</v>
      </c>
    </row>
    <row r="39" customFormat="false" ht="15" hidden="false" customHeight="true" outlineLevel="0" collapsed="false">
      <c r="A39" s="31" t="s">
        <v>703</v>
      </c>
      <c r="B39" s="31" t="s">
        <v>704</v>
      </c>
      <c r="C39" s="31" t="s">
        <v>552</v>
      </c>
      <c r="D39" s="32" t="n">
        <v>43686</v>
      </c>
      <c r="E39" s="33" t="n">
        <v>92500</v>
      </c>
      <c r="F39" s="31" t="s">
        <v>601</v>
      </c>
      <c r="G39" s="31" t="s">
        <v>705</v>
      </c>
    </row>
    <row r="40" customFormat="false" ht="15" hidden="false" customHeight="true" outlineLevel="0" collapsed="false">
      <c r="A40" s="31" t="s">
        <v>706</v>
      </c>
      <c r="B40" s="31" t="s">
        <v>707</v>
      </c>
      <c r="C40" s="31" t="s">
        <v>543</v>
      </c>
      <c r="D40" s="32" t="n">
        <v>44551</v>
      </c>
      <c r="E40" s="33" t="n">
        <v>89500</v>
      </c>
      <c r="F40" s="31" t="s">
        <v>601</v>
      </c>
      <c r="G40" s="31" t="s">
        <v>708</v>
      </c>
    </row>
    <row r="41" customFormat="false" ht="15" hidden="false" customHeight="true" outlineLevel="0" collapsed="false">
      <c r="A41" s="31" t="s">
        <v>709</v>
      </c>
      <c r="B41" s="31" t="s">
        <v>710</v>
      </c>
      <c r="C41" s="31" t="s">
        <v>540</v>
      </c>
      <c r="D41" s="32" t="n">
        <v>43423</v>
      </c>
      <c r="E41" s="33" t="n">
        <v>88000</v>
      </c>
      <c r="F41" s="31" t="s">
        <v>601</v>
      </c>
      <c r="G41" s="31" t="s">
        <v>711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2026-09-29T15:03:42Z</dcterms:created>
  <dc:creator>openpyxl</dc:creator>
  <dc:description/>
  <dc:language>en-US</dc:language>
  <cp:lastModifiedBy/>
  <dcterms:modified xsi:type="dcterms:W3CDTF">2026-09-30T07:46:36Z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