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Plan" sheetId="1" state="visible" r:id="rId3"/>
    <sheet name="1 Clean Check" sheetId="2" state="visible" r:id="rId4"/>
    <sheet name="Power Query Steps" sheetId="3" state="visible" r:id="rId5"/>
    <sheet name="Sales Data" sheetId="4" state="visible" r:id="rId6"/>
    <sheet name="2 KPI Tasks" sheetId="5" state="visible" r:id="rId7"/>
    <sheet name="Products" sheetId="6" state="visible" r:id="rId8"/>
    <sheet name="3 ABC Tasks" sheetId="7" state="visible" r:id="rId9"/>
    <sheet name="Customers" sheetId="8" state="visible" r:id="rId10"/>
    <sheet name="4 RFM Tasks" sheetId="9" state="visible" r:id="rId11"/>
    <sheet name="5 Dashboard Tasks" sheetId="10" state="visible" r:id="rId12"/>
    <sheet name="Dashboard" sheetId="11" state="visible" r:id="rId13"/>
    <sheet name="Pivots" sheetId="12" state="visible" r:id="rId14"/>
    <sheet name="6 Insights" sheetId="13" state="visible" r:id="rId15"/>
    <sheet name="Answer Key" sheetId="14" state="visible" r:id="rId16"/>
    <sheet name="Helpers" sheetId="15" state="visible" r:id="rId17"/>
    <sheet name="Dash_Calc" sheetId="16" state="visible" r:id="rId18"/>
  </sheets>
  <definedNames>
    <definedName function="false" hidden="false" localSheetId="10" name="_xlnm.Print_Area" vbProcedure="false">Dashboard!$A$1:$N$46</definedName>
    <definedName function="false" hidden="true" localSheetId="3" name="_xlnm._FilterDatabase" vbProcedure="false">'Sales Data'!$A$1:$T$1201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Hardcoded: row count of the 12 monthly CSVs combined before Remove Duplicates (Power Query step "Combined"; also confirmed by scripts/clean_and_verify.py).</t>
        </r>
      </text>
    </comment>
  </commentList>
</comments>
</file>

<file path=xl/sharedStrings.xml><?xml version="1.0" encoding="utf-8"?>
<sst xmlns="http://schemas.openxmlformats.org/spreadsheetml/2006/main" count="14933" uniqueCount="2184">
  <si>
    <t xml:space="preserve">Project 3 Kit: Retail Sales &amp; Profit Dashboard</t>
  </si>
  <si>
    <t xml:space="preserve">Power Query merge, KPIs, ABC product analysis, RFM customer analysis, pivot tables and a one-page dashboard</t>
  </si>
  <si>
    <t xml:space="preserve">Block</t>
  </si>
  <si>
    <t xml:space="preserve">Time</t>
  </si>
  <si>
    <t xml:space="preserve">Sheet</t>
  </si>
  <si>
    <t xml:space="preserve">Goal</t>
  </si>
  <si>
    <t xml:space="preserve">1. Power Query merge and clean</t>
  </si>
  <si>
    <t xml:space="preserve">60 min</t>
  </si>
  <si>
    <t xml:space="preserve">1 Clean Check, CSV files</t>
  </si>
  <si>
    <t xml:space="preserve">Combine 12 monthly CSV files, fix the four planted issues, reconcile counts to Sales Data</t>
  </si>
  <si>
    <t xml:space="preserve">2. KPIs and formulas</t>
  </si>
  <si>
    <t xml:space="preserve">40 min</t>
  </si>
  <si>
    <t xml:space="preserve">Sales Data, 2 KPI Tasks</t>
  </si>
  <si>
    <t xml:space="preserve">SUMIFS, COUNTIFS and SUMPRODUCT: sales, profit, margin, order value, returns, loss-making orders</t>
  </si>
  <si>
    <t xml:space="preserve">3. Product ABC analysis</t>
  </si>
  <si>
    <t xml:space="preserve">45 min</t>
  </si>
  <si>
    <t xml:space="preserve">Products, 3 ABC Tasks</t>
  </si>
  <si>
    <t xml:space="preserve">Find the few products that make most of the sales, the loss-makers and the dead stock</t>
  </si>
  <si>
    <t xml:space="preserve">4. Customer RFM analysis</t>
  </si>
  <si>
    <t xml:space="preserve">Customers, 4 RFM Tasks</t>
  </si>
  <si>
    <t xml:space="preserve">Score every customer on recency, frequency and spend, then segment them</t>
  </si>
  <si>
    <t xml:space="preserve">5. Pivot tables and dashboard</t>
  </si>
  <si>
    <t xml:space="preserve">90 min</t>
  </si>
  <si>
    <t xml:space="preserve">5 Dashboard Tasks</t>
  </si>
  <si>
    <t xml:space="preserve">Build the pivots yourself, then a one-page dashboard with slicers and a timeline</t>
  </si>
  <si>
    <t xml:space="preserve">6. Insights and README</t>
  </si>
  <si>
    <t xml:space="preserve">6 Insights</t>
  </si>
  <si>
    <t xml:space="preserve">Write five findings with numbers and recommendations, then package the repo</t>
  </si>
  <si>
    <t xml:space="preserve">7. Review</t>
  </si>
  <si>
    <t xml:space="preserve">20 min</t>
  </si>
  <si>
    <t xml:space="preserve">Answer Key</t>
  </si>
  <si>
    <t xml:space="preserve">Check your answers, log every mistake below, redo those tasks</t>
  </si>
  <si>
    <t xml:space="preserve">Data</t>
  </si>
  <si>
    <t xml:space="preserve">Practice data made up for this kit: 1,200 orders (one product per order), 40 products, 220 customers, Jan to Dec 2025, in ₹.</t>
  </si>
  <si>
    <t xml:space="preserve">Yellow cells</t>
  </si>
  <si>
    <t xml:space="preserve">Yellow means you type or fill down. Everything else is given. The Answer Key marks your yellow answers automatically.</t>
  </si>
  <si>
    <t xml:space="preserve">Your score</t>
  </si>
  <si>
    <t xml:space="preserve">Versions</t>
  </si>
  <si>
    <t xml:space="preserve">Power Query, slicers and timelines need Excel 2016 or later (Microsoft 365 recommended). The Answer Key uses INDEX and MATCH, so it works in any version.</t>
  </si>
  <si>
    <t xml:space="preserve">Deliverables checklist</t>
  </si>
  <si>
    <t xml:space="preserve">Deliverable</t>
  </si>
  <si>
    <t xml:space="preserve">What it contains</t>
  </si>
  <si>
    <t xml:space="preserve">Where it goes</t>
  </si>
  <si>
    <t xml:space="preserve">Done? (Y/N)</t>
  </si>
  <si>
    <t xml:space="preserve">README.md</t>
  </si>
  <si>
    <t xml:space="preserve">Business problem, data, method, top 3 findings with numbers, dashboard screenshot</t>
  </si>
  <si>
    <t xml:space="preserve">Repo folder 03-retail-sales-profit-dashboard</t>
  </si>
  <si>
    <t xml:space="preserve">Y</t>
  </si>
  <si>
    <t xml:space="preserve">Excel workbook</t>
  </si>
  <si>
    <t xml:space="preserve">Power Query steps, KPI sheet, ABC, RFM, dashboard</t>
  </si>
  <si>
    <t xml:space="preserve">Same folder</t>
  </si>
  <si>
    <t xml:space="preserve">Dashboard screenshot</t>
  </si>
  <si>
    <t xml:space="preserve">One page: four KPI cards, three charts, two slicers, a timeline</t>
  </si>
  <si>
    <t xml:space="preserve">Top of the README</t>
  </si>
  <si>
    <t xml:space="preserve">One-page PDF summary</t>
  </si>
  <si>
    <t xml:space="preserve">Five findings and recommendations, like a client report</t>
  </si>
  <si>
    <t xml:space="preserve">Same folder, and a sample to send to clients</t>
  </si>
  <si>
    <t xml:space="preserve">60-second screen recording</t>
  </si>
  <si>
    <t xml:space="preserve">Refresh, slicers and KPI cards in use</t>
  </si>
  <si>
    <t xml:space="preserve">Link in the README</t>
  </si>
  <si>
    <t xml:space="preserve">N</t>
  </si>
  <si>
    <t xml:space="preserve">Mistake log</t>
  </si>
  <si>
    <t xml:space="preserve">Question</t>
  </si>
  <si>
    <t xml:space="preserve">What went wrong</t>
  </si>
  <si>
    <t xml:space="preserve">Correct formula / idea</t>
  </si>
  <si>
    <t xml:space="preserve">Redone? (Y/N)</t>
  </si>
  <si>
    <t xml:space="preserve">Ex. KPI 3</t>
  </si>
  <si>
    <t xml:space="preserve">Divided Profit by Cost instead of Sales</t>
  </si>
  <si>
    <t xml:space="preserve">=SUM(R2:R1201)/SUM(P2:P1201)</t>
  </si>
  <si>
    <t xml:space="preserve">1. Power Query: merge and clean</t>
  </si>
  <si>
    <t xml:space="preserve">Files: Retail_Sales_Monthly_CSVs.zip (Sales_2025-01.csv to Sales_2025-12.csv). Type your answers in the yellow cells.</t>
  </si>
  <si>
    <t xml:space="preserve">Your cleaned table should match the Sales Data sheet exactly. That sheet is the finished, clean version.</t>
  </si>
  <si>
    <t xml:space="preserve">No.</t>
  </si>
  <si>
    <t xml:space="preserve">Task</t>
  </si>
  <si>
    <t xml:space="preserve">Your answer</t>
  </si>
  <si>
    <t xml:space="preserve">Load the 12 CSV files with Data &gt; Get Data &gt; From File &gt; From Folder and combine them. How many data rows are in the combined table before any cleaning?</t>
  </si>
  <si>
    <t xml:space="preserve">Remove exact duplicate rows. How many rows did you remove?</t>
  </si>
  <si>
    <t xml:space="preserve">How many rows are left after cleaning?</t>
  </si>
  <si>
    <t xml:space="preserve">What is the total of the Sales (₹) column after cleaning?</t>
  </si>
  <si>
    <t xml:space="preserve">After trimming spaces and capitalising each word, how many different Customer Name values are there?</t>
  </si>
  <si>
    <t xml:space="preserve">After fixing capitalisation, how many different Region values are there?</t>
  </si>
  <si>
    <t xml:space="preserve">After standardising the Returned column to Y / N, how many rows have Returned = Y?</t>
  </si>
  <si>
    <t xml:space="preserve">Load the result as a connection plus a table named Sales_Clean, with the query named Sales_Clean. Mark Y when done.</t>
  </si>
  <si>
    <t xml:space="preserve">Do in Excel: paste Sales_Clean.m (see Power Query Steps sheet)</t>
  </si>
  <si>
    <t xml:space="preserve">Refresh test: change one Sales (₹) value in one CSV file, click Data &gt; Refresh All, and confirm the total moved by the same amount. Mark Y when done.</t>
  </si>
  <si>
    <t xml:space="preserve">Do in Excel after loading the query</t>
  </si>
  <si>
    <t xml:space="preserve">Planted issues (reference)</t>
  </si>
  <si>
    <t xml:space="preserve">Issue and where it appears</t>
  </si>
  <si>
    <t xml:space="preserve">Power Query step</t>
  </si>
  <si>
    <t xml:space="preserve">Customer Name has extra spaces or all capitals on about 3% of rows, in every file.</t>
  </si>
  <si>
    <t xml:space="preserve">Transform &gt; Format &gt; Trim, then Capitalize Each Word</t>
  </si>
  <si>
    <t xml:space="preserve">Region is written in lower case or all capitals on about 3% of rows, in every file.</t>
  </si>
  <si>
    <t xml:space="preserve">Transform &gt; Format &gt; Capitalize Each Word</t>
  </si>
  <si>
    <t xml:space="preserve">Returned says Yes / No in the September to December files but Y / N in the others.</t>
  </si>
  <si>
    <t xml:space="preserve">Transform &gt; Replace Values (Yes to Y, No to N)</t>
  </si>
  <si>
    <t xml:space="preserve">Some rows appear twice inside a monthly file.</t>
  </si>
  <si>
    <t xml:space="preserve">Home &gt; Remove Rows &gt; Remove Duplicates (select all columns)</t>
  </si>
  <si>
    <t xml:space="preserve">Power Query steps for the Sales_Clean query</t>
  </si>
  <si>
    <t xml:space="preserve">Full M script: power_query/Sales_Clean.m in the repo. The same logic is reproduced and checked by scripts/clean_and_verify.py (1,210 raw rows -&gt; 1,200 clean rows, ₹54,26,671 sales).</t>
  </si>
  <si>
    <t xml:space="preserve">Step</t>
  </si>
  <si>
    <t xml:space="preserve">Excel ribbon action</t>
  </si>
  <si>
    <t xml:space="preserve">Power Query step name</t>
  </si>
  <si>
    <t xml:space="preserve">Rows after step</t>
  </si>
  <si>
    <t xml:space="preserve">Why</t>
  </si>
  <si>
    <t xml:space="preserve">Data &gt; Get Data &gt; From File &gt; From Folder; Combine &amp; Transform</t>
  </si>
  <si>
    <t xml:space="preserve">Source / Combined</t>
  </si>
  <si>
    <t xml:space="preserve">Stack the 12 monthly files into one table</t>
  </si>
  <si>
    <t xml:space="preserve">Home &gt; Use First Row as Headers</t>
  </si>
  <si>
    <t xml:space="preserve">Promoted Headers</t>
  </si>
  <si>
    <t xml:space="preserve">Each CSV has its own header row</t>
  </si>
  <si>
    <t xml:space="preserve">Transform &gt; Format &gt; Trim, then Capitalize Each Word on Customer Name</t>
  </si>
  <si>
    <t xml:space="preserve">Cleaned Names</t>
  </si>
  <si>
    <t xml:space="preserve">Fixes extra spaces and ALL CAPS on ~3% of rows</t>
  </si>
  <si>
    <t xml:space="preserve">Transform &gt; Format &gt; Trim, then Capitalize Each Word on Region</t>
  </si>
  <si>
    <t xml:space="preserve">Cleaned Region</t>
  </si>
  <si>
    <t xml:space="preserve">Fixes north / WEST style entries (11 distinct values -&gt; 4)</t>
  </si>
  <si>
    <t xml:space="preserve">Transform &gt; Replace Values on Returned (Yes to Y, No to N)</t>
  </si>
  <si>
    <t xml:space="preserve">Standardised Returned</t>
  </si>
  <si>
    <t xml:space="preserve">Sep-Dec files use Yes / No</t>
  </si>
  <si>
    <t xml:space="preserve">Transform &gt; Data Type: dates, whole numbers, decimals</t>
  </si>
  <si>
    <t xml:space="preserve">Changed Type</t>
  </si>
  <si>
    <t xml:space="preserve">Correct types so SUM and date math work</t>
  </si>
  <si>
    <t xml:space="preserve">Home &gt; Remove Rows &gt; Remove Duplicates (all columns selected)</t>
  </si>
  <si>
    <t xml:space="preserve">Removed Duplicates</t>
  </si>
  <si>
    <t xml:space="preserve">10 exact duplicate rows planted inside monthly files</t>
  </si>
  <si>
    <t xml:space="preserve">Close &amp; Load To... &gt; Connection + Table, query named Sales_Clean</t>
  </si>
  <si>
    <t xml:space="preserve">Sales_Clean</t>
  </si>
  <si>
    <t xml:space="preserve">Feeds the KPI, ABC, RFM and dashboard sheets</t>
  </si>
  <si>
    <t xml:space="preserve">Reconciliation (live formulas on Sales Data)</t>
  </si>
  <si>
    <t xml:space="preserve">Check</t>
  </si>
  <si>
    <t xml:space="preserve">Value</t>
  </si>
  <si>
    <t xml:space="preserve">Rows after cleaning</t>
  </si>
  <si>
    <t xml:space="preserve">Duplicate Order IDs left</t>
  </si>
  <si>
    <t xml:space="preserve">Total Sales (₹)</t>
  </si>
  <si>
    <t xml:space="preserve">Distinct Regions</t>
  </si>
  <si>
    <t xml:space="preserve">Returned = Y</t>
  </si>
  <si>
    <t xml:space="preserve">Order ID</t>
  </si>
  <si>
    <t xml:space="preserve">Order Date</t>
  </si>
  <si>
    <t xml:space="preserve">Ship Date</t>
  </si>
  <si>
    <t xml:space="preserve">Customer ID</t>
  </si>
  <si>
    <t xml:space="preserve">Customer Name</t>
  </si>
  <si>
    <t xml:space="preserve">Segment</t>
  </si>
  <si>
    <t xml:space="preserve">Region</t>
  </si>
  <si>
    <t xml:space="preserve">City</t>
  </si>
  <si>
    <t xml:space="preserve">Category</t>
  </si>
  <si>
    <t xml:space="preserve">Sub-Category</t>
  </si>
  <si>
    <t xml:space="preserve">Product ID</t>
  </si>
  <si>
    <t xml:space="preserve">Product Name</t>
  </si>
  <si>
    <t xml:space="preserve">Qty</t>
  </si>
  <si>
    <t xml:space="preserve">Unit Price (₹)</t>
  </si>
  <si>
    <t xml:space="preserve">Discount</t>
  </si>
  <si>
    <t xml:space="preserve">Sales (₹)</t>
  </si>
  <si>
    <t xml:space="preserve">Cost (₹)</t>
  </si>
  <si>
    <t xml:space="preserve">Profit (₹)</t>
  </si>
  <si>
    <t xml:space="preserve">Returned</t>
  </si>
  <si>
    <t xml:space="preserve">Discount Band</t>
  </si>
  <si>
    <t xml:space="preserve">ORD-2001</t>
  </si>
  <si>
    <t xml:space="preserve">C218</t>
  </si>
  <si>
    <t xml:space="preserve">Rajat Mehta</t>
  </si>
  <si>
    <t xml:space="preserve">Consumer</t>
  </si>
  <si>
    <t xml:space="preserve">West</t>
  </si>
  <si>
    <t xml:space="preserve">Pune</t>
  </si>
  <si>
    <t xml:space="preserve">Apparel</t>
  </si>
  <si>
    <t xml:space="preserve">Bottomwear</t>
  </si>
  <si>
    <t xml:space="preserve">P006</t>
  </si>
  <si>
    <t xml:space="preserve">Denim Jeans</t>
  </si>
  <si>
    <t xml:space="preserve">ORD-2002</t>
  </si>
  <si>
    <t xml:space="preserve">C024</t>
  </si>
  <si>
    <t xml:space="preserve">Rajat Bhatt</t>
  </si>
  <si>
    <t xml:space="preserve">South</t>
  </si>
  <si>
    <t xml:space="preserve">Chennai</t>
  </si>
  <si>
    <t xml:space="preserve">Home</t>
  </si>
  <si>
    <t xml:space="preserve">Decor</t>
  </si>
  <si>
    <t xml:space="preserve">P025</t>
  </si>
  <si>
    <t xml:space="preserve">Cushion Cover Set</t>
  </si>
  <si>
    <t xml:space="preserve">ORD-2003</t>
  </si>
  <si>
    <t xml:space="preserve">C172</t>
  </si>
  <si>
    <t xml:space="preserve">Pankaj Kapoor</t>
  </si>
  <si>
    <t xml:space="preserve">Home Office</t>
  </si>
  <si>
    <t xml:space="preserve">Bengaluru</t>
  </si>
  <si>
    <t xml:space="preserve">P010</t>
  </si>
  <si>
    <t xml:space="preserve">Table Lamp</t>
  </si>
  <si>
    <t xml:space="preserve">ORD-2004</t>
  </si>
  <si>
    <t xml:space="preserve">C148</t>
  </si>
  <si>
    <t xml:space="preserve">Divya Jain</t>
  </si>
  <si>
    <t xml:space="preserve">Footwear</t>
  </si>
  <si>
    <t xml:space="preserve">P020</t>
  </si>
  <si>
    <t xml:space="preserve">Running Shoes</t>
  </si>
  <si>
    <t xml:space="preserve">ORD-2005</t>
  </si>
  <si>
    <t xml:space="preserve">C065</t>
  </si>
  <si>
    <t xml:space="preserve">Aditya Shah</t>
  </si>
  <si>
    <t xml:space="preserve">Hyderabad</t>
  </si>
  <si>
    <t xml:space="preserve">Furniture</t>
  </si>
  <si>
    <t xml:space="preserve">Seating</t>
  </si>
  <si>
    <t xml:space="preserve">P033</t>
  </si>
  <si>
    <t xml:space="preserve">Office Chair</t>
  </si>
  <si>
    <t xml:space="preserve">ORD-2006</t>
  </si>
  <si>
    <t xml:space="preserve">C212</t>
  </si>
  <si>
    <t xml:space="preserve">Karan Das</t>
  </si>
  <si>
    <t xml:space="preserve">Beauty</t>
  </si>
  <si>
    <t xml:space="preserve">Makeup</t>
  </si>
  <si>
    <t xml:space="preserve">P027</t>
  </si>
  <si>
    <t xml:space="preserve">Lip Balm Set</t>
  </si>
  <si>
    <t xml:space="preserve">ORD-2007</t>
  </si>
  <si>
    <t xml:space="preserve">C200</t>
  </si>
  <si>
    <t xml:space="preserve">Aditya Joshi</t>
  </si>
  <si>
    <t xml:space="preserve">North</t>
  </si>
  <si>
    <t xml:space="preserve">Delhi</t>
  </si>
  <si>
    <t xml:space="preserve">Electronics</t>
  </si>
  <si>
    <t xml:space="preserve">Accessories</t>
  </si>
  <si>
    <t xml:space="preserve">P017</t>
  </si>
  <si>
    <t xml:space="preserve">Mechanical Keyboard</t>
  </si>
  <si>
    <t xml:space="preserve">ORD-2008</t>
  </si>
  <si>
    <t xml:space="preserve">Storage</t>
  </si>
  <si>
    <t xml:space="preserve">P035</t>
  </si>
  <si>
    <t xml:space="preserve">Bookshelf</t>
  </si>
  <si>
    <t xml:space="preserve">ORD-2009</t>
  </si>
  <si>
    <t xml:space="preserve">C034</t>
  </si>
  <si>
    <t xml:space="preserve">Ramesh Saxena</t>
  </si>
  <si>
    <t xml:space="preserve">Corporate</t>
  </si>
  <si>
    <t xml:space="preserve">ORD-2010</t>
  </si>
  <si>
    <t xml:space="preserve">C163</t>
  </si>
  <si>
    <t xml:space="preserve">Kavya Das</t>
  </si>
  <si>
    <t xml:space="preserve">Skincare</t>
  </si>
  <si>
    <t xml:space="preserve">P011</t>
  </si>
  <si>
    <t xml:space="preserve">Face Serum</t>
  </si>
  <si>
    <t xml:space="preserve">ORD-2011</t>
  </si>
  <si>
    <t xml:space="preserve">C137</t>
  </si>
  <si>
    <t xml:space="preserve">Priya Verma</t>
  </si>
  <si>
    <t xml:space="preserve">ORD-2012</t>
  </si>
  <si>
    <t xml:space="preserve">C135</t>
  </si>
  <si>
    <t xml:space="preserve">Sneha Bhatt</t>
  </si>
  <si>
    <t xml:space="preserve">Audio</t>
  </si>
  <si>
    <t xml:space="preserve">P018</t>
  </si>
  <si>
    <t xml:space="preserve">Noise-Cancelling Headphones</t>
  </si>
  <si>
    <t xml:space="preserve">ORD-2013</t>
  </si>
  <si>
    <t xml:space="preserve">C030</t>
  </si>
  <si>
    <t xml:space="preserve">Anjali Joshi</t>
  </si>
  <si>
    <t xml:space="preserve">P019</t>
  </si>
  <si>
    <t xml:space="preserve">Webcam HD</t>
  </si>
  <si>
    <t xml:space="preserve">ORD-2014</t>
  </si>
  <si>
    <t xml:space="preserve">C153</t>
  </si>
  <si>
    <t xml:space="preserve">Meera Malhotra</t>
  </si>
  <si>
    <t xml:space="preserve">ORD-2015</t>
  </si>
  <si>
    <t xml:space="preserve">C166</t>
  </si>
  <si>
    <t xml:space="preserve">Suresh Nair</t>
  </si>
  <si>
    <t xml:space="preserve">P029</t>
  </si>
  <si>
    <t xml:space="preserve">Sunscreen SPF 50</t>
  </si>
  <si>
    <t xml:space="preserve">ORD-2016</t>
  </si>
  <si>
    <t xml:space="preserve">C089</t>
  </si>
  <si>
    <t xml:space="preserve">Divya Kumar</t>
  </si>
  <si>
    <t xml:space="preserve">Outerwear</t>
  </si>
  <si>
    <t xml:space="preserve">P022</t>
  </si>
  <si>
    <t xml:space="preserve">Winter Jacket</t>
  </si>
  <si>
    <t xml:space="preserve">ORD-2017</t>
  </si>
  <si>
    <t xml:space="preserve">C058</t>
  </si>
  <si>
    <t xml:space="preserve">Tarun Kapoor</t>
  </si>
  <si>
    <t xml:space="preserve">ORD-2018</t>
  </si>
  <si>
    <t xml:space="preserve">C120</t>
  </si>
  <si>
    <t xml:space="preserve">Anjali Patel</t>
  </si>
  <si>
    <t xml:space="preserve">ORD-2019</t>
  </si>
  <si>
    <t xml:space="preserve">C074</t>
  </si>
  <si>
    <t xml:space="preserve">Deepak Sharma</t>
  </si>
  <si>
    <t xml:space="preserve">Ahmedabad</t>
  </si>
  <si>
    <t xml:space="preserve">P037</t>
  </si>
  <si>
    <t xml:space="preserve">Shoe Rack</t>
  </si>
  <si>
    <t xml:space="preserve">ORD-2020</t>
  </si>
  <si>
    <t xml:space="preserve">C162</t>
  </si>
  <si>
    <t xml:space="preserve">Sahil Singh</t>
  </si>
  <si>
    <t xml:space="preserve">Mumbai</t>
  </si>
  <si>
    <t xml:space="preserve">ORD-2021</t>
  </si>
  <si>
    <t xml:space="preserve">C001</t>
  </si>
  <si>
    <t xml:space="preserve">Neha Verma</t>
  </si>
  <si>
    <t xml:space="preserve">ORD-2022</t>
  </si>
  <si>
    <t xml:space="preserve">C168</t>
  </si>
  <si>
    <t xml:space="preserve">Divya Kapoor</t>
  </si>
  <si>
    <t xml:space="preserve">ORD-2023</t>
  </si>
  <si>
    <t xml:space="preserve">C056</t>
  </si>
  <si>
    <t xml:space="preserve">Harsh Bhatt</t>
  </si>
  <si>
    <t xml:space="preserve">ORD-2024</t>
  </si>
  <si>
    <t xml:space="preserve">C122</t>
  </si>
  <si>
    <t xml:space="preserve">Anjali Malhotra</t>
  </si>
  <si>
    <t xml:space="preserve">Stationery</t>
  </si>
  <si>
    <t xml:space="preserve">Writing</t>
  </si>
  <si>
    <t xml:space="preserve">P014</t>
  </si>
  <si>
    <t xml:space="preserve">Gel Pens Pack</t>
  </si>
  <si>
    <t xml:space="preserve">ORD-2025</t>
  </si>
  <si>
    <t xml:space="preserve">C179</t>
  </si>
  <si>
    <t xml:space="preserve">Zoya Jain</t>
  </si>
  <si>
    <t xml:space="preserve">ORD-2026</t>
  </si>
  <si>
    <t xml:space="preserve">C090</t>
  </si>
  <si>
    <t xml:space="preserve">Varun Malhotra</t>
  </si>
  <si>
    <t xml:space="preserve">Fragrance</t>
  </si>
  <si>
    <t xml:space="preserve">P012</t>
  </si>
  <si>
    <t xml:space="preserve">Perfume</t>
  </si>
  <si>
    <t xml:space="preserve">ORD-2027</t>
  </si>
  <si>
    <t xml:space="preserve">C178</t>
  </si>
  <si>
    <t xml:space="preserve">Gaurav Pillai</t>
  </si>
  <si>
    <t xml:space="preserve">ORD-2028</t>
  </si>
  <si>
    <t xml:space="preserve">C115</t>
  </si>
  <si>
    <t xml:space="preserve">Naveen Desai</t>
  </si>
  <si>
    <t xml:space="preserve">ORD-2029</t>
  </si>
  <si>
    <t xml:space="preserve">C022</t>
  </si>
  <si>
    <t xml:space="preserve">Gaurav Saxena</t>
  </si>
  <si>
    <t xml:space="preserve">Kitchen</t>
  </si>
  <si>
    <t xml:space="preserve">P009</t>
  </si>
  <si>
    <t xml:space="preserve">Coffee Maker</t>
  </si>
  <si>
    <t xml:space="preserve">ORD-2030</t>
  </si>
  <si>
    <t xml:space="preserve">C045</t>
  </si>
  <si>
    <t xml:space="preserve">Vivaan Bose</t>
  </si>
  <si>
    <t xml:space="preserve">ORD-2031</t>
  </si>
  <si>
    <t xml:space="preserve">C188</t>
  </si>
  <si>
    <t xml:space="preserve">Zoya Desai</t>
  </si>
  <si>
    <t xml:space="preserve">ORD-2032</t>
  </si>
  <si>
    <t xml:space="preserve">Bedding</t>
  </si>
  <si>
    <t xml:space="preserve">P008</t>
  </si>
  <si>
    <t xml:space="preserve">Cotton Bedsheet</t>
  </si>
  <si>
    <t xml:space="preserve">ORD-2033</t>
  </si>
  <si>
    <t xml:space="preserve">C174</t>
  </si>
  <si>
    <t xml:space="preserve">Deepak Kumar</t>
  </si>
  <si>
    <t xml:space="preserve">ORD-2034</t>
  </si>
  <si>
    <t xml:space="preserve">C084</t>
  </si>
  <si>
    <t xml:space="preserve">Meera Chopra</t>
  </si>
  <si>
    <t xml:space="preserve">East</t>
  </si>
  <si>
    <t xml:space="preserve">Kolkata</t>
  </si>
  <si>
    <t xml:space="preserve">Topwear</t>
  </si>
  <si>
    <t xml:space="preserve">P005</t>
  </si>
  <si>
    <t xml:space="preserve">Cotton T-Shirt</t>
  </si>
  <si>
    <t xml:space="preserve">ORD-2035</t>
  </si>
  <si>
    <t xml:space="preserve">ORD-2036</t>
  </si>
  <si>
    <t xml:space="preserve">C186</t>
  </si>
  <si>
    <t xml:space="preserve">Ananya Shah</t>
  </si>
  <si>
    <t xml:space="preserve">ORD-2037</t>
  </si>
  <si>
    <t xml:space="preserve">C031</t>
  </si>
  <si>
    <t xml:space="preserve">Manoj Bose</t>
  </si>
  <si>
    <t xml:space="preserve">ORD-2038</t>
  </si>
  <si>
    <t xml:space="preserve">C079</t>
  </si>
  <si>
    <t xml:space="preserve">Sahil Saxena</t>
  </si>
  <si>
    <t xml:space="preserve">ORD-2039</t>
  </si>
  <si>
    <t xml:space="preserve">C017</t>
  </si>
  <si>
    <t xml:space="preserve">Manoj Saxena</t>
  </si>
  <si>
    <t xml:space="preserve">ORD-2040</t>
  </si>
  <si>
    <t xml:space="preserve">ORD-2041</t>
  </si>
  <si>
    <t xml:space="preserve">ORD-2042</t>
  </si>
  <si>
    <t xml:space="preserve">ORD-2043</t>
  </si>
  <si>
    <t xml:space="preserve">C095</t>
  </si>
  <si>
    <t xml:space="preserve">Pooja Kapoor</t>
  </si>
  <si>
    <t xml:space="preserve">ORD-2044</t>
  </si>
  <si>
    <t xml:space="preserve">C173</t>
  </si>
  <si>
    <t xml:space="preserve">Isha Desai</t>
  </si>
  <si>
    <t xml:space="preserve">ORD-2045</t>
  </si>
  <si>
    <t xml:space="preserve">C012</t>
  </si>
  <si>
    <t xml:space="preserve">Suresh Desai</t>
  </si>
  <si>
    <t xml:space="preserve">ORD-2046</t>
  </si>
  <si>
    <t xml:space="preserve">C133</t>
  </si>
  <si>
    <t xml:space="preserve">Meera Das</t>
  </si>
  <si>
    <t xml:space="preserve">ORD-2047</t>
  </si>
  <si>
    <t xml:space="preserve">C064</t>
  </si>
  <si>
    <t xml:space="preserve">Amit Singh</t>
  </si>
  <si>
    <t xml:space="preserve">ORD-2048</t>
  </si>
  <si>
    <t xml:space="preserve">C002</t>
  </si>
  <si>
    <t xml:space="preserve">Ramesh Shah</t>
  </si>
  <si>
    <t xml:space="preserve">ORD-2049</t>
  </si>
  <si>
    <t xml:space="preserve">C170</t>
  </si>
  <si>
    <t xml:space="preserve">Arjun Verma</t>
  </si>
  <si>
    <t xml:space="preserve">ORD-2050</t>
  </si>
  <si>
    <t xml:space="preserve">C176</t>
  </si>
  <si>
    <t xml:space="preserve">Divya Desai</t>
  </si>
  <si>
    <t xml:space="preserve">ORD-2051</t>
  </si>
  <si>
    <t xml:space="preserve">C143</t>
  </si>
  <si>
    <t xml:space="preserve">Rahul Rao</t>
  </si>
  <si>
    <t xml:space="preserve">ORD-2052</t>
  </si>
  <si>
    <t xml:space="preserve">C025</t>
  </si>
  <si>
    <t xml:space="preserve">Zoya Kulkarni</t>
  </si>
  <si>
    <t xml:space="preserve">ORD-2053</t>
  </si>
  <si>
    <t xml:space="preserve">C051</t>
  </si>
  <si>
    <t xml:space="preserve">Suresh Bhatt</t>
  </si>
  <si>
    <t xml:space="preserve">ORD-2054</t>
  </si>
  <si>
    <t xml:space="preserve">C080</t>
  </si>
  <si>
    <t xml:space="preserve">Neha Saxena</t>
  </si>
  <si>
    <t xml:space="preserve">ORD-2055</t>
  </si>
  <si>
    <t xml:space="preserve">P007</t>
  </si>
  <si>
    <t xml:space="preserve">Hoodie</t>
  </si>
  <si>
    <t xml:space="preserve">ORD-2056</t>
  </si>
  <si>
    <t xml:space="preserve">C101</t>
  </si>
  <si>
    <t xml:space="preserve">Varun Sharma</t>
  </si>
  <si>
    <t xml:space="preserve">ORD-2057</t>
  </si>
  <si>
    <t xml:space="preserve">Desk</t>
  </si>
  <si>
    <t xml:space="preserve">P032</t>
  </si>
  <si>
    <t xml:space="preserve">Whiteboard</t>
  </si>
  <si>
    <t xml:space="preserve">ORD-2058</t>
  </si>
  <si>
    <t xml:space="preserve">C211</t>
  </si>
  <si>
    <t xml:space="preserve">Rohan Kumar</t>
  </si>
  <si>
    <t xml:space="preserve">ORD-2059</t>
  </si>
  <si>
    <t xml:space="preserve">ORD-2060</t>
  </si>
  <si>
    <t xml:space="preserve">ORD-2061</t>
  </si>
  <si>
    <t xml:space="preserve">C169</t>
  </si>
  <si>
    <t xml:space="preserve">Priya Bose</t>
  </si>
  <si>
    <t xml:space="preserve">Haircare</t>
  </si>
  <si>
    <t xml:space="preserve">P028</t>
  </si>
  <si>
    <t xml:space="preserve">Shampoo and Conditioner</t>
  </si>
  <si>
    <t xml:space="preserve">ORD-2062</t>
  </si>
  <si>
    <t xml:space="preserve">ORD-2063</t>
  </si>
  <si>
    <t xml:space="preserve">C112</t>
  </si>
  <si>
    <t xml:space="preserve">Riya Chopra</t>
  </si>
  <si>
    <t xml:space="preserve">ORD-2064</t>
  </si>
  <si>
    <t xml:space="preserve">ORD-2065</t>
  </si>
  <si>
    <t xml:space="preserve">C042</t>
  </si>
  <si>
    <t xml:space="preserve">Nikhil Joshi</t>
  </si>
  <si>
    <t xml:space="preserve">ORD-2066</t>
  </si>
  <si>
    <t xml:space="preserve">ORD-2067</t>
  </si>
  <si>
    <t xml:space="preserve">ORD-2068</t>
  </si>
  <si>
    <t xml:space="preserve">C035</t>
  </si>
  <si>
    <t xml:space="preserve">Nikhil Shah</t>
  </si>
  <si>
    <t xml:space="preserve">ORD-2069</t>
  </si>
  <si>
    <t xml:space="preserve">ORD-2070</t>
  </si>
  <si>
    <t xml:space="preserve">C175</t>
  </si>
  <si>
    <t xml:space="preserve">Divya Menon</t>
  </si>
  <si>
    <t xml:space="preserve">ORD-2071</t>
  </si>
  <si>
    <t xml:space="preserve">C019</t>
  </si>
  <si>
    <t xml:space="preserve">Mohit Rao</t>
  </si>
  <si>
    <t xml:space="preserve">Wearables</t>
  </si>
  <si>
    <t xml:space="preserve">P002</t>
  </si>
  <si>
    <t xml:space="preserve">Smart Watch</t>
  </si>
  <si>
    <t xml:space="preserve">ORD-2072</t>
  </si>
  <si>
    <t xml:space="preserve">C155</t>
  </si>
  <si>
    <t xml:space="preserve">Deepak Patel</t>
  </si>
  <si>
    <t xml:space="preserve">Paper</t>
  </si>
  <si>
    <t xml:space="preserve">P013</t>
  </si>
  <si>
    <t xml:space="preserve">Notebook</t>
  </si>
  <si>
    <t xml:space="preserve">ORD-2073</t>
  </si>
  <si>
    <t xml:space="preserve">ORD-2074</t>
  </si>
  <si>
    <t xml:space="preserve">C154</t>
  </si>
  <si>
    <t xml:space="preserve">Priya Menon</t>
  </si>
  <si>
    <t xml:space="preserve">ORD-2075</t>
  </si>
  <si>
    <t xml:space="preserve">C099</t>
  </si>
  <si>
    <t xml:space="preserve">Ananya Bhatt</t>
  </si>
  <si>
    <t xml:space="preserve">ORD-2076</t>
  </si>
  <si>
    <t xml:space="preserve">C006</t>
  </si>
  <si>
    <t xml:space="preserve">Kunal Bose</t>
  </si>
  <si>
    <t xml:space="preserve">ORD-2077</t>
  </si>
  <si>
    <t xml:space="preserve">C216</t>
  </si>
  <si>
    <t xml:space="preserve">Isha Reddy</t>
  </si>
  <si>
    <t xml:space="preserve">ORD-2078</t>
  </si>
  <si>
    <t xml:space="preserve">C087</t>
  </si>
  <si>
    <t xml:space="preserve">Isha Bhatt</t>
  </si>
  <si>
    <t xml:space="preserve">ORD-2079</t>
  </si>
  <si>
    <t xml:space="preserve">C036</t>
  </si>
  <si>
    <t xml:space="preserve">Shreya Nair</t>
  </si>
  <si>
    <t xml:space="preserve">ORD-2080</t>
  </si>
  <si>
    <t xml:space="preserve">C047</t>
  </si>
  <si>
    <t xml:space="preserve">Arjun Kulkarni</t>
  </si>
  <si>
    <t xml:space="preserve">ORD-2081</t>
  </si>
  <si>
    <t xml:space="preserve">C011</t>
  </si>
  <si>
    <t xml:space="preserve">Isha Shah</t>
  </si>
  <si>
    <t xml:space="preserve">ORD-2082</t>
  </si>
  <si>
    <t xml:space="preserve">C142</t>
  </si>
  <si>
    <t xml:space="preserve">Meera Menon</t>
  </si>
  <si>
    <t xml:space="preserve">ORD-2083</t>
  </si>
  <si>
    <t xml:space="preserve">C057</t>
  </si>
  <si>
    <t xml:space="preserve">Nikhil Rao</t>
  </si>
  <si>
    <t xml:space="preserve">ORD-2084</t>
  </si>
  <si>
    <t xml:space="preserve">C060</t>
  </si>
  <si>
    <t xml:space="preserve">Divya Mehta</t>
  </si>
  <si>
    <t xml:space="preserve">ORD-2085</t>
  </si>
  <si>
    <t xml:space="preserve">C197</t>
  </si>
  <si>
    <t xml:space="preserve">Meera Nair</t>
  </si>
  <si>
    <t xml:space="preserve">ORD-2086</t>
  </si>
  <si>
    <t xml:space="preserve">ORD-2087</t>
  </si>
  <si>
    <t xml:space="preserve">C100</t>
  </si>
  <si>
    <t xml:space="preserve">Naveen Shah</t>
  </si>
  <si>
    <t xml:space="preserve">ORD-2088</t>
  </si>
  <si>
    <t xml:space="preserve">C121</t>
  </si>
  <si>
    <t xml:space="preserve">Harsh Kumar</t>
  </si>
  <si>
    <t xml:space="preserve">ORD-2089</t>
  </si>
  <si>
    <t xml:space="preserve">C134</t>
  </si>
  <si>
    <t xml:space="preserve">Pankaj Patel</t>
  </si>
  <si>
    <t xml:space="preserve">ORD-2090</t>
  </si>
  <si>
    <t xml:space="preserve">ORD-2091</t>
  </si>
  <si>
    <t xml:space="preserve">C109</t>
  </si>
  <si>
    <t xml:space="preserve">Aarav Kulkarni</t>
  </si>
  <si>
    <t xml:space="preserve">ORD-2092</t>
  </si>
  <si>
    <t xml:space="preserve">C008</t>
  </si>
  <si>
    <t xml:space="preserve">Riya Bose</t>
  </si>
  <si>
    <t xml:space="preserve">ORD-2093</t>
  </si>
  <si>
    <t xml:space="preserve">C071</t>
  </si>
  <si>
    <t xml:space="preserve">Priya Shah</t>
  </si>
  <si>
    <t xml:space="preserve">ORD-2094</t>
  </si>
  <si>
    <t xml:space="preserve">C116</t>
  </si>
  <si>
    <t xml:space="preserve">Meera Joshi</t>
  </si>
  <si>
    <t xml:space="preserve">ORD-2095</t>
  </si>
  <si>
    <t xml:space="preserve">C014</t>
  </si>
  <si>
    <t xml:space="preserve">Rahul Jain</t>
  </si>
  <si>
    <t xml:space="preserve">ORD-2096</t>
  </si>
  <si>
    <t xml:space="preserve">ORD-2097</t>
  </si>
  <si>
    <t xml:space="preserve">ORD-2098</t>
  </si>
  <si>
    <t xml:space="preserve">C085</t>
  </si>
  <si>
    <t xml:space="preserve">Vivaan Jain</t>
  </si>
  <si>
    <t xml:space="preserve">ORD-2099</t>
  </si>
  <si>
    <t xml:space="preserve">P024</t>
  </si>
  <si>
    <t xml:space="preserve">Air Fryer</t>
  </si>
  <si>
    <t xml:space="preserve">ORD-2100</t>
  </si>
  <si>
    <t xml:space="preserve">Tables</t>
  </si>
  <si>
    <t xml:space="preserve">P038</t>
  </si>
  <si>
    <t xml:space="preserve">Bedside Table</t>
  </si>
  <si>
    <t xml:space="preserve">ORD-2101</t>
  </si>
  <si>
    <t xml:space="preserve">ORD-2102</t>
  </si>
  <si>
    <t xml:space="preserve">P023</t>
  </si>
  <si>
    <t xml:space="preserve">Yoga Pants</t>
  </si>
  <si>
    <t xml:space="preserve">ORD-2103</t>
  </si>
  <si>
    <t xml:space="preserve">C210</t>
  </si>
  <si>
    <t xml:space="preserve">Sahil Desai</t>
  </si>
  <si>
    <t xml:space="preserve">ORD-2104</t>
  </si>
  <si>
    <t xml:space="preserve">C059</t>
  </si>
  <si>
    <t xml:space="preserve">Vikram Verma</t>
  </si>
  <si>
    <t xml:space="preserve">ORD-2105</t>
  </si>
  <si>
    <t xml:space="preserve">ORD-2106</t>
  </si>
  <si>
    <t xml:space="preserve">C125</t>
  </si>
  <si>
    <t xml:space="preserve">Rahul Shah</t>
  </si>
  <si>
    <t xml:space="preserve">ORD-2107</t>
  </si>
  <si>
    <t xml:space="preserve">C049</t>
  </si>
  <si>
    <t xml:space="preserve">Mohit Nair</t>
  </si>
  <si>
    <t xml:space="preserve">ORD-2108</t>
  </si>
  <si>
    <t xml:space="preserve">ORD-2109</t>
  </si>
  <si>
    <t xml:space="preserve">C123</t>
  </si>
  <si>
    <t xml:space="preserve">Harsh Menon</t>
  </si>
  <si>
    <t xml:space="preserve">P034</t>
  </si>
  <si>
    <t xml:space="preserve">Study Table</t>
  </si>
  <si>
    <t xml:space="preserve">ORD-2110</t>
  </si>
  <si>
    <t xml:space="preserve">ORD-2111</t>
  </si>
  <si>
    <t xml:space="preserve">C158</t>
  </si>
  <si>
    <t xml:space="preserve">Ramesh Sharma</t>
  </si>
  <si>
    <t xml:space="preserve">ORD-2112</t>
  </si>
  <si>
    <t xml:space="preserve">ORD-2113</t>
  </si>
  <si>
    <t xml:space="preserve">ORD-2114</t>
  </si>
  <si>
    <t xml:space="preserve">C187</t>
  </si>
  <si>
    <t xml:space="preserve">Ananya Bose</t>
  </si>
  <si>
    <t xml:space="preserve">ORD-2115</t>
  </si>
  <si>
    <t xml:space="preserve">C185</t>
  </si>
  <si>
    <t xml:space="preserve">Rohan Desai</t>
  </si>
  <si>
    <t xml:space="preserve">ORD-2116</t>
  </si>
  <si>
    <t xml:space="preserve">ORD-2117</t>
  </si>
  <si>
    <t xml:space="preserve">C028</t>
  </si>
  <si>
    <t xml:space="preserve">Deepak Kulkarni</t>
  </si>
  <si>
    <t xml:space="preserve">ORD-2118</t>
  </si>
  <si>
    <t xml:space="preserve">C157</t>
  </si>
  <si>
    <t xml:space="preserve">Aarav Bhatt</t>
  </si>
  <si>
    <t xml:space="preserve">P030</t>
  </si>
  <si>
    <t xml:space="preserve">Stapler Set</t>
  </si>
  <si>
    <t xml:space="preserve">ORD-2119</t>
  </si>
  <si>
    <t xml:space="preserve">ORD-2120</t>
  </si>
  <si>
    <t xml:space="preserve">ORD-2121</t>
  </si>
  <si>
    <t xml:space="preserve">C182</t>
  </si>
  <si>
    <t xml:space="preserve">Zoya Verma</t>
  </si>
  <si>
    <t xml:space="preserve">ORD-2122</t>
  </si>
  <si>
    <t xml:space="preserve">C108</t>
  </si>
  <si>
    <t xml:space="preserve">Manoj Gupta</t>
  </si>
  <si>
    <t xml:space="preserve">P036</t>
  </si>
  <si>
    <t xml:space="preserve">Sofa Chair</t>
  </si>
  <si>
    <t xml:space="preserve">ORD-2123</t>
  </si>
  <si>
    <t xml:space="preserve">C068</t>
  </si>
  <si>
    <t xml:space="preserve">Varun Nair</t>
  </si>
  <si>
    <t xml:space="preserve">ORD-2124</t>
  </si>
  <si>
    <t xml:space="preserve">C018</t>
  </si>
  <si>
    <t xml:space="preserve">Riya Pillai</t>
  </si>
  <si>
    <t xml:space="preserve">ORD-2125</t>
  </si>
  <si>
    <t xml:space="preserve">ORD-2126</t>
  </si>
  <si>
    <t xml:space="preserve">C081</t>
  </si>
  <si>
    <t xml:space="preserve">Arjun Iyer</t>
  </si>
  <si>
    <t xml:space="preserve">ORD-2127</t>
  </si>
  <si>
    <t xml:space="preserve">ORD-2128</t>
  </si>
  <si>
    <t xml:space="preserve">C129</t>
  </si>
  <si>
    <t xml:space="preserve">Mohit Kumar</t>
  </si>
  <si>
    <t xml:space="preserve">ORD-2129</t>
  </si>
  <si>
    <t xml:space="preserve">C204</t>
  </si>
  <si>
    <t xml:space="preserve">Anjali Das</t>
  </si>
  <si>
    <t xml:space="preserve">ORD-2130</t>
  </si>
  <si>
    <t xml:space="preserve">ORD-2131</t>
  </si>
  <si>
    <t xml:space="preserve">ORD-2132</t>
  </si>
  <si>
    <t xml:space="preserve">ORD-2133</t>
  </si>
  <si>
    <t xml:space="preserve">ORD-2134</t>
  </si>
  <si>
    <t xml:space="preserve">C209</t>
  </si>
  <si>
    <t xml:space="preserve">Aditya Malhotra</t>
  </si>
  <si>
    <t xml:space="preserve">P021</t>
  </si>
  <si>
    <t xml:space="preserve">Formal Shirt</t>
  </si>
  <si>
    <t xml:space="preserve">ORD-2135</t>
  </si>
  <si>
    <t xml:space="preserve">ORD-2136</t>
  </si>
  <si>
    <t xml:space="preserve">ORD-2137</t>
  </si>
  <si>
    <t xml:space="preserve">C149</t>
  </si>
  <si>
    <t xml:space="preserve">Deepak Jain</t>
  </si>
  <si>
    <t xml:space="preserve">ORD-2138</t>
  </si>
  <si>
    <t xml:space="preserve">C013</t>
  </si>
  <si>
    <t xml:space="preserve">Suresh Malhotra</t>
  </si>
  <si>
    <t xml:space="preserve">P026</t>
  </si>
  <si>
    <t xml:space="preserve">Wall Clock</t>
  </si>
  <si>
    <t xml:space="preserve">ORD-2139</t>
  </si>
  <si>
    <t xml:space="preserve">ORD-2140</t>
  </si>
  <si>
    <t xml:space="preserve">C054</t>
  </si>
  <si>
    <t xml:space="preserve">Sneha Mehta</t>
  </si>
  <si>
    <t xml:space="preserve">ORD-2141</t>
  </si>
  <si>
    <t xml:space="preserve">ORD-2142</t>
  </si>
  <si>
    <t xml:space="preserve">C107</t>
  </si>
  <si>
    <t xml:space="preserve">Kunal Reddy</t>
  </si>
  <si>
    <t xml:space="preserve">ORD-2143</t>
  </si>
  <si>
    <t xml:space="preserve">C177</t>
  </si>
  <si>
    <t xml:space="preserve">Mohit Iyer</t>
  </si>
  <si>
    <t xml:space="preserve">ORD-2144</t>
  </si>
  <si>
    <t xml:space="preserve">ORD-2145</t>
  </si>
  <si>
    <t xml:space="preserve">ORD-2146</t>
  </si>
  <si>
    <t xml:space="preserve">ORD-2147</t>
  </si>
  <si>
    <t xml:space="preserve">ORD-2148</t>
  </si>
  <si>
    <t xml:space="preserve">ORD-2149</t>
  </si>
  <si>
    <t xml:space="preserve">ORD-2150</t>
  </si>
  <si>
    <t xml:space="preserve">C198</t>
  </si>
  <si>
    <t xml:space="preserve">Aarav Bose</t>
  </si>
  <si>
    <t xml:space="preserve">ORD-2151</t>
  </si>
  <si>
    <t xml:space="preserve">ORD-2152</t>
  </si>
  <si>
    <t xml:space="preserve">ORD-2153</t>
  </si>
  <si>
    <t xml:space="preserve">C215</t>
  </si>
  <si>
    <t xml:space="preserve">Naveen Rao</t>
  </si>
  <si>
    <t xml:space="preserve">ORD-2154</t>
  </si>
  <si>
    <t xml:space="preserve">C067</t>
  </si>
  <si>
    <t xml:space="preserve">Kunal Singh</t>
  </si>
  <si>
    <t xml:space="preserve">ORD-2155</t>
  </si>
  <si>
    <t xml:space="preserve">ORD-2156</t>
  </si>
  <si>
    <t xml:space="preserve">ORD-2157</t>
  </si>
  <si>
    <t xml:space="preserve">ORD-2158</t>
  </si>
  <si>
    <t xml:space="preserve">C199</t>
  </si>
  <si>
    <t xml:space="preserve">Ramesh Gupta</t>
  </si>
  <si>
    <t xml:space="preserve">ORD-2159</t>
  </si>
  <si>
    <t xml:space="preserve">ORD-2160</t>
  </si>
  <si>
    <t xml:space="preserve">ORD-2161</t>
  </si>
  <si>
    <t xml:space="preserve">ORD-2162</t>
  </si>
  <si>
    <t xml:space="preserve">ORD-2163</t>
  </si>
  <si>
    <t xml:space="preserve">ORD-2164</t>
  </si>
  <si>
    <t xml:space="preserve">C118</t>
  </si>
  <si>
    <t xml:space="preserve">Rahul Kumar</t>
  </si>
  <si>
    <t xml:space="preserve">P016</t>
  </si>
  <si>
    <t xml:space="preserve">Wireless Mouse</t>
  </si>
  <si>
    <t xml:space="preserve">ORD-2165</t>
  </si>
  <si>
    <t xml:space="preserve">ORD-2166</t>
  </si>
  <si>
    <t xml:space="preserve">P003</t>
  </si>
  <si>
    <t xml:space="preserve">Power Bank</t>
  </si>
  <si>
    <t xml:space="preserve">ORD-2167</t>
  </si>
  <si>
    <t xml:space="preserve">ORD-2168</t>
  </si>
  <si>
    <t xml:space="preserve">C063</t>
  </si>
  <si>
    <t xml:space="preserve">Tanvi Gupta</t>
  </si>
  <si>
    <t xml:space="preserve">ORD-2169</t>
  </si>
  <si>
    <t xml:space="preserve">C113</t>
  </si>
  <si>
    <t xml:space="preserve">Sanjay Malhotra</t>
  </si>
  <si>
    <t xml:space="preserve">ORD-2170</t>
  </si>
  <si>
    <t xml:space="preserve">C043</t>
  </si>
  <si>
    <t xml:space="preserve">Vivaan Das</t>
  </si>
  <si>
    <t xml:space="preserve">ORD-2171</t>
  </si>
  <si>
    <t xml:space="preserve">ORD-2172</t>
  </si>
  <si>
    <t xml:space="preserve">ORD-2173</t>
  </si>
  <si>
    <t xml:space="preserve">C048</t>
  </si>
  <si>
    <t xml:space="preserve">Riya Kumar</t>
  </si>
  <si>
    <t xml:space="preserve">ORD-2174</t>
  </si>
  <si>
    <t xml:space="preserve">C004</t>
  </si>
  <si>
    <t xml:space="preserve">Manoj Nair</t>
  </si>
  <si>
    <t xml:space="preserve">ORD-2175</t>
  </si>
  <si>
    <t xml:space="preserve">C140</t>
  </si>
  <si>
    <t xml:space="preserve">Pooja Desai</t>
  </si>
  <si>
    <t xml:space="preserve">ORD-2176</t>
  </si>
  <si>
    <t xml:space="preserve">ORD-2177</t>
  </si>
  <si>
    <t xml:space="preserve">ORD-2178</t>
  </si>
  <si>
    <t xml:space="preserve">ORD-2179</t>
  </si>
  <si>
    <t xml:space="preserve">ORD-2180</t>
  </si>
  <si>
    <t xml:space="preserve">ORD-2181</t>
  </si>
  <si>
    <t xml:space="preserve">ORD-2182</t>
  </si>
  <si>
    <t xml:space="preserve">P004</t>
  </si>
  <si>
    <t xml:space="preserve">Bluetooth Speaker</t>
  </si>
  <si>
    <t xml:space="preserve">ORD-2183</t>
  </si>
  <si>
    <t xml:space="preserve">ORD-2184</t>
  </si>
  <si>
    <t xml:space="preserve">C130</t>
  </si>
  <si>
    <t xml:space="preserve">Rajat Gupta</t>
  </si>
  <si>
    <t xml:space="preserve">ORD-2185</t>
  </si>
  <si>
    <t xml:space="preserve">ORD-2186</t>
  </si>
  <si>
    <t xml:space="preserve">C053</t>
  </si>
  <si>
    <t xml:space="preserve">Gaurav Gupta</t>
  </si>
  <si>
    <t xml:space="preserve">ORD-2187</t>
  </si>
  <si>
    <t xml:space="preserve">ORD-2188</t>
  </si>
  <si>
    <t xml:space="preserve">ORD-2189</t>
  </si>
  <si>
    <t xml:space="preserve">ORD-2190</t>
  </si>
  <si>
    <t xml:space="preserve">ORD-2191</t>
  </si>
  <si>
    <t xml:space="preserve">ORD-2192</t>
  </si>
  <si>
    <t xml:space="preserve">ORD-2193</t>
  </si>
  <si>
    <t xml:space="preserve">ORD-2194</t>
  </si>
  <si>
    <t xml:space="preserve">C141</t>
  </si>
  <si>
    <t xml:space="preserve">Sanjay Shah</t>
  </si>
  <si>
    <t xml:space="preserve">P015</t>
  </si>
  <si>
    <t xml:space="preserve">Desk Organizer</t>
  </si>
  <si>
    <t xml:space="preserve">ORD-2195</t>
  </si>
  <si>
    <t xml:space="preserve">ORD-2196</t>
  </si>
  <si>
    <t xml:space="preserve">ORD-2197</t>
  </si>
  <si>
    <t xml:space="preserve">ORD-2198</t>
  </si>
  <si>
    <t xml:space="preserve">C167</t>
  </si>
  <si>
    <t xml:space="preserve">Sneha Pillai</t>
  </si>
  <si>
    <t xml:space="preserve">ORD-2199</t>
  </si>
  <si>
    <t xml:space="preserve">C131</t>
  </si>
  <si>
    <t xml:space="preserve">Isha Joshi</t>
  </si>
  <si>
    <t xml:space="preserve">ORD-2200</t>
  </si>
  <si>
    <t xml:space="preserve">ORD-2201</t>
  </si>
  <si>
    <t xml:space="preserve">ORD-2202</t>
  </si>
  <si>
    <t xml:space="preserve">ORD-2203</t>
  </si>
  <si>
    <t xml:space="preserve">ORD-2204</t>
  </si>
  <si>
    <t xml:space="preserve">ORD-2205</t>
  </si>
  <si>
    <t xml:space="preserve">C117</t>
  </si>
  <si>
    <t xml:space="preserve">Yash Shah</t>
  </si>
  <si>
    <t xml:space="preserve">ORD-2206</t>
  </si>
  <si>
    <t xml:space="preserve">ORD-2207</t>
  </si>
  <si>
    <t xml:space="preserve">ORD-2208</t>
  </si>
  <si>
    <t xml:space="preserve">ORD-2209</t>
  </si>
  <si>
    <t xml:space="preserve">ORD-2210</t>
  </si>
  <si>
    <t xml:space="preserve">ORD-2211</t>
  </si>
  <si>
    <t xml:space="preserve">ORD-2212</t>
  </si>
  <si>
    <t xml:space="preserve">ORD-2213</t>
  </si>
  <si>
    <t xml:space="preserve">ORD-2214</t>
  </si>
  <si>
    <t xml:space="preserve">C124</t>
  </si>
  <si>
    <t xml:space="preserve">Neha Joshi</t>
  </si>
  <si>
    <t xml:space="preserve">ORD-2215</t>
  </si>
  <si>
    <t xml:space="preserve">C106</t>
  </si>
  <si>
    <t xml:space="preserve">Vivaan Kumar</t>
  </si>
  <si>
    <t xml:space="preserve">ORD-2216</t>
  </si>
  <si>
    <t xml:space="preserve">ORD-2217</t>
  </si>
  <si>
    <t xml:space="preserve">C194</t>
  </si>
  <si>
    <t xml:space="preserve">Harsh Singh</t>
  </si>
  <si>
    <t xml:space="preserve">ORD-2218</t>
  </si>
  <si>
    <t xml:space="preserve">C104</t>
  </si>
  <si>
    <t xml:space="preserve">Isha Gupta</t>
  </si>
  <si>
    <t xml:space="preserve">ORD-2219</t>
  </si>
  <si>
    <t xml:space="preserve">ORD-2220</t>
  </si>
  <si>
    <t xml:space="preserve">ORD-2221</t>
  </si>
  <si>
    <t xml:space="preserve">C078</t>
  </si>
  <si>
    <t xml:space="preserve">Isha Mehta</t>
  </si>
  <si>
    <t xml:space="preserve">ORD-2222</t>
  </si>
  <si>
    <t xml:space="preserve">ORD-2223</t>
  </si>
  <si>
    <t xml:space="preserve">ORD-2224</t>
  </si>
  <si>
    <t xml:space="preserve">ORD-2225</t>
  </si>
  <si>
    <t xml:space="preserve">ORD-2226</t>
  </si>
  <si>
    <t xml:space="preserve">ORD-2227</t>
  </si>
  <si>
    <t xml:space="preserve">C196</t>
  </si>
  <si>
    <t xml:space="preserve">Zoya Joshi</t>
  </si>
  <si>
    <t xml:space="preserve">ORD-2228</t>
  </si>
  <si>
    <t xml:space="preserve">ORD-2229</t>
  </si>
  <si>
    <t xml:space="preserve">C075</t>
  </si>
  <si>
    <t xml:space="preserve">Vikram Joshi</t>
  </si>
  <si>
    <t xml:space="preserve">ORD-2230</t>
  </si>
  <si>
    <t xml:space="preserve">ORD-2231</t>
  </si>
  <si>
    <t xml:space="preserve">ORD-2232</t>
  </si>
  <si>
    <t xml:space="preserve">ORD-2233</t>
  </si>
  <si>
    <t xml:space="preserve">ORD-2234</t>
  </si>
  <si>
    <t xml:space="preserve">C159</t>
  </si>
  <si>
    <t xml:space="preserve">Pooja Kumar</t>
  </si>
  <si>
    <t xml:space="preserve">ORD-2235</t>
  </si>
  <si>
    <t xml:space="preserve">ORD-2236</t>
  </si>
  <si>
    <t xml:space="preserve">C077</t>
  </si>
  <si>
    <t xml:space="preserve">Yash Das</t>
  </si>
  <si>
    <t xml:space="preserve">ORD-2237</t>
  </si>
  <si>
    <t xml:space="preserve">C061</t>
  </si>
  <si>
    <t xml:space="preserve">Sahil Patel</t>
  </si>
  <si>
    <t xml:space="preserve">ORD-2238</t>
  </si>
  <si>
    <t xml:space="preserve">ORD-2239</t>
  </si>
  <si>
    <t xml:space="preserve">C009</t>
  </si>
  <si>
    <t xml:space="preserve">Divya Sharma</t>
  </si>
  <si>
    <t xml:space="preserve">ORD-2240</t>
  </si>
  <si>
    <t xml:space="preserve">C027</t>
  </si>
  <si>
    <t xml:space="preserve">Tanvi Kapoor</t>
  </si>
  <si>
    <t xml:space="preserve">ORD-2241</t>
  </si>
  <si>
    <t xml:space="preserve">ORD-2242</t>
  </si>
  <si>
    <t xml:space="preserve">ORD-2243</t>
  </si>
  <si>
    <t xml:space="preserve">ORD-2244</t>
  </si>
  <si>
    <t xml:space="preserve">C097</t>
  </si>
  <si>
    <t xml:space="preserve">Aarav Shah</t>
  </si>
  <si>
    <t xml:space="preserve">ORD-2245</t>
  </si>
  <si>
    <t xml:space="preserve">ORD-2246</t>
  </si>
  <si>
    <t xml:space="preserve">ORD-2247</t>
  </si>
  <si>
    <t xml:space="preserve">ORD-2248</t>
  </si>
  <si>
    <t xml:space="preserve">ORD-2249</t>
  </si>
  <si>
    <t xml:space="preserve">ORD-2250</t>
  </si>
  <si>
    <t xml:space="preserve">C041</t>
  </si>
  <si>
    <t xml:space="preserve">Naveen Kumar</t>
  </si>
  <si>
    <t xml:space="preserve">ORD-2251</t>
  </si>
  <si>
    <t xml:space="preserve">ORD-2252</t>
  </si>
  <si>
    <t xml:space="preserve">ORD-2253</t>
  </si>
  <si>
    <t xml:space="preserve">ORD-2254</t>
  </si>
  <si>
    <t xml:space="preserve">ORD-2255</t>
  </si>
  <si>
    <t xml:space="preserve">ORD-2256</t>
  </si>
  <si>
    <t xml:space="preserve">C146</t>
  </si>
  <si>
    <t xml:space="preserve">Ramesh Kapoor</t>
  </si>
  <si>
    <t xml:space="preserve">ORD-2257</t>
  </si>
  <si>
    <t xml:space="preserve">C145</t>
  </si>
  <si>
    <t xml:space="preserve">Kunal Rao</t>
  </si>
  <si>
    <t xml:space="preserve">ORD-2258</t>
  </si>
  <si>
    <t xml:space="preserve">ORD-2259</t>
  </si>
  <si>
    <t xml:space="preserve">C069</t>
  </si>
  <si>
    <t xml:space="preserve">Vivaan Menon</t>
  </si>
  <si>
    <t xml:space="preserve">ORD-2260</t>
  </si>
  <si>
    <t xml:space="preserve">C203</t>
  </si>
  <si>
    <t xml:space="preserve">Zoya Rao</t>
  </si>
  <si>
    <t xml:space="preserve">ORD-2261</t>
  </si>
  <si>
    <t xml:space="preserve">ORD-2262</t>
  </si>
  <si>
    <t xml:space="preserve">ORD-2263</t>
  </si>
  <si>
    <t xml:space="preserve">ORD-2264</t>
  </si>
  <si>
    <t xml:space="preserve">ORD-2265</t>
  </si>
  <si>
    <t xml:space="preserve">C139</t>
  </si>
  <si>
    <t xml:space="preserve">Ramesh Nair</t>
  </si>
  <si>
    <t xml:space="preserve">ORD-2266</t>
  </si>
  <si>
    <t xml:space="preserve">C052</t>
  </si>
  <si>
    <t xml:space="preserve">Kunal Shah</t>
  </si>
  <si>
    <t xml:space="preserve">ORD-2267</t>
  </si>
  <si>
    <t xml:space="preserve">ORD-2268</t>
  </si>
  <si>
    <t xml:space="preserve">ORD-2269</t>
  </si>
  <si>
    <t xml:space="preserve">ORD-2270</t>
  </si>
  <si>
    <t xml:space="preserve">C147</t>
  </si>
  <si>
    <t xml:space="preserve">Meera Verma</t>
  </si>
  <si>
    <t xml:space="preserve">ORD-2271</t>
  </si>
  <si>
    <t xml:space="preserve">C083</t>
  </si>
  <si>
    <t xml:space="preserve">Sneha Rao</t>
  </si>
  <si>
    <t xml:space="preserve">ORD-2272</t>
  </si>
  <si>
    <t xml:space="preserve">ORD-2273</t>
  </si>
  <si>
    <t xml:space="preserve">ORD-2274</t>
  </si>
  <si>
    <t xml:space="preserve">ORD-2275</t>
  </si>
  <si>
    <t xml:space="preserve">ORD-2276</t>
  </si>
  <si>
    <t xml:space="preserve">ORD-2277</t>
  </si>
  <si>
    <t xml:space="preserve">ORD-2278</t>
  </si>
  <si>
    <t xml:space="preserve">ORD-2279</t>
  </si>
  <si>
    <t xml:space="preserve">ORD-2280</t>
  </si>
  <si>
    <t xml:space="preserve">ORD-2281</t>
  </si>
  <si>
    <t xml:space="preserve">ORD-2282</t>
  </si>
  <si>
    <t xml:space="preserve">ORD-2283</t>
  </si>
  <si>
    <t xml:space="preserve">ORD-2284</t>
  </si>
  <si>
    <t xml:space="preserve">ORD-2285</t>
  </si>
  <si>
    <t xml:space="preserve">C132</t>
  </si>
  <si>
    <t xml:space="preserve">Meera Saxena</t>
  </si>
  <si>
    <t xml:space="preserve">ORD-2286</t>
  </si>
  <si>
    <t xml:space="preserve">C098</t>
  </si>
  <si>
    <t xml:space="preserve">Kavya Bhatt</t>
  </si>
  <si>
    <t xml:space="preserve">ORD-2287</t>
  </si>
  <si>
    <t xml:space="preserve">ORD-2288</t>
  </si>
  <si>
    <t xml:space="preserve">ORD-2289</t>
  </si>
  <si>
    <t xml:space="preserve">ORD-2290</t>
  </si>
  <si>
    <t xml:space="preserve">C005</t>
  </si>
  <si>
    <t xml:space="preserve">Kavya Kulkarni</t>
  </si>
  <si>
    <t xml:space="preserve">ORD-2291</t>
  </si>
  <si>
    <t xml:space="preserve">ORD-2292</t>
  </si>
  <si>
    <t xml:space="preserve">ORD-2293</t>
  </si>
  <si>
    <t xml:space="preserve">ORD-2294</t>
  </si>
  <si>
    <t xml:space="preserve">ORD-2295</t>
  </si>
  <si>
    <t xml:space="preserve">C026</t>
  </si>
  <si>
    <t xml:space="preserve">Ramesh Bose</t>
  </si>
  <si>
    <t xml:space="preserve">ORD-2296</t>
  </si>
  <si>
    <t xml:space="preserve">ORD-2297</t>
  </si>
  <si>
    <t xml:space="preserve">ORD-2298</t>
  </si>
  <si>
    <t xml:space="preserve">ORD-2299</t>
  </si>
  <si>
    <t xml:space="preserve">ORD-2300</t>
  </si>
  <si>
    <t xml:space="preserve">ORD-2301</t>
  </si>
  <si>
    <t xml:space="preserve">ORD-2302</t>
  </si>
  <si>
    <t xml:space="preserve">ORD-2303</t>
  </si>
  <si>
    <t xml:space="preserve">ORD-2304</t>
  </si>
  <si>
    <t xml:space="preserve">C114</t>
  </si>
  <si>
    <t xml:space="preserve">Mohit Malhotra</t>
  </si>
  <si>
    <t xml:space="preserve">ORD-2305</t>
  </si>
  <si>
    <t xml:space="preserve">ORD-2306</t>
  </si>
  <si>
    <t xml:space="preserve">ORD-2307</t>
  </si>
  <si>
    <t xml:space="preserve">C092</t>
  </si>
  <si>
    <t xml:space="preserve">Riya Das</t>
  </si>
  <si>
    <t xml:space="preserve">ORD-2308</t>
  </si>
  <si>
    <t xml:space="preserve">ORD-2309</t>
  </si>
  <si>
    <t xml:space="preserve">ORD-2310</t>
  </si>
  <si>
    <t xml:space="preserve">ORD-2311</t>
  </si>
  <si>
    <t xml:space="preserve">ORD-2312</t>
  </si>
  <si>
    <t xml:space="preserve">C073</t>
  </si>
  <si>
    <t xml:space="preserve">Nikhil Nair</t>
  </si>
  <si>
    <t xml:space="preserve">ORD-2313</t>
  </si>
  <si>
    <t xml:space="preserve">C205</t>
  </si>
  <si>
    <t xml:space="preserve">Rajat Kulkarni</t>
  </si>
  <si>
    <t xml:space="preserve">ORD-2314</t>
  </si>
  <si>
    <t xml:space="preserve">ORD-2315</t>
  </si>
  <si>
    <t xml:space="preserve">C207</t>
  </si>
  <si>
    <t xml:space="preserve">Shreya Sharma</t>
  </si>
  <si>
    <t xml:space="preserve">ORD-2316</t>
  </si>
  <si>
    <t xml:space="preserve">ORD-2317</t>
  </si>
  <si>
    <t xml:space="preserve">C070</t>
  </si>
  <si>
    <t xml:space="preserve">Manoj Kumar</t>
  </si>
  <si>
    <t xml:space="preserve">ORD-2318</t>
  </si>
  <si>
    <t xml:space="preserve">ORD-2319</t>
  </si>
  <si>
    <t xml:space="preserve">ORD-2320</t>
  </si>
  <si>
    <t xml:space="preserve">ORD-2321</t>
  </si>
  <si>
    <t xml:space="preserve">ORD-2322</t>
  </si>
  <si>
    <t xml:space="preserve">ORD-2323</t>
  </si>
  <si>
    <t xml:space="preserve">ORD-2324</t>
  </si>
  <si>
    <t xml:space="preserve">ORD-2325</t>
  </si>
  <si>
    <t xml:space="preserve">ORD-2326</t>
  </si>
  <si>
    <t xml:space="preserve">ORD-2327</t>
  </si>
  <si>
    <t xml:space="preserve">C082</t>
  </si>
  <si>
    <t xml:space="preserve">Rohan Nair</t>
  </si>
  <si>
    <t xml:space="preserve">ORD-2328</t>
  </si>
  <si>
    <t xml:space="preserve">ORD-2329</t>
  </si>
  <si>
    <t xml:space="preserve">C020</t>
  </si>
  <si>
    <t xml:space="preserve">Rahul Pillai</t>
  </si>
  <si>
    <t xml:space="preserve">ORD-2330</t>
  </si>
  <si>
    <t xml:space="preserve">C180</t>
  </si>
  <si>
    <t xml:space="preserve">Divya Verma</t>
  </si>
  <si>
    <t xml:space="preserve">ORD-2331</t>
  </si>
  <si>
    <t xml:space="preserve">C105</t>
  </si>
  <si>
    <t xml:space="preserve">Kavya Singh</t>
  </si>
  <si>
    <t xml:space="preserve">ORD-2332</t>
  </si>
  <si>
    <t xml:space="preserve">ORD-2333</t>
  </si>
  <si>
    <t xml:space="preserve">ORD-2334</t>
  </si>
  <si>
    <t xml:space="preserve">C126</t>
  </si>
  <si>
    <t xml:space="preserve">Sahil Menon</t>
  </si>
  <si>
    <t xml:space="preserve">ORD-2335</t>
  </si>
  <si>
    <t xml:space="preserve">C201</t>
  </si>
  <si>
    <t xml:space="preserve">Sneha Malhotra</t>
  </si>
  <si>
    <t xml:space="preserve">ORD-2336</t>
  </si>
  <si>
    <t xml:space="preserve">ORD-2337</t>
  </si>
  <si>
    <t xml:space="preserve">ORD-2338</t>
  </si>
  <si>
    <t xml:space="preserve">ORD-2339</t>
  </si>
  <si>
    <t xml:space="preserve">C110</t>
  </si>
  <si>
    <t xml:space="preserve">Kavya Shah</t>
  </si>
  <si>
    <t xml:space="preserve">ORD-2340</t>
  </si>
  <si>
    <t xml:space="preserve">ORD-2341</t>
  </si>
  <si>
    <t xml:space="preserve">ORD-2342</t>
  </si>
  <si>
    <t xml:space="preserve">ORD-2343</t>
  </si>
  <si>
    <t xml:space="preserve">ORD-2344</t>
  </si>
  <si>
    <t xml:space="preserve">ORD-2345</t>
  </si>
  <si>
    <t xml:space="preserve">ORD-2346</t>
  </si>
  <si>
    <t xml:space="preserve">C007</t>
  </si>
  <si>
    <t xml:space="preserve">Kavya Patel</t>
  </si>
  <si>
    <t xml:space="preserve">ORD-2347</t>
  </si>
  <si>
    <t xml:space="preserve">ORD-2348</t>
  </si>
  <si>
    <t xml:space="preserve">ORD-2349</t>
  </si>
  <si>
    <t xml:space="preserve">ORD-2350</t>
  </si>
  <si>
    <t xml:space="preserve">C160</t>
  </si>
  <si>
    <t xml:space="preserve">Sahil Das</t>
  </si>
  <si>
    <t xml:space="preserve">ORD-2351</t>
  </si>
  <si>
    <t xml:space="preserve">ORD-2352</t>
  </si>
  <si>
    <t xml:space="preserve">ORD-2353</t>
  </si>
  <si>
    <t xml:space="preserve">C096</t>
  </si>
  <si>
    <t xml:space="preserve">Karan Desai</t>
  </si>
  <si>
    <t xml:space="preserve">ORD-2354</t>
  </si>
  <si>
    <t xml:space="preserve">C183</t>
  </si>
  <si>
    <t xml:space="preserve">Amit Chopra</t>
  </si>
  <si>
    <t xml:space="preserve">ORD-2355</t>
  </si>
  <si>
    <t xml:space="preserve">ORD-2356</t>
  </si>
  <si>
    <t xml:space="preserve">C102</t>
  </si>
  <si>
    <t xml:space="preserve">Kunal Gupta</t>
  </si>
  <si>
    <t xml:space="preserve">ORD-2357</t>
  </si>
  <si>
    <t xml:space="preserve">ORD-2358</t>
  </si>
  <si>
    <t xml:space="preserve">ORD-2359</t>
  </si>
  <si>
    <t xml:space="preserve">ORD-2360</t>
  </si>
  <si>
    <t xml:space="preserve">ORD-2361</t>
  </si>
  <si>
    <t xml:space="preserve">ORD-2362</t>
  </si>
  <si>
    <t xml:space="preserve">ORD-2363</t>
  </si>
  <si>
    <t xml:space="preserve">ORD-2364</t>
  </si>
  <si>
    <t xml:space="preserve">ORD-2365</t>
  </si>
  <si>
    <t xml:space="preserve">ORD-2366</t>
  </si>
  <si>
    <t xml:space="preserve">C015</t>
  </si>
  <si>
    <t xml:space="preserve">Kavya Gupta</t>
  </si>
  <si>
    <t xml:space="preserve">ORD-2367</t>
  </si>
  <si>
    <t xml:space="preserve">ORD-2368</t>
  </si>
  <si>
    <t xml:space="preserve">ORD-2369</t>
  </si>
  <si>
    <t xml:space="preserve">C046</t>
  </si>
  <si>
    <t xml:space="preserve">Pankaj Das</t>
  </si>
  <si>
    <t xml:space="preserve">ORD-2370</t>
  </si>
  <si>
    <t xml:space="preserve">ORD-2371</t>
  </si>
  <si>
    <t xml:space="preserve">ORD-2372</t>
  </si>
  <si>
    <t xml:space="preserve">ORD-2373</t>
  </si>
  <si>
    <t xml:space="preserve">C050</t>
  </si>
  <si>
    <t xml:space="preserve">Isha Jain</t>
  </si>
  <si>
    <t xml:space="preserve">ORD-2374</t>
  </si>
  <si>
    <t xml:space="preserve">C219</t>
  </si>
  <si>
    <t xml:space="preserve">Tanvi Saxena</t>
  </si>
  <si>
    <t xml:space="preserve">ORD-2375</t>
  </si>
  <si>
    <t xml:space="preserve">ORD-2376</t>
  </si>
  <si>
    <t xml:space="preserve">ORD-2377</t>
  </si>
  <si>
    <t xml:space="preserve">C202</t>
  </si>
  <si>
    <t xml:space="preserve">Rajat Pillai</t>
  </si>
  <si>
    <t xml:space="preserve">ORD-2378</t>
  </si>
  <si>
    <t xml:space="preserve">ORD-2379</t>
  </si>
  <si>
    <t xml:space="preserve">C171</t>
  </si>
  <si>
    <t xml:space="preserve">Yash Singh</t>
  </si>
  <si>
    <t xml:space="preserve">ORD-2380</t>
  </si>
  <si>
    <t xml:space="preserve">C190</t>
  </si>
  <si>
    <t xml:space="preserve">Pankaj Kumar</t>
  </si>
  <si>
    <t xml:space="preserve">ORD-2381</t>
  </si>
  <si>
    <t xml:space="preserve">C021</t>
  </si>
  <si>
    <t xml:space="preserve">Rajat Reddy</t>
  </si>
  <si>
    <t xml:space="preserve">ORD-2382</t>
  </si>
  <si>
    <t xml:space="preserve">ORD-2383</t>
  </si>
  <si>
    <t xml:space="preserve">ORD-2384</t>
  </si>
  <si>
    <t xml:space="preserve">C181</t>
  </si>
  <si>
    <t xml:space="preserve">Sneha Bose</t>
  </si>
  <si>
    <t xml:space="preserve">ORD-2385</t>
  </si>
  <si>
    <t xml:space="preserve">ORD-2386</t>
  </si>
  <si>
    <t xml:space="preserve">ORD-2387</t>
  </si>
  <si>
    <t xml:space="preserve">ORD-2388</t>
  </si>
  <si>
    <t xml:space="preserve">C191</t>
  </si>
  <si>
    <t xml:space="preserve">Sneha Iyer</t>
  </si>
  <si>
    <t xml:space="preserve">ORD-2389</t>
  </si>
  <si>
    <t xml:space="preserve">ORD-2390</t>
  </si>
  <si>
    <t xml:space="preserve">C072</t>
  </si>
  <si>
    <t xml:space="preserve">Aditya Gupta</t>
  </si>
  <si>
    <t xml:space="preserve">ORD-2391</t>
  </si>
  <si>
    <t xml:space="preserve">C039</t>
  </si>
  <si>
    <t xml:space="preserve">Pankaj Shah</t>
  </si>
  <si>
    <t xml:space="preserve">ORD-2392</t>
  </si>
  <si>
    <t xml:space="preserve">ORD-2393</t>
  </si>
  <si>
    <t xml:space="preserve">ORD-2394</t>
  </si>
  <si>
    <t xml:space="preserve">P001</t>
  </si>
  <si>
    <t xml:space="preserve">Wireless Earbuds</t>
  </si>
  <si>
    <t xml:space="preserve">ORD-2395</t>
  </si>
  <si>
    <t xml:space="preserve">ORD-2396</t>
  </si>
  <si>
    <t xml:space="preserve">ORD-2397</t>
  </si>
  <si>
    <t xml:space="preserve">ORD-2398</t>
  </si>
  <si>
    <t xml:space="preserve">ORD-2399</t>
  </si>
  <si>
    <t xml:space="preserve">ORD-2400</t>
  </si>
  <si>
    <t xml:space="preserve">ORD-2401</t>
  </si>
  <si>
    <t xml:space="preserve">ORD-2402</t>
  </si>
  <si>
    <t xml:space="preserve">ORD-2403</t>
  </si>
  <si>
    <t xml:space="preserve">ORD-2404</t>
  </si>
  <si>
    <t xml:space="preserve">ORD-2405</t>
  </si>
  <si>
    <t xml:space="preserve">ORD-2406</t>
  </si>
  <si>
    <t xml:space="preserve">ORD-2407</t>
  </si>
  <si>
    <t xml:space="preserve">ORD-2408</t>
  </si>
  <si>
    <t xml:space="preserve">C192</t>
  </si>
  <si>
    <t xml:space="preserve">Priya Pillai</t>
  </si>
  <si>
    <t xml:space="preserve">ORD-2409</t>
  </si>
  <si>
    <t xml:space="preserve">ORD-2410</t>
  </si>
  <si>
    <t xml:space="preserve">ORD-2411</t>
  </si>
  <si>
    <t xml:space="preserve">C016</t>
  </si>
  <si>
    <t xml:space="preserve">Karan Nair</t>
  </si>
  <si>
    <t xml:space="preserve">ORD-2412</t>
  </si>
  <si>
    <t xml:space="preserve">C206</t>
  </si>
  <si>
    <t xml:space="preserve">Nikhil Chopra</t>
  </si>
  <si>
    <t xml:space="preserve">ORD-2413</t>
  </si>
  <si>
    <t xml:space="preserve">ORD-2414</t>
  </si>
  <si>
    <t xml:space="preserve">ORD-2415</t>
  </si>
  <si>
    <t xml:space="preserve">ORD-2416</t>
  </si>
  <si>
    <t xml:space="preserve">ORD-2417</t>
  </si>
  <si>
    <t xml:space="preserve">ORD-2418</t>
  </si>
  <si>
    <t xml:space="preserve">ORD-2419</t>
  </si>
  <si>
    <t xml:space="preserve">ORD-2420</t>
  </si>
  <si>
    <t xml:space="preserve">ORD-2421</t>
  </si>
  <si>
    <t xml:space="preserve">ORD-2422</t>
  </si>
  <si>
    <t xml:space="preserve">C156</t>
  </si>
  <si>
    <t xml:space="preserve">Naveen Jain</t>
  </si>
  <si>
    <t xml:space="preserve">ORD-2423</t>
  </si>
  <si>
    <t xml:space="preserve">ORD-2424</t>
  </si>
  <si>
    <t xml:space="preserve">ORD-2425</t>
  </si>
  <si>
    <t xml:space="preserve">ORD-2426</t>
  </si>
  <si>
    <t xml:space="preserve">ORD-2427</t>
  </si>
  <si>
    <t xml:space="preserve">ORD-2428</t>
  </si>
  <si>
    <t xml:space="preserve">ORD-2429</t>
  </si>
  <si>
    <t xml:space="preserve">ORD-2430</t>
  </si>
  <si>
    <t xml:space="preserve">ORD-2431</t>
  </si>
  <si>
    <t xml:space="preserve">ORD-2432</t>
  </si>
  <si>
    <t xml:space="preserve">ORD-2433</t>
  </si>
  <si>
    <t xml:space="preserve">C184</t>
  </si>
  <si>
    <t xml:space="preserve">Vivaan Rao</t>
  </si>
  <si>
    <t xml:space="preserve">ORD-2434</t>
  </si>
  <si>
    <t xml:space="preserve">ORD-2435</t>
  </si>
  <si>
    <t xml:space="preserve">ORD-2436</t>
  </si>
  <si>
    <t xml:space="preserve">ORD-2437</t>
  </si>
  <si>
    <t xml:space="preserve">ORD-2438</t>
  </si>
  <si>
    <t xml:space="preserve">ORD-2439</t>
  </si>
  <si>
    <t xml:space="preserve">ORD-2440</t>
  </si>
  <si>
    <t xml:space="preserve">ORD-2441</t>
  </si>
  <si>
    <t xml:space="preserve">ORD-2442</t>
  </si>
  <si>
    <t xml:space="preserve">ORD-2443</t>
  </si>
  <si>
    <t xml:space="preserve">ORD-2444</t>
  </si>
  <si>
    <t xml:space="preserve">C193</t>
  </si>
  <si>
    <t xml:space="preserve">Riya Jain</t>
  </si>
  <si>
    <t xml:space="preserve">ORD-2445</t>
  </si>
  <si>
    <t xml:space="preserve">C040</t>
  </si>
  <si>
    <t xml:space="preserve">Shreya Desai</t>
  </si>
  <si>
    <t xml:space="preserve">ORD-2446</t>
  </si>
  <si>
    <t xml:space="preserve">ORD-2447</t>
  </si>
  <si>
    <t xml:space="preserve">ORD-2448</t>
  </si>
  <si>
    <t xml:space="preserve">ORD-2449</t>
  </si>
  <si>
    <t xml:space="preserve">ORD-2450</t>
  </si>
  <si>
    <t xml:space="preserve">ORD-2451</t>
  </si>
  <si>
    <t xml:space="preserve">ORD-2452</t>
  </si>
  <si>
    <t xml:space="preserve">ORD-2453</t>
  </si>
  <si>
    <t xml:space="preserve">ORD-2454</t>
  </si>
  <si>
    <t xml:space="preserve">ORD-2455</t>
  </si>
  <si>
    <t xml:space="preserve">ORD-2456</t>
  </si>
  <si>
    <t xml:space="preserve">ORD-2457</t>
  </si>
  <si>
    <t xml:space="preserve">C037</t>
  </si>
  <si>
    <t xml:space="preserve">Naveen Malhotra</t>
  </si>
  <si>
    <t xml:space="preserve">ORD-2458</t>
  </si>
  <si>
    <t xml:space="preserve">C111</t>
  </si>
  <si>
    <t xml:space="preserve">Rahul Singh</t>
  </si>
  <si>
    <t xml:space="preserve">ORD-2459</t>
  </si>
  <si>
    <t xml:space="preserve">ORD-2460</t>
  </si>
  <si>
    <t xml:space="preserve">ORD-2461</t>
  </si>
  <si>
    <t xml:space="preserve">ORD-2462</t>
  </si>
  <si>
    <t xml:space="preserve">C029</t>
  </si>
  <si>
    <t xml:space="preserve">Rajat Patel</t>
  </si>
  <si>
    <t xml:space="preserve">ORD-2463</t>
  </si>
  <si>
    <t xml:space="preserve">ORD-2464</t>
  </si>
  <si>
    <t xml:space="preserve">ORD-2465</t>
  </si>
  <si>
    <t xml:space="preserve">ORD-2466</t>
  </si>
  <si>
    <t xml:space="preserve">ORD-2467</t>
  </si>
  <si>
    <t xml:space="preserve">ORD-2468</t>
  </si>
  <si>
    <t xml:space="preserve">C003</t>
  </si>
  <si>
    <t xml:space="preserve">Anjali Kulkarni</t>
  </si>
  <si>
    <t xml:space="preserve">ORD-2469</t>
  </si>
  <si>
    <t xml:space="preserve">ORD-2470</t>
  </si>
  <si>
    <t xml:space="preserve">ORD-2471</t>
  </si>
  <si>
    <t xml:space="preserve">ORD-2472</t>
  </si>
  <si>
    <t xml:space="preserve">ORD-2473</t>
  </si>
  <si>
    <t xml:space="preserve">ORD-2474</t>
  </si>
  <si>
    <t xml:space="preserve">C032</t>
  </si>
  <si>
    <t xml:space="preserve">Tanvi Kumar</t>
  </si>
  <si>
    <t xml:space="preserve">ORD-2475</t>
  </si>
  <si>
    <t xml:space="preserve">ORD-2476</t>
  </si>
  <si>
    <t xml:space="preserve">ORD-2477</t>
  </si>
  <si>
    <t xml:space="preserve">ORD-2478</t>
  </si>
  <si>
    <t xml:space="preserve">ORD-2479</t>
  </si>
  <si>
    <t xml:space="preserve">ORD-2480</t>
  </si>
  <si>
    <t xml:space="preserve">ORD-2481</t>
  </si>
  <si>
    <t xml:space="preserve">C093</t>
  </si>
  <si>
    <t xml:space="preserve">Gaurav Kapoor</t>
  </si>
  <si>
    <t xml:space="preserve">ORD-2482</t>
  </si>
  <si>
    <t xml:space="preserve">ORD-2483</t>
  </si>
  <si>
    <t xml:space="preserve">ORD-2484</t>
  </si>
  <si>
    <t xml:space="preserve">ORD-2485</t>
  </si>
  <si>
    <t xml:space="preserve">ORD-2486</t>
  </si>
  <si>
    <t xml:space="preserve">ORD-2487</t>
  </si>
  <si>
    <t xml:space="preserve">ORD-2488</t>
  </si>
  <si>
    <t xml:space="preserve">ORD-2489</t>
  </si>
  <si>
    <t xml:space="preserve">ORD-2490</t>
  </si>
  <si>
    <t xml:space="preserve">ORD-2491</t>
  </si>
  <si>
    <t xml:space="preserve">ORD-2492</t>
  </si>
  <si>
    <t xml:space="preserve">ORD-2493</t>
  </si>
  <si>
    <t xml:space="preserve">ORD-2494</t>
  </si>
  <si>
    <t xml:space="preserve">ORD-2495</t>
  </si>
  <si>
    <t xml:space="preserve">C213</t>
  </si>
  <si>
    <t xml:space="preserve">Deepak Singh</t>
  </si>
  <si>
    <t xml:space="preserve">ORD-2496</t>
  </si>
  <si>
    <t xml:space="preserve">ORD-2497</t>
  </si>
  <si>
    <t xml:space="preserve">ORD-2498</t>
  </si>
  <si>
    <t xml:space="preserve">ORD-2499</t>
  </si>
  <si>
    <t xml:space="preserve">C103</t>
  </si>
  <si>
    <t xml:space="preserve">Riya Singh</t>
  </si>
  <si>
    <t xml:space="preserve">ORD-2500</t>
  </si>
  <si>
    <t xml:space="preserve">ORD-2501</t>
  </si>
  <si>
    <t xml:space="preserve">ORD-2502</t>
  </si>
  <si>
    <t xml:space="preserve">ORD-2503</t>
  </si>
  <si>
    <t xml:space="preserve">ORD-2504</t>
  </si>
  <si>
    <t xml:space="preserve">C164</t>
  </si>
  <si>
    <t xml:space="preserve">Aarav Pillai</t>
  </si>
  <si>
    <t xml:space="preserve">ORD-2505</t>
  </si>
  <si>
    <t xml:space="preserve">ORD-2506</t>
  </si>
  <si>
    <t xml:space="preserve">ORD-2507</t>
  </si>
  <si>
    <t xml:space="preserve">ORD-2508</t>
  </si>
  <si>
    <t xml:space="preserve">ORD-2509</t>
  </si>
  <si>
    <t xml:space="preserve">ORD-2510</t>
  </si>
  <si>
    <t xml:space="preserve">ORD-2511</t>
  </si>
  <si>
    <t xml:space="preserve">ORD-2512</t>
  </si>
  <si>
    <t xml:space="preserve">ORD-2513</t>
  </si>
  <si>
    <t xml:space="preserve">ORD-2514</t>
  </si>
  <si>
    <t xml:space="preserve">ORD-2515</t>
  </si>
  <si>
    <t xml:space="preserve">ORD-2516</t>
  </si>
  <si>
    <t xml:space="preserve">ORD-2517</t>
  </si>
  <si>
    <t xml:space="preserve">C091</t>
  </si>
  <si>
    <t xml:space="preserve">Suresh Shah</t>
  </si>
  <si>
    <t xml:space="preserve">ORD-2518</t>
  </si>
  <si>
    <t xml:space="preserve">ORD-2519</t>
  </si>
  <si>
    <t xml:space="preserve">ORD-2520</t>
  </si>
  <si>
    <t xml:space="preserve">C151</t>
  </si>
  <si>
    <t xml:space="preserve">Suresh Mehta</t>
  </si>
  <si>
    <t xml:space="preserve">ORD-2521</t>
  </si>
  <si>
    <t xml:space="preserve">ORD-2522</t>
  </si>
  <si>
    <t xml:space="preserve">ORD-2523</t>
  </si>
  <si>
    <t xml:space="preserve">ORD-2524</t>
  </si>
  <si>
    <t xml:space="preserve">ORD-2525</t>
  </si>
  <si>
    <t xml:space="preserve">ORD-2526</t>
  </si>
  <si>
    <t xml:space="preserve">ORD-2527</t>
  </si>
  <si>
    <t xml:space="preserve">ORD-2528</t>
  </si>
  <si>
    <t xml:space="preserve">ORD-2529</t>
  </si>
  <si>
    <t xml:space="preserve">ORD-2530</t>
  </si>
  <si>
    <t xml:space="preserve">ORD-2531</t>
  </si>
  <si>
    <t xml:space="preserve">ORD-2532</t>
  </si>
  <si>
    <t xml:space="preserve">ORD-2533</t>
  </si>
  <si>
    <t xml:space="preserve">ORD-2534</t>
  </si>
  <si>
    <t xml:space="preserve">ORD-2535</t>
  </si>
  <si>
    <t xml:space="preserve">ORD-2536</t>
  </si>
  <si>
    <t xml:space="preserve">C076</t>
  </si>
  <si>
    <t xml:space="preserve">Varun Verma</t>
  </si>
  <si>
    <t xml:space="preserve">ORD-2537</t>
  </si>
  <si>
    <t xml:space="preserve">C038</t>
  </si>
  <si>
    <t xml:space="preserve">Shreya Kapoor</t>
  </si>
  <si>
    <t xml:space="preserve">ORD-2538</t>
  </si>
  <si>
    <t xml:space="preserve">ORD-2539</t>
  </si>
  <si>
    <t xml:space="preserve">ORD-2540</t>
  </si>
  <si>
    <t xml:space="preserve">ORD-2541</t>
  </si>
  <si>
    <t xml:space="preserve">C127</t>
  </si>
  <si>
    <t xml:space="preserve">Deepak Reddy</t>
  </si>
  <si>
    <t xml:space="preserve">ORD-2542</t>
  </si>
  <si>
    <t xml:space="preserve">C220</t>
  </si>
  <si>
    <t xml:space="preserve">Varun Singh</t>
  </si>
  <si>
    <t xml:space="preserve">ORD-2543</t>
  </si>
  <si>
    <t xml:space="preserve">ORD-2544</t>
  </si>
  <si>
    <t xml:space="preserve">ORD-2545</t>
  </si>
  <si>
    <t xml:space="preserve">ORD-2546</t>
  </si>
  <si>
    <t xml:space="preserve">ORD-2547</t>
  </si>
  <si>
    <t xml:space="preserve">ORD-2548</t>
  </si>
  <si>
    <t xml:space="preserve">ORD-2549</t>
  </si>
  <si>
    <t xml:space="preserve">C195</t>
  </si>
  <si>
    <t xml:space="preserve">Rajat Chopra</t>
  </si>
  <si>
    <t xml:space="preserve">ORD-2550</t>
  </si>
  <si>
    <t xml:space="preserve">ORD-2551</t>
  </si>
  <si>
    <t xml:space="preserve">C214</t>
  </si>
  <si>
    <t xml:space="preserve">Isha Nair</t>
  </si>
  <si>
    <t xml:space="preserve">ORD-2552</t>
  </si>
  <si>
    <t xml:space="preserve">ORD-2553</t>
  </si>
  <si>
    <t xml:space="preserve">ORD-2554</t>
  </si>
  <si>
    <t xml:space="preserve">ORD-2555</t>
  </si>
  <si>
    <t xml:space="preserve">ORD-2556</t>
  </si>
  <si>
    <t xml:space="preserve">ORD-2557</t>
  </si>
  <si>
    <t xml:space="preserve">ORD-2558</t>
  </si>
  <si>
    <t xml:space="preserve">ORD-2559</t>
  </si>
  <si>
    <t xml:space="preserve">ORD-2560</t>
  </si>
  <si>
    <t xml:space="preserve">ORD-2561</t>
  </si>
  <si>
    <t xml:space="preserve">ORD-2562</t>
  </si>
  <si>
    <t xml:space="preserve">ORD-2563</t>
  </si>
  <si>
    <t xml:space="preserve">ORD-2564</t>
  </si>
  <si>
    <t xml:space="preserve">ORD-2565</t>
  </si>
  <si>
    <t xml:space="preserve">ORD-2566</t>
  </si>
  <si>
    <t xml:space="preserve">ORD-2567</t>
  </si>
  <si>
    <t xml:space="preserve">ORD-2568</t>
  </si>
  <si>
    <t xml:space="preserve">ORD-2569</t>
  </si>
  <si>
    <t xml:space="preserve">ORD-2570</t>
  </si>
  <si>
    <t xml:space="preserve">ORD-2571</t>
  </si>
  <si>
    <t xml:space="preserve">ORD-2572</t>
  </si>
  <si>
    <t xml:space="preserve">ORD-2573</t>
  </si>
  <si>
    <t xml:space="preserve">ORD-2574</t>
  </si>
  <si>
    <t xml:space="preserve">ORD-2575</t>
  </si>
  <si>
    <t xml:space="preserve">ORD-2576</t>
  </si>
  <si>
    <t xml:space="preserve">ORD-2577</t>
  </si>
  <si>
    <t xml:space="preserve">ORD-2578</t>
  </si>
  <si>
    <t xml:space="preserve">ORD-2579</t>
  </si>
  <si>
    <t xml:space="preserve">ORD-2580</t>
  </si>
  <si>
    <t xml:space="preserve">C152</t>
  </si>
  <si>
    <t xml:space="preserve">Tarun Reddy</t>
  </si>
  <si>
    <t xml:space="preserve">ORD-2581</t>
  </si>
  <si>
    <t xml:space="preserve">ORD-2582</t>
  </si>
  <si>
    <t xml:space="preserve">ORD-2583</t>
  </si>
  <si>
    <t xml:space="preserve">ORD-2584</t>
  </si>
  <si>
    <t xml:space="preserve">ORD-2585</t>
  </si>
  <si>
    <t xml:space="preserve">ORD-2586</t>
  </si>
  <si>
    <t xml:space="preserve">ORD-2587</t>
  </si>
  <si>
    <t xml:space="preserve">ORD-2588</t>
  </si>
  <si>
    <t xml:space="preserve">ORD-2589</t>
  </si>
  <si>
    <t xml:space="preserve">ORD-2590</t>
  </si>
  <si>
    <t xml:space="preserve">ORD-2591</t>
  </si>
  <si>
    <t xml:space="preserve">ORD-2592</t>
  </si>
  <si>
    <t xml:space="preserve">ORD-2593</t>
  </si>
  <si>
    <t xml:space="preserve">ORD-2594</t>
  </si>
  <si>
    <t xml:space="preserve">ORD-2595</t>
  </si>
  <si>
    <t xml:space="preserve">C086</t>
  </si>
  <si>
    <t xml:space="preserve">Suresh Kapoor</t>
  </si>
  <si>
    <t xml:space="preserve">ORD-2596</t>
  </si>
  <si>
    <t xml:space="preserve">ORD-2597</t>
  </si>
  <si>
    <t xml:space="preserve">ORD-2598</t>
  </si>
  <si>
    <t xml:space="preserve">ORD-2599</t>
  </si>
  <si>
    <t xml:space="preserve">ORD-2600</t>
  </si>
  <si>
    <t xml:space="preserve">ORD-2601</t>
  </si>
  <si>
    <t xml:space="preserve">ORD-2602</t>
  </si>
  <si>
    <t xml:space="preserve">ORD-2603</t>
  </si>
  <si>
    <t xml:space="preserve">ORD-2604</t>
  </si>
  <si>
    <t xml:space="preserve">ORD-2605</t>
  </si>
  <si>
    <t xml:space="preserve">ORD-2606</t>
  </si>
  <si>
    <t xml:space="preserve">ORD-2607</t>
  </si>
  <si>
    <t xml:space="preserve">ORD-2608</t>
  </si>
  <si>
    <t xml:space="preserve">ORD-2609</t>
  </si>
  <si>
    <t xml:space="preserve">ORD-2610</t>
  </si>
  <si>
    <t xml:space="preserve">ORD-2611</t>
  </si>
  <si>
    <t xml:space="preserve">ORD-2612</t>
  </si>
  <si>
    <t xml:space="preserve">ORD-2613</t>
  </si>
  <si>
    <t xml:space="preserve">ORD-2614</t>
  </si>
  <si>
    <t xml:space="preserve">ORD-2615</t>
  </si>
  <si>
    <t xml:space="preserve">ORD-2616</t>
  </si>
  <si>
    <t xml:space="preserve">ORD-2617</t>
  </si>
  <si>
    <t xml:space="preserve">C150</t>
  </si>
  <si>
    <t xml:space="preserve">Meera Gupta</t>
  </si>
  <si>
    <t xml:space="preserve">ORD-2618</t>
  </si>
  <si>
    <t xml:space="preserve">ORD-2619</t>
  </si>
  <si>
    <t xml:space="preserve">ORD-2620</t>
  </si>
  <si>
    <t xml:space="preserve">ORD-2621</t>
  </si>
  <si>
    <t xml:space="preserve">ORD-2622</t>
  </si>
  <si>
    <t xml:space="preserve">ORD-2623</t>
  </si>
  <si>
    <t xml:space="preserve">ORD-2624</t>
  </si>
  <si>
    <t xml:space="preserve">ORD-2625</t>
  </si>
  <si>
    <t xml:space="preserve">ORD-2626</t>
  </si>
  <si>
    <t xml:space="preserve">ORD-2627</t>
  </si>
  <si>
    <t xml:space="preserve">ORD-2628</t>
  </si>
  <si>
    <t xml:space="preserve">ORD-2629</t>
  </si>
  <si>
    <t xml:space="preserve">ORD-2630</t>
  </si>
  <si>
    <t xml:space="preserve">ORD-2631</t>
  </si>
  <si>
    <t xml:space="preserve">ORD-2632</t>
  </si>
  <si>
    <t xml:space="preserve">ORD-2633</t>
  </si>
  <si>
    <t xml:space="preserve">ORD-2634</t>
  </si>
  <si>
    <t xml:space="preserve">ORD-2635</t>
  </si>
  <si>
    <t xml:space="preserve">ORD-2636</t>
  </si>
  <si>
    <t xml:space="preserve">ORD-2637</t>
  </si>
  <si>
    <t xml:space="preserve">ORD-2638</t>
  </si>
  <si>
    <t xml:space="preserve">ORD-2639</t>
  </si>
  <si>
    <t xml:space="preserve">C062</t>
  </si>
  <si>
    <t xml:space="preserve">Neha Gupta</t>
  </si>
  <si>
    <t xml:space="preserve">ORD-2640</t>
  </si>
  <si>
    <t xml:space="preserve">ORD-2641</t>
  </si>
  <si>
    <t xml:space="preserve">ORD-2642</t>
  </si>
  <si>
    <t xml:space="preserve">ORD-2643</t>
  </si>
  <si>
    <t xml:space="preserve">ORD-2644</t>
  </si>
  <si>
    <t xml:space="preserve">ORD-2645</t>
  </si>
  <si>
    <t xml:space="preserve">ORD-2646</t>
  </si>
  <si>
    <t xml:space="preserve">ORD-2647</t>
  </si>
  <si>
    <t xml:space="preserve">ORD-2648</t>
  </si>
  <si>
    <t xml:space="preserve">ORD-2649</t>
  </si>
  <si>
    <t xml:space="preserve">C128</t>
  </si>
  <si>
    <t xml:space="preserve">Tanvi Singh</t>
  </si>
  <si>
    <t xml:space="preserve">ORD-2650</t>
  </si>
  <si>
    <t xml:space="preserve">ORD-2651</t>
  </si>
  <si>
    <t xml:space="preserve">ORD-2652</t>
  </si>
  <si>
    <t xml:space="preserve">ORD-2653</t>
  </si>
  <si>
    <t xml:space="preserve">ORD-2654</t>
  </si>
  <si>
    <t xml:space="preserve">ORD-2655</t>
  </si>
  <si>
    <t xml:space="preserve">ORD-2656</t>
  </si>
  <si>
    <t xml:space="preserve">ORD-2657</t>
  </si>
  <si>
    <t xml:space="preserve">ORD-2658</t>
  </si>
  <si>
    <t xml:space="preserve">ORD-2659</t>
  </si>
  <si>
    <t xml:space="preserve">ORD-2660</t>
  </si>
  <si>
    <t xml:space="preserve">ORD-2661</t>
  </si>
  <si>
    <t xml:space="preserve">ORD-2662</t>
  </si>
  <si>
    <t xml:space="preserve">ORD-2663</t>
  </si>
  <si>
    <t xml:space="preserve">ORD-2664</t>
  </si>
  <si>
    <t xml:space="preserve">ORD-2665</t>
  </si>
  <si>
    <t xml:space="preserve">ORD-2666</t>
  </si>
  <si>
    <t xml:space="preserve">ORD-2667</t>
  </si>
  <si>
    <t xml:space="preserve">ORD-2668</t>
  </si>
  <si>
    <t xml:space="preserve">ORD-2669</t>
  </si>
  <si>
    <t xml:space="preserve">ORD-2670</t>
  </si>
  <si>
    <t xml:space="preserve">ORD-2671</t>
  </si>
  <si>
    <t xml:space="preserve">ORD-2672</t>
  </si>
  <si>
    <t xml:space="preserve">ORD-2673</t>
  </si>
  <si>
    <t xml:space="preserve">ORD-2674</t>
  </si>
  <si>
    <t xml:space="preserve">ORD-2675</t>
  </si>
  <si>
    <t xml:space="preserve">ORD-2676</t>
  </si>
  <si>
    <t xml:space="preserve">ORD-2677</t>
  </si>
  <si>
    <t xml:space="preserve">ORD-2678</t>
  </si>
  <si>
    <t xml:space="preserve">ORD-2679</t>
  </si>
  <si>
    <t xml:space="preserve">ORD-2680</t>
  </si>
  <si>
    <t xml:space="preserve">ORD-2681</t>
  </si>
  <si>
    <t xml:space="preserve">ORD-2682</t>
  </si>
  <si>
    <t xml:space="preserve">ORD-2683</t>
  </si>
  <si>
    <t xml:space="preserve">ORD-2684</t>
  </si>
  <si>
    <t xml:space="preserve">C138</t>
  </si>
  <si>
    <t xml:space="preserve">Sneha Saxena</t>
  </si>
  <si>
    <t xml:space="preserve">ORD-2685</t>
  </si>
  <si>
    <t xml:space="preserve">ORD-2686</t>
  </si>
  <si>
    <t xml:space="preserve">ORD-2687</t>
  </si>
  <si>
    <t xml:space="preserve">ORD-2688</t>
  </si>
  <si>
    <t xml:space="preserve">ORD-2689</t>
  </si>
  <si>
    <t xml:space="preserve">ORD-2690</t>
  </si>
  <si>
    <t xml:space="preserve">ORD-2691</t>
  </si>
  <si>
    <t xml:space="preserve">ORD-2692</t>
  </si>
  <si>
    <t xml:space="preserve">ORD-2693</t>
  </si>
  <si>
    <t xml:space="preserve">ORD-2694</t>
  </si>
  <si>
    <t xml:space="preserve">ORD-2695</t>
  </si>
  <si>
    <t xml:space="preserve">ORD-2696</t>
  </si>
  <si>
    <t xml:space="preserve">ORD-2697</t>
  </si>
  <si>
    <t xml:space="preserve">ORD-2698</t>
  </si>
  <si>
    <t xml:space="preserve">ORD-2699</t>
  </si>
  <si>
    <t xml:space="preserve">ORD-2700</t>
  </si>
  <si>
    <t xml:space="preserve">ORD-2701</t>
  </si>
  <si>
    <t xml:space="preserve">ORD-2702</t>
  </si>
  <si>
    <t xml:space="preserve">ORD-2703</t>
  </si>
  <si>
    <t xml:space="preserve">ORD-2704</t>
  </si>
  <si>
    <t xml:space="preserve">ORD-2705</t>
  </si>
  <si>
    <t xml:space="preserve">ORD-2706</t>
  </si>
  <si>
    <t xml:space="preserve">ORD-2707</t>
  </si>
  <si>
    <t xml:space="preserve">ORD-2708</t>
  </si>
  <si>
    <t xml:space="preserve">ORD-2709</t>
  </si>
  <si>
    <t xml:space="preserve">ORD-2710</t>
  </si>
  <si>
    <t xml:space="preserve">ORD-2711</t>
  </si>
  <si>
    <t xml:space="preserve">ORD-2712</t>
  </si>
  <si>
    <t xml:space="preserve">ORD-2713</t>
  </si>
  <si>
    <t xml:space="preserve">ORD-2714</t>
  </si>
  <si>
    <t xml:space="preserve">ORD-2715</t>
  </si>
  <si>
    <t xml:space="preserve">ORD-2716</t>
  </si>
  <si>
    <t xml:space="preserve">C136</t>
  </si>
  <si>
    <t xml:space="preserve">Varun Menon</t>
  </si>
  <si>
    <t xml:space="preserve">ORD-2717</t>
  </si>
  <si>
    <t xml:space="preserve">ORD-2718</t>
  </si>
  <si>
    <t xml:space="preserve">ORD-2719</t>
  </si>
  <si>
    <t xml:space="preserve">ORD-2720</t>
  </si>
  <si>
    <t xml:space="preserve">ORD-2721</t>
  </si>
  <si>
    <t xml:space="preserve">ORD-2722</t>
  </si>
  <si>
    <t xml:space="preserve">ORD-2723</t>
  </si>
  <si>
    <t xml:space="preserve">ORD-2724</t>
  </si>
  <si>
    <t xml:space="preserve">C010</t>
  </si>
  <si>
    <t xml:space="preserve">Zoya Das</t>
  </si>
  <si>
    <t xml:space="preserve">ORD-2725</t>
  </si>
  <si>
    <t xml:space="preserve">ORD-2726</t>
  </si>
  <si>
    <t xml:space="preserve">ORD-2727</t>
  </si>
  <si>
    <t xml:space="preserve">ORD-2728</t>
  </si>
  <si>
    <t xml:space="preserve">ORD-2729</t>
  </si>
  <si>
    <t xml:space="preserve">ORD-2730</t>
  </si>
  <si>
    <t xml:space="preserve">ORD-2731</t>
  </si>
  <si>
    <t xml:space="preserve">ORD-2732</t>
  </si>
  <si>
    <t xml:space="preserve">ORD-2733</t>
  </si>
  <si>
    <t xml:space="preserve">ORD-2734</t>
  </si>
  <si>
    <t xml:space="preserve">ORD-2735</t>
  </si>
  <si>
    <t xml:space="preserve">ORD-2736</t>
  </si>
  <si>
    <t xml:space="preserve">ORD-2737</t>
  </si>
  <si>
    <t xml:space="preserve">ORD-2738</t>
  </si>
  <si>
    <t xml:space="preserve">ORD-2739</t>
  </si>
  <si>
    <t xml:space="preserve">ORD-2740</t>
  </si>
  <si>
    <t xml:space="preserve">ORD-2741</t>
  </si>
  <si>
    <t xml:space="preserve">ORD-2742</t>
  </si>
  <si>
    <t xml:space="preserve">C189</t>
  </si>
  <si>
    <t xml:space="preserve">Arjun Kumar</t>
  </si>
  <si>
    <t xml:space="preserve">ORD-2743</t>
  </si>
  <si>
    <t xml:space="preserve">ORD-2744</t>
  </si>
  <si>
    <t xml:space="preserve">ORD-2745</t>
  </si>
  <si>
    <t xml:space="preserve">ORD-2746</t>
  </si>
  <si>
    <t xml:space="preserve">ORD-2747</t>
  </si>
  <si>
    <t xml:space="preserve">ORD-2748</t>
  </si>
  <si>
    <t xml:space="preserve">ORD-2749</t>
  </si>
  <si>
    <t xml:space="preserve">ORD-2750</t>
  </si>
  <si>
    <t xml:space="preserve">ORD-2751</t>
  </si>
  <si>
    <t xml:space="preserve">ORD-2752</t>
  </si>
  <si>
    <t xml:space="preserve">ORD-2753</t>
  </si>
  <si>
    <t xml:space="preserve">ORD-2754</t>
  </si>
  <si>
    <t xml:space="preserve">ORD-2755</t>
  </si>
  <si>
    <t xml:space="preserve">ORD-2756</t>
  </si>
  <si>
    <t xml:space="preserve">ORD-2757</t>
  </si>
  <si>
    <t xml:space="preserve">ORD-2758</t>
  </si>
  <si>
    <t xml:space="preserve">ORD-2759</t>
  </si>
  <si>
    <t xml:space="preserve">ORD-2760</t>
  </si>
  <si>
    <t xml:space="preserve">ORD-2761</t>
  </si>
  <si>
    <t xml:space="preserve">ORD-2762</t>
  </si>
  <si>
    <t xml:space="preserve">ORD-2763</t>
  </si>
  <si>
    <t xml:space="preserve">ORD-2764</t>
  </si>
  <si>
    <t xml:space="preserve">ORD-2765</t>
  </si>
  <si>
    <t xml:space="preserve">ORD-2766</t>
  </si>
  <si>
    <t xml:space="preserve">ORD-2767</t>
  </si>
  <si>
    <t xml:space="preserve">ORD-2768</t>
  </si>
  <si>
    <t xml:space="preserve">ORD-2769</t>
  </si>
  <si>
    <t xml:space="preserve">ORD-2770</t>
  </si>
  <si>
    <t xml:space="preserve">ORD-2771</t>
  </si>
  <si>
    <t xml:space="preserve">ORD-2772</t>
  </si>
  <si>
    <t xml:space="preserve">ORD-2773</t>
  </si>
  <si>
    <t xml:space="preserve">ORD-2774</t>
  </si>
  <si>
    <t xml:space="preserve">ORD-2775</t>
  </si>
  <si>
    <t xml:space="preserve">C217</t>
  </si>
  <si>
    <t xml:space="preserve">Sanjay Verma</t>
  </si>
  <si>
    <t xml:space="preserve">ORD-2776</t>
  </si>
  <si>
    <t xml:space="preserve">ORD-2777</t>
  </si>
  <si>
    <t xml:space="preserve">ORD-2778</t>
  </si>
  <si>
    <t xml:space="preserve">ORD-2779</t>
  </si>
  <si>
    <t xml:space="preserve">ORD-2780</t>
  </si>
  <si>
    <t xml:space="preserve">ORD-2781</t>
  </si>
  <si>
    <t xml:space="preserve">ORD-2782</t>
  </si>
  <si>
    <t xml:space="preserve">ORD-2783</t>
  </si>
  <si>
    <t xml:space="preserve">ORD-2784</t>
  </si>
  <si>
    <t xml:space="preserve">ORD-2785</t>
  </si>
  <si>
    <t xml:space="preserve">ORD-2786</t>
  </si>
  <si>
    <t xml:space="preserve">ORD-2787</t>
  </si>
  <si>
    <t xml:space="preserve">ORD-2788</t>
  </si>
  <si>
    <t xml:space="preserve">ORD-2789</t>
  </si>
  <si>
    <t xml:space="preserve">ORD-2790</t>
  </si>
  <si>
    <t xml:space="preserve">ORD-2791</t>
  </si>
  <si>
    <t xml:space="preserve">ORD-2792</t>
  </si>
  <si>
    <t xml:space="preserve">ORD-2793</t>
  </si>
  <si>
    <t xml:space="preserve">ORD-2794</t>
  </si>
  <si>
    <t xml:space="preserve">ORD-2795</t>
  </si>
  <si>
    <t xml:space="preserve">ORD-2796</t>
  </si>
  <si>
    <t xml:space="preserve">ORD-2797</t>
  </si>
  <si>
    <t xml:space="preserve">ORD-2798</t>
  </si>
  <si>
    <t xml:space="preserve">ORD-2799</t>
  </si>
  <si>
    <t xml:space="preserve">ORD-2800</t>
  </si>
  <si>
    <t xml:space="preserve">ORD-2801</t>
  </si>
  <si>
    <t xml:space="preserve">ORD-2802</t>
  </si>
  <si>
    <t xml:space="preserve">ORD-2803</t>
  </si>
  <si>
    <t xml:space="preserve">ORD-2804</t>
  </si>
  <si>
    <t xml:space="preserve">ORD-2805</t>
  </si>
  <si>
    <t xml:space="preserve">C165</t>
  </si>
  <si>
    <t xml:space="preserve">Tarun Bhatt</t>
  </si>
  <si>
    <t xml:space="preserve">ORD-2806</t>
  </si>
  <si>
    <t xml:space="preserve">C066</t>
  </si>
  <si>
    <t xml:space="preserve">Arjun Kapoor</t>
  </si>
  <si>
    <t xml:space="preserve">ORD-2807</t>
  </si>
  <si>
    <t xml:space="preserve">ORD-2808</t>
  </si>
  <si>
    <t xml:space="preserve">ORD-2809</t>
  </si>
  <si>
    <t xml:space="preserve">ORD-2810</t>
  </si>
  <si>
    <t xml:space="preserve">ORD-2811</t>
  </si>
  <si>
    <t xml:space="preserve">ORD-2812</t>
  </si>
  <si>
    <t xml:space="preserve">ORD-2813</t>
  </si>
  <si>
    <t xml:space="preserve">ORD-2814</t>
  </si>
  <si>
    <t xml:space="preserve">ORD-2815</t>
  </si>
  <si>
    <t xml:space="preserve">ORD-2816</t>
  </si>
  <si>
    <t xml:space="preserve">ORD-2817</t>
  </si>
  <si>
    <t xml:space="preserve">C088</t>
  </si>
  <si>
    <t xml:space="preserve">Arjun Menon</t>
  </si>
  <si>
    <t xml:space="preserve">ORD-2818</t>
  </si>
  <si>
    <t xml:space="preserve">ORD-2819</t>
  </si>
  <si>
    <t xml:space="preserve">ORD-2820</t>
  </si>
  <si>
    <t xml:space="preserve">ORD-2821</t>
  </si>
  <si>
    <t xml:space="preserve">ORD-2822</t>
  </si>
  <si>
    <t xml:space="preserve">ORD-2823</t>
  </si>
  <si>
    <t xml:space="preserve">ORD-2824</t>
  </si>
  <si>
    <t xml:space="preserve">ORD-2825</t>
  </si>
  <si>
    <t xml:space="preserve">ORD-2826</t>
  </si>
  <si>
    <t xml:space="preserve">ORD-2827</t>
  </si>
  <si>
    <t xml:space="preserve">ORD-2828</t>
  </si>
  <si>
    <t xml:space="preserve">ORD-2829</t>
  </si>
  <si>
    <t xml:space="preserve">ORD-2830</t>
  </si>
  <si>
    <t xml:space="preserve">ORD-2831</t>
  </si>
  <si>
    <t xml:space="preserve">ORD-2832</t>
  </si>
  <si>
    <t xml:space="preserve">ORD-2833</t>
  </si>
  <si>
    <t xml:space="preserve">ORD-2834</t>
  </si>
  <si>
    <t xml:space="preserve">ORD-2835</t>
  </si>
  <si>
    <t xml:space="preserve">ORD-2836</t>
  </si>
  <si>
    <t xml:space="preserve">ORD-2837</t>
  </si>
  <si>
    <t xml:space="preserve">ORD-2838</t>
  </si>
  <si>
    <t xml:space="preserve">ORD-2839</t>
  </si>
  <si>
    <t xml:space="preserve">ORD-2840</t>
  </si>
  <si>
    <t xml:space="preserve">ORD-2841</t>
  </si>
  <si>
    <t xml:space="preserve">ORD-2842</t>
  </si>
  <si>
    <t xml:space="preserve">ORD-2843</t>
  </si>
  <si>
    <t xml:space="preserve">ORD-2844</t>
  </si>
  <si>
    <t xml:space="preserve">ORD-2845</t>
  </si>
  <si>
    <t xml:space="preserve">ORD-2846</t>
  </si>
  <si>
    <t xml:space="preserve">ORD-2847</t>
  </si>
  <si>
    <t xml:space="preserve">ORD-2848</t>
  </si>
  <si>
    <t xml:space="preserve">ORD-2849</t>
  </si>
  <si>
    <t xml:space="preserve">ORD-2850</t>
  </si>
  <si>
    <t xml:space="preserve">ORD-2851</t>
  </si>
  <si>
    <t xml:space="preserve">ORD-2852</t>
  </si>
  <si>
    <t xml:space="preserve">ORD-2853</t>
  </si>
  <si>
    <t xml:space="preserve">ORD-2854</t>
  </si>
  <si>
    <t xml:space="preserve">ORD-2855</t>
  </si>
  <si>
    <t xml:space="preserve">ORD-2856</t>
  </si>
  <si>
    <t xml:space="preserve">ORD-2857</t>
  </si>
  <si>
    <t xml:space="preserve">ORD-2858</t>
  </si>
  <si>
    <t xml:space="preserve">ORD-2859</t>
  </si>
  <si>
    <t xml:space="preserve">ORD-2860</t>
  </si>
  <si>
    <t xml:space="preserve">ORD-2861</t>
  </si>
  <si>
    <t xml:space="preserve">ORD-2862</t>
  </si>
  <si>
    <t xml:space="preserve">ORD-2863</t>
  </si>
  <si>
    <t xml:space="preserve">ORD-2864</t>
  </si>
  <si>
    <t xml:space="preserve">ORD-2865</t>
  </si>
  <si>
    <t xml:space="preserve">ORD-2866</t>
  </si>
  <si>
    <t xml:space="preserve">ORD-2867</t>
  </si>
  <si>
    <t xml:space="preserve">ORD-2868</t>
  </si>
  <si>
    <t xml:space="preserve">ORD-2869</t>
  </si>
  <si>
    <t xml:space="preserve">ORD-2870</t>
  </si>
  <si>
    <t xml:space="preserve">ORD-2871</t>
  </si>
  <si>
    <t xml:space="preserve">ORD-2872</t>
  </si>
  <si>
    <t xml:space="preserve">ORD-2873</t>
  </si>
  <si>
    <t xml:space="preserve">ORD-2874</t>
  </si>
  <si>
    <t xml:space="preserve">ORD-2875</t>
  </si>
  <si>
    <t xml:space="preserve">ORD-2876</t>
  </si>
  <si>
    <t xml:space="preserve">ORD-2877</t>
  </si>
  <si>
    <t xml:space="preserve">ORD-2878</t>
  </si>
  <si>
    <t xml:space="preserve">ORD-2879</t>
  </si>
  <si>
    <t xml:space="preserve">ORD-2880</t>
  </si>
  <si>
    <t xml:space="preserve">ORD-2881</t>
  </si>
  <si>
    <t xml:space="preserve">ORD-2882</t>
  </si>
  <si>
    <t xml:space="preserve">ORD-2883</t>
  </si>
  <si>
    <t xml:space="preserve">ORD-2884</t>
  </si>
  <si>
    <t xml:space="preserve">ORD-2885</t>
  </si>
  <si>
    <t xml:space="preserve">ORD-2886</t>
  </si>
  <si>
    <t xml:space="preserve">ORD-2887</t>
  </si>
  <si>
    <t xml:space="preserve">ORD-2888</t>
  </si>
  <si>
    <t xml:space="preserve">ORD-2889</t>
  </si>
  <si>
    <t xml:space="preserve">C033</t>
  </si>
  <si>
    <t xml:space="preserve">Neha Nair</t>
  </si>
  <si>
    <t xml:space="preserve">ORD-2890</t>
  </si>
  <si>
    <t xml:space="preserve">ORD-2891</t>
  </si>
  <si>
    <t xml:space="preserve">ORD-2892</t>
  </si>
  <si>
    <t xml:space="preserve">ORD-2893</t>
  </si>
  <si>
    <t xml:space="preserve">ORD-2894</t>
  </si>
  <si>
    <t xml:space="preserve">ORD-2895</t>
  </si>
  <si>
    <t xml:space="preserve">ORD-2896</t>
  </si>
  <si>
    <t xml:space="preserve">ORD-2897</t>
  </si>
  <si>
    <t xml:space="preserve">C144</t>
  </si>
  <si>
    <t xml:space="preserve">Kavya Joshi</t>
  </si>
  <si>
    <t xml:space="preserve">ORD-2898</t>
  </si>
  <si>
    <t xml:space="preserve">ORD-2899</t>
  </si>
  <si>
    <t xml:space="preserve">ORD-2900</t>
  </si>
  <si>
    <t xml:space="preserve">ORD-2901</t>
  </si>
  <si>
    <t xml:space="preserve">ORD-2902</t>
  </si>
  <si>
    <t xml:space="preserve">ORD-2903</t>
  </si>
  <si>
    <t xml:space="preserve">ORD-2904</t>
  </si>
  <si>
    <t xml:space="preserve">ORD-2905</t>
  </si>
  <si>
    <t xml:space="preserve">ORD-2906</t>
  </si>
  <si>
    <t xml:space="preserve">ORD-2907</t>
  </si>
  <si>
    <t xml:space="preserve">ORD-2908</t>
  </si>
  <si>
    <t xml:space="preserve">ORD-2909</t>
  </si>
  <si>
    <t xml:space="preserve">ORD-2910</t>
  </si>
  <si>
    <t xml:space="preserve">ORD-2911</t>
  </si>
  <si>
    <t xml:space="preserve">ORD-2912</t>
  </si>
  <si>
    <t xml:space="preserve">ORD-2913</t>
  </si>
  <si>
    <t xml:space="preserve">ORD-2914</t>
  </si>
  <si>
    <t xml:space="preserve">ORD-2915</t>
  </si>
  <si>
    <t xml:space="preserve">ORD-2916</t>
  </si>
  <si>
    <t xml:space="preserve">ORD-2917</t>
  </si>
  <si>
    <t xml:space="preserve">ORD-2918</t>
  </si>
  <si>
    <t xml:space="preserve">ORD-2919</t>
  </si>
  <si>
    <t xml:space="preserve">ORD-2920</t>
  </si>
  <si>
    <t xml:space="preserve">ORD-2921</t>
  </si>
  <si>
    <t xml:space="preserve">ORD-2922</t>
  </si>
  <si>
    <t xml:space="preserve">ORD-2923</t>
  </si>
  <si>
    <t xml:space="preserve">C119</t>
  </si>
  <si>
    <t xml:space="preserve">Aarav Nair</t>
  </si>
  <si>
    <t xml:space="preserve">ORD-2924</t>
  </si>
  <si>
    <t xml:space="preserve">ORD-2925</t>
  </si>
  <si>
    <t xml:space="preserve">ORD-2926</t>
  </si>
  <si>
    <t xml:space="preserve">ORD-2927</t>
  </si>
  <si>
    <t xml:space="preserve">ORD-2928</t>
  </si>
  <si>
    <t xml:space="preserve">ORD-2929</t>
  </si>
  <si>
    <t xml:space="preserve">ORD-2930</t>
  </si>
  <si>
    <t xml:space="preserve">C023</t>
  </si>
  <si>
    <t xml:space="preserve">Sanjay Saxena</t>
  </si>
  <si>
    <t xml:space="preserve">ORD-2931</t>
  </si>
  <si>
    <t xml:space="preserve">ORD-2932</t>
  </si>
  <si>
    <t xml:space="preserve">ORD-2933</t>
  </si>
  <si>
    <t xml:space="preserve">ORD-2934</t>
  </si>
  <si>
    <t xml:space="preserve">ORD-2935</t>
  </si>
  <si>
    <t xml:space="preserve">ORD-2936</t>
  </si>
  <si>
    <t xml:space="preserve">ORD-2937</t>
  </si>
  <si>
    <t xml:space="preserve">ORD-2938</t>
  </si>
  <si>
    <t xml:space="preserve">ORD-2939</t>
  </si>
  <si>
    <t xml:space="preserve">ORD-2940</t>
  </si>
  <si>
    <t xml:space="preserve">ORD-2941</t>
  </si>
  <si>
    <t xml:space="preserve">ORD-2942</t>
  </si>
  <si>
    <t xml:space="preserve">ORD-2943</t>
  </si>
  <si>
    <t xml:space="preserve">ORD-2944</t>
  </si>
  <si>
    <t xml:space="preserve">ORD-2945</t>
  </si>
  <si>
    <t xml:space="preserve">ORD-2946</t>
  </si>
  <si>
    <t xml:space="preserve">ORD-2947</t>
  </si>
  <si>
    <t xml:space="preserve">ORD-2948</t>
  </si>
  <si>
    <t xml:space="preserve">ORD-2949</t>
  </si>
  <si>
    <t xml:space="preserve">ORD-2950</t>
  </si>
  <si>
    <t xml:space="preserve">ORD-2951</t>
  </si>
  <si>
    <t xml:space="preserve">ORD-2952</t>
  </si>
  <si>
    <t xml:space="preserve">ORD-2953</t>
  </si>
  <si>
    <t xml:space="preserve">ORD-2954</t>
  </si>
  <si>
    <t xml:space="preserve">ORD-2955</t>
  </si>
  <si>
    <t xml:space="preserve">ORD-2956</t>
  </si>
  <si>
    <t xml:space="preserve">ORD-2957</t>
  </si>
  <si>
    <t xml:space="preserve">P040</t>
  </si>
  <si>
    <t xml:space="preserve">Ceramic Mug Set</t>
  </si>
  <si>
    <t xml:space="preserve">ORD-2958</t>
  </si>
  <si>
    <t xml:space="preserve">ORD-2959</t>
  </si>
  <si>
    <t xml:space="preserve">ORD-2960</t>
  </si>
  <si>
    <t xml:space="preserve">ORD-2961</t>
  </si>
  <si>
    <t xml:space="preserve">ORD-2962</t>
  </si>
  <si>
    <t xml:space="preserve">ORD-2963</t>
  </si>
  <si>
    <t xml:space="preserve">ORD-2964</t>
  </si>
  <si>
    <t xml:space="preserve">ORD-2965</t>
  </si>
  <si>
    <t xml:space="preserve">ORD-2966</t>
  </si>
  <si>
    <t xml:space="preserve">ORD-2967</t>
  </si>
  <si>
    <t xml:space="preserve">ORD-2968</t>
  </si>
  <si>
    <t xml:space="preserve">ORD-2969</t>
  </si>
  <si>
    <t xml:space="preserve">ORD-2970</t>
  </si>
  <si>
    <t xml:space="preserve">ORD-2971</t>
  </si>
  <si>
    <t xml:space="preserve">ORD-2972</t>
  </si>
  <si>
    <t xml:space="preserve">ORD-2973</t>
  </si>
  <si>
    <t xml:space="preserve">ORD-2974</t>
  </si>
  <si>
    <t xml:space="preserve">ORD-2975</t>
  </si>
  <si>
    <t xml:space="preserve">ORD-2976</t>
  </si>
  <si>
    <t xml:space="preserve">C208</t>
  </si>
  <si>
    <t xml:space="preserve">Anjali Kumar</t>
  </si>
  <si>
    <t xml:space="preserve">ORD-2977</t>
  </si>
  <si>
    <t xml:space="preserve">ORD-2978</t>
  </si>
  <si>
    <t xml:space="preserve">ORD-2979</t>
  </si>
  <si>
    <t xml:space="preserve">ORD-2980</t>
  </si>
  <si>
    <t xml:space="preserve">ORD-2981</t>
  </si>
  <si>
    <t xml:space="preserve">ORD-2982</t>
  </si>
  <si>
    <t xml:space="preserve">ORD-2983</t>
  </si>
  <si>
    <t xml:space="preserve">C055</t>
  </si>
  <si>
    <t xml:space="preserve">Harsh Iyer</t>
  </si>
  <si>
    <t xml:space="preserve">ORD-2984</t>
  </si>
  <si>
    <t xml:space="preserve">ORD-2985</t>
  </si>
  <si>
    <t xml:space="preserve">ORD-2986</t>
  </si>
  <si>
    <t xml:space="preserve">ORD-2987</t>
  </si>
  <si>
    <t xml:space="preserve">ORD-2988</t>
  </si>
  <si>
    <t xml:space="preserve">ORD-2989</t>
  </si>
  <si>
    <t xml:space="preserve">ORD-2990</t>
  </si>
  <si>
    <t xml:space="preserve">ORD-2991</t>
  </si>
  <si>
    <t xml:space="preserve">ORD-2992</t>
  </si>
  <si>
    <t xml:space="preserve">ORD-2993</t>
  </si>
  <si>
    <t xml:space="preserve">ORD-2994</t>
  </si>
  <si>
    <t xml:space="preserve">ORD-2995</t>
  </si>
  <si>
    <t xml:space="preserve">ORD-2996</t>
  </si>
  <si>
    <t xml:space="preserve">ORD-2997</t>
  </si>
  <si>
    <t xml:space="preserve">ORD-2998</t>
  </si>
  <si>
    <t xml:space="preserve">ORD-2999</t>
  </si>
  <si>
    <t xml:space="preserve">ORD-3000</t>
  </si>
  <si>
    <t xml:space="preserve">ORD-3001</t>
  </si>
  <si>
    <t xml:space="preserve">ORD-3002</t>
  </si>
  <si>
    <t xml:space="preserve">ORD-3003</t>
  </si>
  <si>
    <t xml:space="preserve">ORD-3004</t>
  </si>
  <si>
    <t xml:space="preserve">ORD-3005</t>
  </si>
  <si>
    <t xml:space="preserve">ORD-3006</t>
  </si>
  <si>
    <t xml:space="preserve">ORD-3007</t>
  </si>
  <si>
    <t xml:space="preserve">ORD-3008</t>
  </si>
  <si>
    <t xml:space="preserve">C044</t>
  </si>
  <si>
    <t xml:space="preserve">Varun Kumar</t>
  </si>
  <si>
    <t xml:space="preserve">ORD-3009</t>
  </si>
  <si>
    <t xml:space="preserve">ORD-3010</t>
  </si>
  <si>
    <t xml:space="preserve">ORD-3011</t>
  </si>
  <si>
    <t xml:space="preserve">ORD-3012</t>
  </si>
  <si>
    <t xml:space="preserve">ORD-3013</t>
  </si>
  <si>
    <t xml:space="preserve">ORD-3014</t>
  </si>
  <si>
    <t xml:space="preserve">ORD-3015</t>
  </si>
  <si>
    <t xml:space="preserve">ORD-3016</t>
  </si>
  <si>
    <t xml:space="preserve">ORD-3017</t>
  </si>
  <si>
    <t xml:space="preserve">ORD-3018</t>
  </si>
  <si>
    <t xml:space="preserve">ORD-3019</t>
  </si>
  <si>
    <t xml:space="preserve">ORD-3020</t>
  </si>
  <si>
    <t xml:space="preserve">ORD-3021</t>
  </si>
  <si>
    <t xml:space="preserve">ORD-3022</t>
  </si>
  <si>
    <t xml:space="preserve">ORD-3023</t>
  </si>
  <si>
    <t xml:space="preserve">ORD-3024</t>
  </si>
  <si>
    <t xml:space="preserve">ORD-3025</t>
  </si>
  <si>
    <t xml:space="preserve">ORD-3026</t>
  </si>
  <si>
    <t xml:space="preserve">ORD-3027</t>
  </si>
  <si>
    <t xml:space="preserve">ORD-3028</t>
  </si>
  <si>
    <t xml:space="preserve">ORD-3029</t>
  </si>
  <si>
    <t xml:space="preserve">ORD-3030</t>
  </si>
  <si>
    <t xml:space="preserve">ORD-3031</t>
  </si>
  <si>
    <t xml:space="preserve">ORD-3032</t>
  </si>
  <si>
    <t xml:space="preserve">ORD-3033</t>
  </si>
  <si>
    <t xml:space="preserve">ORD-3034</t>
  </si>
  <si>
    <t xml:space="preserve">ORD-3035</t>
  </si>
  <si>
    <t xml:space="preserve">ORD-3036</t>
  </si>
  <si>
    <t xml:space="preserve">ORD-3037</t>
  </si>
  <si>
    <t xml:space="preserve">ORD-3038</t>
  </si>
  <si>
    <t xml:space="preserve">ORD-3039</t>
  </si>
  <si>
    <t xml:space="preserve">ORD-3040</t>
  </si>
  <si>
    <t xml:space="preserve">ORD-3041</t>
  </si>
  <si>
    <t xml:space="preserve">ORD-3042</t>
  </si>
  <si>
    <t xml:space="preserve">ORD-3043</t>
  </si>
  <si>
    <t xml:space="preserve">ORD-3044</t>
  </si>
  <si>
    <t xml:space="preserve">ORD-3045</t>
  </si>
  <si>
    <t xml:space="preserve">ORD-3046</t>
  </si>
  <si>
    <t xml:space="preserve">ORD-3047</t>
  </si>
  <si>
    <t xml:space="preserve">ORD-3048</t>
  </si>
  <si>
    <t xml:space="preserve">ORD-3049</t>
  </si>
  <si>
    <t xml:space="preserve">ORD-3050</t>
  </si>
  <si>
    <t xml:space="preserve">ORD-3051</t>
  </si>
  <si>
    <t xml:space="preserve">ORD-3052</t>
  </si>
  <si>
    <t xml:space="preserve">ORD-3053</t>
  </si>
  <si>
    <t xml:space="preserve">ORD-3054</t>
  </si>
  <si>
    <t xml:space="preserve">ORD-3055</t>
  </si>
  <si>
    <t xml:space="preserve">ORD-3056</t>
  </si>
  <si>
    <t xml:space="preserve">ORD-3057</t>
  </si>
  <si>
    <t xml:space="preserve">ORD-3058</t>
  </si>
  <si>
    <t xml:space="preserve">ORD-3059</t>
  </si>
  <si>
    <t xml:space="preserve">ORD-3060</t>
  </si>
  <si>
    <t xml:space="preserve">ORD-3061</t>
  </si>
  <si>
    <t xml:space="preserve">ORD-3062</t>
  </si>
  <si>
    <t xml:space="preserve">ORD-3063</t>
  </si>
  <si>
    <t xml:space="preserve">ORD-3064</t>
  </si>
  <si>
    <t xml:space="preserve">ORD-3065</t>
  </si>
  <si>
    <t xml:space="preserve">ORD-3066</t>
  </si>
  <si>
    <t xml:space="preserve">ORD-3067</t>
  </si>
  <si>
    <t xml:space="preserve">ORD-3068</t>
  </si>
  <si>
    <t xml:space="preserve">ORD-3069</t>
  </si>
  <si>
    <t xml:space="preserve">ORD-3070</t>
  </si>
  <si>
    <t xml:space="preserve">ORD-3071</t>
  </si>
  <si>
    <t xml:space="preserve">ORD-3072</t>
  </si>
  <si>
    <t xml:space="preserve">ORD-3073</t>
  </si>
  <si>
    <t xml:space="preserve">ORD-3074</t>
  </si>
  <si>
    <t xml:space="preserve">ORD-3075</t>
  </si>
  <si>
    <t xml:space="preserve">ORD-3076</t>
  </si>
  <si>
    <t xml:space="preserve">ORD-3077</t>
  </si>
  <si>
    <t xml:space="preserve">ORD-3078</t>
  </si>
  <si>
    <t xml:space="preserve">ORD-3079</t>
  </si>
  <si>
    <t xml:space="preserve">ORD-3080</t>
  </si>
  <si>
    <t xml:space="preserve">ORD-3081</t>
  </si>
  <si>
    <t xml:space="preserve">ORD-3082</t>
  </si>
  <si>
    <t xml:space="preserve">ORD-3083</t>
  </si>
  <si>
    <t xml:space="preserve">ORD-3084</t>
  </si>
  <si>
    <t xml:space="preserve">ORD-3085</t>
  </si>
  <si>
    <t xml:space="preserve">ORD-3086</t>
  </si>
  <si>
    <t xml:space="preserve">ORD-3087</t>
  </si>
  <si>
    <t xml:space="preserve">ORD-3088</t>
  </si>
  <si>
    <t xml:space="preserve">ORD-3089</t>
  </si>
  <si>
    <t xml:space="preserve">ORD-3090</t>
  </si>
  <si>
    <t xml:space="preserve">ORD-3091</t>
  </si>
  <si>
    <t xml:space="preserve">ORD-3092</t>
  </si>
  <si>
    <t xml:space="preserve">ORD-3093</t>
  </si>
  <si>
    <t xml:space="preserve">ORD-3094</t>
  </si>
  <si>
    <t xml:space="preserve">ORD-3095</t>
  </si>
  <si>
    <t xml:space="preserve">ORD-3096</t>
  </si>
  <si>
    <t xml:space="preserve">ORD-3097</t>
  </si>
  <si>
    <t xml:space="preserve">ORD-3098</t>
  </si>
  <si>
    <t xml:space="preserve">ORD-3099</t>
  </si>
  <si>
    <t xml:space="preserve">ORD-3100</t>
  </si>
  <si>
    <t xml:space="preserve">ORD-3101</t>
  </si>
  <si>
    <t xml:space="preserve">ORD-3102</t>
  </si>
  <si>
    <t xml:space="preserve">ORD-3103</t>
  </si>
  <si>
    <t xml:space="preserve">ORD-3104</t>
  </si>
  <si>
    <t xml:space="preserve">ORD-3105</t>
  </si>
  <si>
    <t xml:space="preserve">ORD-3106</t>
  </si>
  <si>
    <t xml:space="preserve">ORD-3107</t>
  </si>
  <si>
    <t xml:space="preserve">ORD-3108</t>
  </si>
  <si>
    <t xml:space="preserve">ORD-3109</t>
  </si>
  <si>
    <t xml:space="preserve">ORD-3110</t>
  </si>
  <si>
    <t xml:space="preserve">ORD-3111</t>
  </si>
  <si>
    <t xml:space="preserve">ORD-3112</t>
  </si>
  <si>
    <t xml:space="preserve">ORD-3113</t>
  </si>
  <si>
    <t xml:space="preserve">ORD-3114</t>
  </si>
  <si>
    <t xml:space="preserve">ORD-3115</t>
  </si>
  <si>
    <t xml:space="preserve">ORD-3116</t>
  </si>
  <si>
    <t xml:space="preserve">ORD-3117</t>
  </si>
  <si>
    <t xml:space="preserve">ORD-3118</t>
  </si>
  <si>
    <t xml:space="preserve">ORD-3119</t>
  </si>
  <si>
    <t xml:space="preserve">ORD-3120</t>
  </si>
  <si>
    <t xml:space="preserve">ORD-3121</t>
  </si>
  <si>
    <t xml:space="preserve">ORD-3122</t>
  </si>
  <si>
    <t xml:space="preserve">ORD-3123</t>
  </si>
  <si>
    <t xml:space="preserve">ORD-3124</t>
  </si>
  <si>
    <t xml:space="preserve">ORD-3125</t>
  </si>
  <si>
    <t xml:space="preserve">ORD-3126</t>
  </si>
  <si>
    <t xml:space="preserve">ORD-3127</t>
  </si>
  <si>
    <t xml:space="preserve">ORD-3128</t>
  </si>
  <si>
    <t xml:space="preserve">ORD-3129</t>
  </si>
  <si>
    <t xml:space="preserve">ORD-3130</t>
  </si>
  <si>
    <t xml:space="preserve">ORD-3131</t>
  </si>
  <si>
    <t xml:space="preserve">ORD-3132</t>
  </si>
  <si>
    <t xml:space="preserve">ORD-3133</t>
  </si>
  <si>
    <t xml:space="preserve">ORD-3134</t>
  </si>
  <si>
    <t xml:space="preserve">ORD-3135</t>
  </si>
  <si>
    <t xml:space="preserve">ORD-3136</t>
  </si>
  <si>
    <t xml:space="preserve">ORD-3137</t>
  </si>
  <si>
    <t xml:space="preserve">ORD-3138</t>
  </si>
  <si>
    <t xml:space="preserve">ORD-3139</t>
  </si>
  <si>
    <t xml:space="preserve">ORD-3140</t>
  </si>
  <si>
    <t xml:space="preserve">ORD-3141</t>
  </si>
  <si>
    <t xml:space="preserve">ORD-3142</t>
  </si>
  <si>
    <t xml:space="preserve">ORD-3143</t>
  </si>
  <si>
    <t xml:space="preserve">ORD-3144</t>
  </si>
  <si>
    <t xml:space="preserve">ORD-3145</t>
  </si>
  <si>
    <t xml:space="preserve">ORD-3146</t>
  </si>
  <si>
    <t xml:space="preserve">ORD-3147</t>
  </si>
  <si>
    <t xml:space="preserve">ORD-3148</t>
  </si>
  <si>
    <t xml:space="preserve">ORD-3149</t>
  </si>
  <si>
    <t xml:space="preserve">ORD-3150</t>
  </si>
  <si>
    <t xml:space="preserve">ORD-3151</t>
  </si>
  <si>
    <t xml:space="preserve">ORD-3152</t>
  </si>
  <si>
    <t xml:space="preserve">ORD-3153</t>
  </si>
  <si>
    <t xml:space="preserve">ORD-3154</t>
  </si>
  <si>
    <t xml:space="preserve">ORD-3155</t>
  </si>
  <si>
    <t xml:space="preserve">ORD-3156</t>
  </si>
  <si>
    <t xml:space="preserve">ORD-3157</t>
  </si>
  <si>
    <t xml:space="preserve">ORD-3158</t>
  </si>
  <si>
    <t xml:space="preserve">C094</t>
  </si>
  <si>
    <t xml:space="preserve">Kavya Bose</t>
  </si>
  <si>
    <t xml:space="preserve">ORD-3159</t>
  </si>
  <si>
    <t xml:space="preserve">ORD-3160</t>
  </si>
  <si>
    <t xml:space="preserve">ORD-3161</t>
  </si>
  <si>
    <t xml:space="preserve">ORD-3162</t>
  </si>
  <si>
    <t xml:space="preserve">ORD-3163</t>
  </si>
  <si>
    <t xml:space="preserve">ORD-3164</t>
  </si>
  <si>
    <t xml:space="preserve">ORD-3165</t>
  </si>
  <si>
    <t xml:space="preserve">ORD-3166</t>
  </si>
  <si>
    <t xml:space="preserve">ORD-3167</t>
  </si>
  <si>
    <t xml:space="preserve">ORD-3168</t>
  </si>
  <si>
    <t xml:space="preserve">ORD-3169</t>
  </si>
  <si>
    <t xml:space="preserve">ORD-3170</t>
  </si>
  <si>
    <t xml:space="preserve">ORD-3171</t>
  </si>
  <si>
    <t xml:space="preserve">ORD-3172</t>
  </si>
  <si>
    <t xml:space="preserve">ORD-3173</t>
  </si>
  <si>
    <t xml:space="preserve">C161</t>
  </si>
  <si>
    <t xml:space="preserve">Sanjay Singh</t>
  </si>
  <si>
    <t xml:space="preserve">ORD-3174</t>
  </si>
  <si>
    <t xml:space="preserve">ORD-3175</t>
  </si>
  <si>
    <t xml:space="preserve">ORD-3176</t>
  </si>
  <si>
    <t xml:space="preserve">ORD-3177</t>
  </si>
  <si>
    <t xml:space="preserve">ORD-3178</t>
  </si>
  <si>
    <t xml:space="preserve">ORD-3179</t>
  </si>
  <si>
    <t xml:space="preserve">ORD-3180</t>
  </si>
  <si>
    <t xml:space="preserve">ORD-3181</t>
  </si>
  <si>
    <t xml:space="preserve">ORD-3182</t>
  </si>
  <si>
    <t xml:space="preserve">ORD-3183</t>
  </si>
  <si>
    <t xml:space="preserve">ORD-3184</t>
  </si>
  <si>
    <t xml:space="preserve">ORD-3185</t>
  </si>
  <si>
    <t xml:space="preserve">ORD-3186</t>
  </si>
  <si>
    <t xml:space="preserve">ORD-3187</t>
  </si>
  <si>
    <t xml:space="preserve">ORD-3188</t>
  </si>
  <si>
    <t xml:space="preserve">ORD-3189</t>
  </si>
  <si>
    <t xml:space="preserve">ORD-3190</t>
  </si>
  <si>
    <t xml:space="preserve">ORD-3191</t>
  </si>
  <si>
    <t xml:space="preserve">ORD-3192</t>
  </si>
  <si>
    <t xml:space="preserve">ORD-3193</t>
  </si>
  <si>
    <t xml:space="preserve">ORD-3194</t>
  </si>
  <si>
    <t xml:space="preserve">ORD-3195</t>
  </si>
  <si>
    <t xml:space="preserve">ORD-3196</t>
  </si>
  <si>
    <t xml:space="preserve">ORD-3197</t>
  </si>
  <si>
    <t xml:space="preserve">ORD-3198</t>
  </si>
  <si>
    <t xml:space="preserve">ORD-3199</t>
  </si>
  <si>
    <t xml:space="preserve">ORD-3200</t>
  </si>
  <si>
    <t xml:space="preserve">Use the Sales Data sheet and formulas such as SUMIFS, COUNTIFS and SUMPRODUCT. Type your answers in the yellow cells.</t>
  </si>
  <si>
    <t xml:space="preserve">What is the total Sales (₹)?</t>
  </si>
  <si>
    <t xml:space="preserve">What is the total Profit (₹)?</t>
  </si>
  <si>
    <t xml:space="preserve">What is the overall profit margin (Profit divided by Sales)? Enter it as a percentage.</t>
  </si>
  <si>
    <t xml:space="preserve">How many orders are there? (Each row is one order.)</t>
  </si>
  <si>
    <t xml:space="preserve">What is the average order value (₹), Sales divided by the number of orders?</t>
  </si>
  <si>
    <t xml:space="preserve">What is the return rate, orders with Returned = Y divided by all orders? Enter it as a percentage.</t>
  </si>
  <si>
    <t xml:space="preserve">Which month has the highest Sales? Enter the month name.</t>
  </si>
  <si>
    <t xml:space="preserve">By what percentage did Sales change from November to December? (December minus November, divided by November.)</t>
  </si>
  <si>
    <t xml:space="preserve">What are the total Sales (₹) of the West region on orders with a discount of 20% or more?</t>
  </si>
  <si>
    <t xml:space="preserve">How many orders lost money (Profit below zero)?</t>
  </si>
  <si>
    <t xml:space="preserve">What is the total loss (₹) on those orders? Enter it as a positive number.</t>
  </si>
  <si>
    <t xml:space="preserve">What is the average number of days from order to ship? (2 decimal places)</t>
  </si>
  <si>
    <t xml:space="preserve">Products: ABC analysis</t>
  </si>
  <si>
    <t xml:space="preserve">Fill down each yellow column from the first row. Read the Sales Data sheet; do not type numbers in.</t>
  </si>
  <si>
    <t xml:space="preserve">Unit Cost (₹)</t>
  </si>
  <si>
    <t xml:space="preserve">Units Sold</t>
  </si>
  <si>
    <t xml:space="preserve">Profit Margin</t>
  </si>
  <si>
    <t xml:space="preserve">Sales Share</t>
  </si>
  <si>
    <t xml:space="preserve">Cumulative Share</t>
  </si>
  <si>
    <t xml:space="preserve">ABC Class</t>
  </si>
  <si>
    <t xml:space="preserve">P031</t>
  </si>
  <si>
    <t xml:space="preserve">Sticky Notes Pack</t>
  </si>
  <si>
    <t xml:space="preserve">P039</t>
  </si>
  <si>
    <t xml:space="preserve">Standing Desk</t>
  </si>
  <si>
    <t xml:space="preserve">Note: K = J/I; L = I / total sales; M = share of sales from this product and every product that sold at least as much (ranked cumulative share, ties handled); N: A &lt;= 80%, B &lt;= 95%, C = rest. P031 and P039 had no sales.</t>
  </si>
  <si>
    <t xml:space="preserve">Work on the Products sheet, then type your answers in the yellow cells.</t>
  </si>
  <si>
    <t xml:space="preserve">Fill Units Sold, Sales and Profit for all 40 products on the Products sheet. Enter the sum of the Sales (₹) column.</t>
  </si>
  <si>
    <t xml:space="preserve">Which product has the highest Sales? Enter the product name.</t>
  </si>
  <si>
    <t xml:space="preserve">Which product has the highest Profit? Enter the product name.</t>
  </si>
  <si>
    <t xml:space="preserve">How many products have a negative total Profit?</t>
  </si>
  <si>
    <t xml:space="preserve">Fill Profit Margin, Sales Share, Cumulative Share and ABC Class (A = cumulative share up to 80%, B = up to 95%, C = the rest). How many products are Class A?</t>
  </si>
  <si>
    <t xml:space="preserve">What share of total Sales do the Class A products make? Enter it as a percentage.</t>
  </si>
  <si>
    <t xml:space="preserve">How many products sold fewer than 10 units in the year? (dead-stock candidates)</t>
  </si>
  <si>
    <t xml:space="preserve">Which Category has the highest profit margin? Enter the category name.</t>
  </si>
  <si>
    <t xml:space="preserve">What is the total Profit (₹) of the Furniture category?</t>
  </si>
  <si>
    <t xml:space="preserve">Customers: RFM analysis</t>
  </si>
  <si>
    <t xml:space="preserve">Fill down each yellow column from the first row. Use the lookup tables on the right (columns P and Q) with approximate match.</t>
  </si>
  <si>
    <t xml:space="preserve">Orders</t>
  </si>
  <si>
    <t xml:space="preserve">Last Order Date</t>
  </si>
  <si>
    <t xml:space="preserve">Days Since Last Order</t>
  </si>
  <si>
    <t xml:space="preserve">R Score</t>
  </si>
  <si>
    <t xml:space="preserve">F Score</t>
  </si>
  <si>
    <t xml:space="preserve">M Score</t>
  </si>
  <si>
    <t xml:space="preserve">Total Score</t>
  </si>
  <si>
    <t xml:space="preserve">RFM Segment</t>
  </si>
  <si>
    <t xml:space="preserve">As of date</t>
  </si>
  <si>
    <t xml:space="preserve">Fixed so answers do not change (last day of the data)</t>
  </si>
  <si>
    <t xml:space="preserve">Days since last order at least</t>
  </si>
  <si>
    <t xml:space="preserve">R score</t>
  </si>
  <si>
    <t xml:space="preserve">Orders at least</t>
  </si>
  <si>
    <t xml:space="preserve">F score</t>
  </si>
  <si>
    <t xml:space="preserve">Total Sales at least (₹)</t>
  </si>
  <si>
    <t xml:space="preserve">M score</t>
  </si>
  <si>
    <t xml:space="preserve">Total score at least</t>
  </si>
  <si>
    <t xml:space="preserve">Lost</t>
  </si>
  <si>
    <t xml:space="preserve">At Risk</t>
  </si>
  <si>
    <t xml:space="preserve">Loyal</t>
  </si>
  <si>
    <t xml:space="preserve">Champion</t>
  </si>
  <si>
    <t xml:space="preserve">Work on the Customers sheet, then type your answers in the yellow cells.</t>
  </si>
  <si>
    <t xml:space="preserve">Fill Orders, Last Order Date, Days Since Last Order and Total Sales on the Customers sheet. How many customers ordered only once?</t>
  </si>
  <si>
    <t xml:space="preserve">Which customer has the highest Total Sales? Enter the Customer ID.</t>
  </si>
  <si>
    <t xml:space="preserve">What is the highest number of orders placed by one customer?</t>
  </si>
  <si>
    <t xml:space="preserve">Fill the R, F and M scores, Total Score and RFM Segment using the lookup tables. How many customers are Champions?</t>
  </si>
  <si>
    <t xml:space="preserve">How many customers are Loyal?</t>
  </si>
  <si>
    <t xml:space="preserve">How many customers are At Risk?</t>
  </si>
  <si>
    <t xml:space="preserve">How many customers are Lost?</t>
  </si>
  <si>
    <t xml:space="preserve">What are the total Sales (₹) from Champion customers?</t>
  </si>
  <si>
    <t xml:space="preserve">What percentage of all Sales comes from Champion customers?</t>
  </si>
  <si>
    <t xml:space="preserve">5. Pivot tables, charts and dashboard</t>
  </si>
  <si>
    <t xml:space="preserve">Use the Sales Data sheet (or your Sales_Clean query table). Type your answers in the yellow cells.</t>
  </si>
  <si>
    <t xml:space="preserve">Build a PivotTable from Sales Data (put each pivot on its own sheet). Rows = Region, Values = Sum of Sales (₹). Enter the Sales for West.</t>
  </si>
  <si>
    <t xml:space="preserve">Rows = Category, Columns = Region, Values = Sum of Sales (₹). Enter the value for Electronics in the South column.</t>
  </si>
  <si>
    <t xml:space="preserve">Put Order Date in Rows and group by Months and Quarters. Enter the total Sales (₹) for Quarter 4.</t>
  </si>
  <si>
    <t xml:space="preserve">Rows = Sub-Category, Values = Sum of Profit (₹), sorted from largest to smallest. Enter the name of the top Sub-Category.</t>
  </si>
  <si>
    <t xml:space="preserve">Show Values As &gt; % of Grand Total for Profit by Category. Enter the % for Electronics.</t>
  </si>
  <si>
    <t xml:space="preserve">Add a calculated field Profit Margin = Profit / Sales. Enter the margin for Furniture as a percentage.</t>
  </si>
  <si>
    <t xml:space="preserve">Add a helper column Discount Band on Sales Data (No discount, Up to 20%, Above 20%) and pivot Profit by band. Enter the Profit (₹) for Above 20%.</t>
  </si>
  <si>
    <t xml:space="preserve">Insert a pivot chart (clustered column) of Sales by Region and give it a clear title. Mark Y when done.</t>
  </si>
  <si>
    <t xml:space="preserve">Y: column chart on the Pivots sheet (regular chart; convert to a PivotChart in Excel)</t>
  </si>
  <si>
    <t xml:space="preserve">Insert slicers for Category and Region and connect them to two pivot tables. Check that both change together. Mark Y when done.</t>
  </si>
  <si>
    <t xml:space="preserve">Do in Excel: Insert &gt; Slicer (see README step 5)</t>
  </si>
  <si>
    <t xml:space="preserve">Insert a timeline slicer on Order Date and connect it to the same pivot tables. Mark Y when done.</t>
  </si>
  <si>
    <t xml:space="preserve">Do in Excel: Insert &gt; Timeline (see README step 5)</t>
  </si>
  <si>
    <t xml:space="preserve">Build a one-page dashboard: four KPI cards (Sales, Profit, Margin, Orders), three charts, the slicers and the timeline. Set it to print on one page. Mark Y when done.</t>
  </si>
  <si>
    <t xml:space="preserve">Y: Dashboard sheet (4 KPI cards, 3 charts, Region/Category dropdowns, date range, prints on 1 page)</t>
  </si>
  <si>
    <t xml:space="preserve">Click Data &gt; Refresh All and confirm every pivot, chart and KPI card updates. Mark Y when done.</t>
  </si>
  <si>
    <t xml:space="preserve">Do in Excel after loading the Power Query</t>
  </si>
  <si>
    <t xml:space="preserve">Retail Sales &amp; Profit Dashboard | FY 2025 (₹)</t>
  </si>
  <si>
    <t xml:space="preserve">1,200 cleaned orders, Jan to Dec 2025. Change the yellow cells below and every card and chart updates.</t>
  </si>
  <si>
    <t xml:space="preserve">All</t>
  </si>
  <si>
    <t xml:space="preserve">From</t>
  </si>
  <si>
    <t xml:space="preserve">To</t>
  </si>
  <si>
    <t xml:space="preserve">Dropdowns: pick a Region or Category (or All). Type a From / To date.</t>
  </si>
  <si>
    <t xml:space="preserve">TOTAL SALES</t>
  </si>
  <si>
    <t xml:space="preserve">TOTAL PROFIT</t>
  </si>
  <si>
    <t xml:space="preserve">PROFIT MARGIN</t>
  </si>
  <si>
    <t xml:space="preserve">ORDERS</t>
  </si>
  <si>
    <t xml:space="preserve">Profit by Discount Band (follows the filters)</t>
  </si>
  <si>
    <t xml:space="preserve">Band</t>
  </si>
  <si>
    <t xml:space="preserve">Margin</t>
  </si>
  <si>
    <t xml:space="preserve">Reading it: orders discounted above 20% earn a negative margin, while orders with no discount earn the highest margin. Pick a Category to see if the pattern holds there.</t>
  </si>
  <si>
    <t xml:space="preserve">Source: Sales Data sheet (Sales_Clean). Profit = Sales - Cost. All amounts in Indian rupees (₹).</t>
  </si>
  <si>
    <t xml:space="preserve">Pivot-style summary tables</t>
  </si>
  <si>
    <t xml:space="preserve">Every table is a live SUMIFS/COUNTIFS formula on the Sales Data sheet, so it recalculates when the data changes. Equivalent PivotTables can be inserted in Excel (steps in the repo README).</t>
  </si>
  <si>
    <t xml:space="preserve">Pivot 1: Sales (₹) by Region</t>
  </si>
  <si>
    <t xml:space="preserve">Grand Total</t>
  </si>
  <si>
    <t xml:space="preserve">Pivot 2: Sales (₹) by Category and Region</t>
  </si>
  <si>
    <t xml:space="preserve">Pivot 3: Sales, Profit and Orders by Month and Quarter</t>
  </si>
  <si>
    <t xml:space="preserve">Month no.</t>
  </si>
  <si>
    <t xml:space="preserve">Month</t>
  </si>
  <si>
    <t xml:space="preserve">Quarter</t>
  </si>
  <si>
    <t xml:space="preserve">Share of Sales</t>
  </si>
  <si>
    <t xml:space="preserve">Qtr1</t>
  </si>
  <si>
    <t xml:space="preserve">Qtr2</t>
  </si>
  <si>
    <t xml:space="preserve">Qtr3</t>
  </si>
  <si>
    <t xml:space="preserve">Qtr4</t>
  </si>
  <si>
    <t xml:space="preserve">Pivot 4: Profit (₹) by Sub-Category, largest to smallest</t>
  </si>
  <si>
    <t xml:space="preserve">Pivot 5 and 6: Category profit, % of grand total profit, and Profit Margin (calculated field = Profit / Sales)</t>
  </si>
  <si>
    <t xml:space="preserve">% of Grand Total Profit</t>
  </si>
  <si>
    <t xml:space="preserve">Pivot 7: Orders, Sales and Profit by Discount Band (helper column T on Sales Data)</t>
  </si>
  <si>
    <t xml:space="preserve">No discount</t>
  </si>
  <si>
    <t xml:space="preserve">Up to 20%</t>
  </si>
  <si>
    <t xml:space="preserve">Above 20%</t>
  </si>
  <si>
    <t xml:space="preserve">6. Insights and recommendations</t>
  </si>
  <si>
    <t xml:space="preserve">Write five findings, each with a number from your analysis and an action a shop owner can take. The grey row shows the format.</t>
  </si>
  <si>
    <t xml:space="preserve">Finding (plain language)</t>
  </si>
  <si>
    <t xml:space="preserve">Evidence (a number from your work)</t>
  </si>
  <si>
    <t xml:space="preserve">Recommendation</t>
  </si>
  <si>
    <t xml:space="preserve">Estimated impact (₹)</t>
  </si>
  <si>
    <t xml:space="preserve">Ex.</t>
  </si>
  <si>
    <t xml:space="preserve">Deep discounts turn orders into losses.</t>
  </si>
  <si>
    <t xml:space="preserve">Cap discounts at 20% for low-margin categories and review prices of the loss-making products.</t>
  </si>
  <si>
    <t xml:space="preserve">Discounts above 20% destroy profit: this band loses money while undiscounted orders earn the best margin.</t>
  </si>
  <si>
    <t xml:space="preserve">Cap discounts at 20% and require manager approval above that. Review the 30 to 50% discounts on Furniture first.</t>
  </si>
  <si>
    <t xml:space="preserve">Furniture brings a third of the sales but almost no profit; Bookshelf is a top seller that loses money.</t>
  </si>
  <si>
    <t xml:space="preserve">Raise Bookshelf, Study Table and Shoe Rack prices or negotiate supplier cost; stop discounting Furniture beyond 10%.</t>
  </si>
  <si>
    <t xml:space="preserve">A small set of products carries the business, and a few catalogue items barely sell.</t>
  </si>
  <si>
    <t xml:space="preserve">Never let Class A products run out of stock and negotiate supplier terms on them. Clear or delist the dead-stock items to free cash.</t>
  </si>
  <si>
    <t xml:space="preserve">Sales peak in Q4 and fall hard after November; Q1 is the weakest quarter.</t>
  </si>
  <si>
    <t xml:space="preserve">Build stock and ad budget before October. Run a loyalty or clearance push in December to Q1 so the dip is shallower.</t>
  </si>
  <si>
    <t xml:space="preserve">A minority of Champion customers produces most of the sales, and a sizeable At Risk group is slipping away.</t>
  </si>
  <si>
    <t xml:space="preserve">Launch a VIP programme (early access, free shipping) for Champions and a win-back offer for At Risk customers.</t>
  </si>
  <si>
    <t xml:space="preserve">Assumptions behind the impact estimates (blue = editable input)</t>
  </si>
  <si>
    <t xml:space="preserve">Sales uplift on Class A products</t>
  </si>
  <si>
    <t xml:space="preserve">Sales uplift in the weakest quarter (Jan to Mar)</t>
  </si>
  <si>
    <t xml:space="preserve">Share of At Risk customers' annual spend won back</t>
  </si>
  <si>
    <t xml:space="preserve">All impacts are profit estimates in ₹. Finding 1 is the loss avoided by not selling above 20% discount (a floor: it ignores extra profit if customers still buy at 20%). Finding 2 is the total loss on loss-making Furniture orders. Findings 3 to 5 use the assumptions above, other factors held constant.</t>
  </si>
  <si>
    <t xml:space="preserve">Open this only after you have finished. Expected answers are live formulas; the text shows what to type. Your answers are pulled in and marked.</t>
  </si>
  <si>
    <t xml:space="preserve">Score</t>
  </si>
  <si>
    <t xml:space="preserve">1 Clean Check</t>
  </si>
  <si>
    <t xml:space="preserve">Q</t>
  </si>
  <si>
    <t xml:space="preserve">How to get it</t>
  </si>
  <si>
    <t xml:space="preserve">Expected answer</t>
  </si>
  <si>
    <t xml:space="preserve">Match (1 = correct)</t>
  </si>
  <si>
    <t xml:space="preserve">CC1</t>
  </si>
  <si>
    <t xml:space="preserve">Row count in the combined query before Remove Duplicates</t>
  </si>
  <si>
    <t xml:space="preserve">CC2</t>
  </si>
  <si>
    <t xml:space="preserve">Row count before minus row count after Remove Duplicates</t>
  </si>
  <si>
    <t xml:space="preserve">CC3</t>
  </si>
  <si>
    <t xml:space="preserve">Row count of the final Sales_Clean table</t>
  </si>
  <si>
    <t xml:space="preserve">CC4</t>
  </si>
  <si>
    <t xml:space="preserve">Sum of the Sales (₹) column of Sales_Clean</t>
  </si>
  <si>
    <t xml:space="preserve">CC5</t>
  </si>
  <si>
    <t xml:space="preserve">Group By Customer Name and count rows in the result</t>
  </si>
  <si>
    <t xml:space="preserve">CC6</t>
  </si>
  <si>
    <t xml:space="preserve">Group By Region and count rows in the result</t>
  </si>
  <si>
    <t xml:space="preserve">CC7</t>
  </si>
  <si>
    <t xml:space="preserve">Filter Returned = Y and read the row count</t>
  </si>
  <si>
    <t xml:space="preserve">2 KPI Tasks</t>
  </si>
  <si>
    <t xml:space="preserve">Formula to type</t>
  </si>
  <si>
    <t xml:space="preserve">K1</t>
  </si>
  <si>
    <t xml:space="preserve">=SUM(P2:P1201)</t>
  </si>
  <si>
    <t xml:space="preserve">K2</t>
  </si>
  <si>
    <t xml:space="preserve">=SUM(R2:R1201)</t>
  </si>
  <si>
    <t xml:space="preserve">K3</t>
  </si>
  <si>
    <t xml:space="preserve">K4</t>
  </si>
  <si>
    <t xml:space="preserve">=COUNTA(A2:A1201)</t>
  </si>
  <si>
    <t xml:space="preserve">K5</t>
  </si>
  <si>
    <t xml:space="preserve">=SUM(P2:P1201)/COUNTA(A2:A1201)</t>
  </si>
  <si>
    <t xml:space="preserve">K6</t>
  </si>
  <si>
    <t xml:space="preserve">=COUNTIF(S2:S1201,"Y")/COUNTA(A2:A1201)</t>
  </si>
  <si>
    <t xml:space="preserve">K7</t>
  </si>
  <si>
    <t xml:space="preserve">Pivot: Order Date grouped by Months, Sum of Sales, largest month
or SUMPRODUCT((MONTH(B2:B1201)=n)*P2:P1201) for n = 1 to 12</t>
  </si>
  <si>
    <t xml:space="preserve">K8</t>
  </si>
  <si>
    <t xml:space="preserve">=(December Sales - November Sales)/November Sales</t>
  </si>
  <si>
    <t xml:space="preserve">K9</t>
  </si>
  <si>
    <t xml:space="preserve">=SUMIFS(P2:P1201,G2:G1201,"West",O2:O1201,"&gt;=0.2")</t>
  </si>
  <si>
    <t xml:space="preserve">K10</t>
  </si>
  <si>
    <t xml:space="preserve">=COUNTIF(R2:R1201,"&lt;0")</t>
  </si>
  <si>
    <t xml:space="preserve">K11</t>
  </si>
  <si>
    <t xml:space="preserve">=-SUMIF(R2:R1201,"&lt;0")</t>
  </si>
  <si>
    <t xml:space="preserve">K12</t>
  </si>
  <si>
    <t xml:space="preserve">=ROUND(SUMPRODUCT(C2:C1201-B2:B1201)/COUNTA(A2:A1201),2)</t>
  </si>
  <si>
    <t xml:space="preserve">3 ABC Tasks</t>
  </si>
  <si>
    <t xml:space="preserve">A1</t>
  </si>
  <si>
    <t xml:space="preserve">H5: =SUMIFS('Sales Data'!$M$2:$M$1201,'Sales Data'!$K$2:$K$1201,A5)
I5: =SUMIFS('Sales Data'!$P$2:$P$1201,'Sales Data'!$K$2:$K$1201,A5)
J5: =SUMIFS('Sales Data'!$R$2:$R$1201,'Sales Data'!$K$2:$K$1201,A5)
then =SUM(I5:I44)</t>
  </si>
  <si>
    <t xml:space="preserve">A2</t>
  </si>
  <si>
    <t xml:space="preserve">=INDEX(B5:B44,MATCH(MAX(I5:I44),I5:I44,0))</t>
  </si>
  <si>
    <t xml:space="preserve">A3</t>
  </si>
  <si>
    <t xml:space="preserve">=INDEX(B5:B44,MATCH(MAX(J5:J44),J5:J44,0))</t>
  </si>
  <si>
    <t xml:space="preserve">A4</t>
  </si>
  <si>
    <t xml:space="preserve">=COUNTIF(J5:J44,"&lt;0")</t>
  </si>
  <si>
    <t xml:space="preserve">A5</t>
  </si>
  <si>
    <t xml:space="preserve">K5: =J5/I5   L5: =I5/SUM($I$5:$I$44)
M5: =SUMIF($I$5:$I$44,"&gt;="&amp;I5)/SUM($I$5:$I$44)
N5: =IF(M5&lt;=0.8,"A",IF(M5&lt;=0.95,"B","C"))
then =COUNTIF(N5:N44,"A")</t>
  </si>
  <si>
    <t xml:space="preserve">A6</t>
  </si>
  <si>
    <t xml:space="preserve">=SUMIF(N5:N44,"A",I5:I44)/SUM(I5:I44)</t>
  </si>
  <si>
    <t xml:space="preserve">A7</t>
  </si>
  <si>
    <t xml:space="preserve">=COUNTIF(H5:H44,"&lt;10")</t>
  </si>
  <si>
    <t xml:space="preserve">A8</t>
  </si>
  <si>
    <t xml:space="preserve">Pivot: Rows = Category, Values = Sum of Profit and Sum of Sales, then Profit / Sales
or =SUMIFS(profit)/SUMIFS(sales) per category</t>
  </si>
  <si>
    <t xml:space="preserve">A9</t>
  </si>
  <si>
    <t xml:space="preserve">=SUMIFS(R2:R1201,I2:I1201,"Furniture")</t>
  </si>
  <si>
    <t xml:space="preserve">4 RFM Tasks</t>
  </si>
  <si>
    <t xml:space="preserve">R1</t>
  </si>
  <si>
    <t xml:space="preserve">F5: =COUNTIF('Sales Data'!$D$2:$D$1201,A5)
G5: =MAXIFS('Sales Data'!$B$2:$B$1201,'Sales Data'!$D$2:$D$1201,A5)
H5: =$Q$4-G5
I5: =SUMIFS('Sales Data'!$P$2:$P$1201,'Sales Data'!$D$2:$D$1201,A5)
then =COUNTIF(F5:F224,1)</t>
  </si>
  <si>
    <t xml:space="preserve">R2</t>
  </si>
  <si>
    <t xml:space="preserve">=INDEX(A5:A224,MATCH(MAX(I5:I224),I5:I224,0))</t>
  </si>
  <si>
    <t xml:space="preserve">R3</t>
  </si>
  <si>
    <t xml:space="preserve">=MAX(F5:F224)</t>
  </si>
  <si>
    <t xml:space="preserve">R4</t>
  </si>
  <si>
    <t xml:space="preserve">J5: =INDEX($Q$7:$Q$9,MATCH(H5,$P$7:$P$9,1))
K5: =INDEX($Q$12:$Q$14,MATCH(F5,$P$12:$P$14,1))
L5: =INDEX($Q$17:$Q$19,MATCH(I5,$P$17:$P$19,1))
M5: =J5+K5+L5
N5: =INDEX($Q$22:$Q$25,MATCH(M5,$P$22:$P$25,1))
then =COUNTIF(N5:N224,"Champion")</t>
  </si>
  <si>
    <t xml:space="preserve">R5</t>
  </si>
  <si>
    <t xml:space="preserve">=COUNTIF(N5:N224,"Loyal")</t>
  </si>
  <si>
    <t xml:space="preserve">R6</t>
  </si>
  <si>
    <t xml:space="preserve">=COUNTIF(N5:N224,"At Risk")</t>
  </si>
  <si>
    <t xml:space="preserve">R7</t>
  </si>
  <si>
    <t xml:space="preserve">=COUNTIF(N5:N224,"Lost")</t>
  </si>
  <si>
    <t xml:space="preserve">R8</t>
  </si>
  <si>
    <t xml:space="preserve">=SUMIF(N5:N224,"Champion",I5:I224)</t>
  </si>
  <si>
    <t xml:space="preserve">R9</t>
  </si>
  <si>
    <t xml:space="preserve">=SUMIF(N5:N224,"Champion",I5:I224)/SUM(I5:I224)</t>
  </si>
  <si>
    <t xml:space="preserve">5 Dashboard Tasks (expected values)</t>
  </si>
  <si>
    <t xml:space="preserve">D1</t>
  </si>
  <si>
    <t xml:space="preserve">Pivot: Rows = Region, Sum of Sales   or   =SUMIFS(P2:P1201,G2:G1201,"West")</t>
  </si>
  <si>
    <t xml:space="preserve">D2</t>
  </si>
  <si>
    <t xml:space="preserve">Pivot: Rows = Category, Columns = Region, Sum of Sales</t>
  </si>
  <si>
    <t xml:space="preserve">D3</t>
  </si>
  <si>
    <t xml:space="preserve">Pivot: group Order Date by Months and Quarters, read Qtr4</t>
  </si>
  <si>
    <t xml:space="preserve">D4</t>
  </si>
  <si>
    <t xml:space="preserve">Pivot: Rows = Sub-Category, Sum of Profit, sort Largest to Smallest</t>
  </si>
  <si>
    <t xml:space="preserve">D5</t>
  </si>
  <si>
    <t xml:space="preserve">Value Field Settings &gt; Show Values As &gt; % of Grand Total (Sum of Profit by Category)</t>
  </si>
  <si>
    <t xml:space="preserve">D6</t>
  </si>
  <si>
    <t xml:space="preserve">PivotTable Analyze &gt; Fields, Items &amp; Sets &gt; Calculated Field: =Profit/Sales</t>
  </si>
  <si>
    <t xml:space="preserve">D7</t>
  </si>
  <si>
    <t xml:space="preserve">Helper column: =IF(O2=0,"No discount",IF(O2&lt;=0.2,"Up to 20%","Above 20%")), then pivot Sum of Profit</t>
  </si>
  <si>
    <t xml:space="preserve">Helpers</t>
  </si>
  <si>
    <t xml:space="preserve">Supporting calculations used by the Answer Key. Do not edit.</t>
  </si>
  <si>
    <t xml:space="preserve">Assumption</t>
  </si>
  <si>
    <t xml:space="preserve">Item</t>
  </si>
  <si>
    <t xml:space="preserve">Note</t>
  </si>
  <si>
    <t xml:space="preserve">Duplicate rows planted in the CSV files</t>
  </si>
  <si>
    <t xml:space="preserve">Set when the CSV files were generated; used for Clean Check answers 1 and 2 only.</t>
  </si>
  <si>
    <t xml:space="preserve">Sales by month</t>
  </si>
  <si>
    <t xml:space="preserve">Sales and profit by category</t>
  </si>
  <si>
    <t xml:space="preserve">Profit by sub-category</t>
  </si>
  <si>
    <t xml:space="preserve">Totals by product</t>
  </si>
  <si>
    <t xml:space="preserve">Totals by customer</t>
  </si>
  <si>
    <t xml:space="preserve">Dashboard calculations (chart data, driven by the filters on the Dashboard sheet). Do not edit.</t>
  </si>
  <si>
    <t xml:space="preserve">Region criterion</t>
  </si>
  <si>
    <t xml:space="preserve">Category criterion</t>
  </si>
  <si>
    <t xml:space="preserve">From date</t>
  </si>
  <si>
    <t xml:space="preserve">To date</t>
  </si>
  <si>
    <t xml:space="preserve">Month start</t>
  </si>
  <si>
    <t xml:space="preserve">KPI</t>
  </si>
  <si>
    <t xml:space="preserve">Profit margin</t>
  </si>
  <si>
    <t xml:space="preserve">Average order value (₹)</t>
  </si>
  <si>
    <t xml:space="preserve">Share of full-year sales</t>
  </si>
  <si>
    <t xml:space="preserve">Share of full-year profit</t>
  </si>
  <si>
    <t xml:space="preserve">Full-year margin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</si>
</sst>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₹#,##0"/>
    <numFmt numFmtId="166" formatCode="#,##0"/>
    <numFmt numFmtId="167" formatCode="0"/>
    <numFmt numFmtId="168" formatCode="dd\-mmm\-yyyy"/>
    <numFmt numFmtId="169" formatCode="0%"/>
    <numFmt numFmtId="170" formatCode="0.0%"/>
    <numFmt numFmtId="171" formatCode="0.00"/>
    <numFmt numFmtId="172" formatCode="\₹#,##0;[RED]&quot;-₹&quot;#,##0"/>
    <numFmt numFmtId="173" formatCode="0.0%;[RED]\-0.0%"/>
    <numFmt numFmtId="174" formatCode="dd\-mmm\-yy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24"/>
      <color rgb="FF1F3864"/>
      <name val="Arial"/>
      <family val="0"/>
      <charset val="1"/>
    </font>
    <font>
      <b val="true"/>
      <sz val="24"/>
      <color rgb="FF548235"/>
      <name val="Arial"/>
      <family val="0"/>
      <charset val="1"/>
    </font>
    <font>
      <b val="true"/>
      <sz val="24"/>
      <color rgb="FFBF9000"/>
      <name val="Arial"/>
      <family val="0"/>
      <charset val="1"/>
    </font>
    <font>
      <b val="true"/>
      <sz val="24"/>
      <color rgb="FFC00000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AF0FA"/>
      </patternFill>
    </fill>
    <fill>
      <patternFill patternType="solid">
        <fgColor rgb="FF2F5597"/>
        <bgColor rgb="FF1F3864"/>
      </patternFill>
    </fill>
    <fill>
      <patternFill patternType="solid">
        <fgColor rgb="FFEAF0FA"/>
        <bgColor rgb="FFFF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C9DB"/>
      </left>
      <right style="thin">
        <color rgb="FFBFC9DB"/>
      </right>
      <top style="thin">
        <color rgb="FFBFC9DB"/>
      </top>
      <bottom style="thin">
        <color rgb="FFBFC9DB"/>
      </bottom>
      <diagonal/>
    </border>
    <border diagonalUp="false" diagonalDown="false">
      <left style="thin">
        <color rgb="FFBFC9DB"/>
      </left>
      <right style="thin">
        <color rgb="FFBFC9DB"/>
      </right>
      <top style="thick">
        <color rgb="FF1F3864"/>
      </top>
      <bottom/>
      <diagonal/>
    </border>
    <border diagonalUp="false" diagonalDown="false">
      <left style="thin">
        <color rgb="FFBFC9DB"/>
      </left>
      <right style="thin">
        <color rgb="FFBFC9DB"/>
      </right>
      <top style="thick">
        <color rgb="FF548235"/>
      </top>
      <bottom/>
      <diagonal/>
    </border>
    <border diagonalUp="false" diagonalDown="false">
      <left style="thin">
        <color rgb="FFBFC9DB"/>
      </left>
      <right style="thin">
        <color rgb="FFBFC9DB"/>
      </right>
      <top style="thick">
        <color rgb="FFBF9000"/>
      </top>
      <bottom/>
      <diagonal/>
    </border>
    <border diagonalUp="false" diagonalDown="false">
      <left style="thin">
        <color rgb="FFBFC9DB"/>
      </left>
      <right style="thin">
        <color rgb="FFBFC9DB"/>
      </right>
      <top style="thick">
        <color rgb="FFC00000"/>
      </top>
      <bottom/>
      <diagonal/>
    </border>
    <border diagonalUp="false" diagonalDown="false">
      <left style="thin">
        <color rgb="FFBFC9DB"/>
      </left>
      <right style="thin">
        <color rgb="FFBFC9DB"/>
      </right>
      <top/>
      <bottom/>
      <diagonal/>
    </border>
    <border diagonalUp="false" diagonalDown="false">
      <left style="thin">
        <color rgb="FFBFC9DB"/>
      </left>
      <right style="thin">
        <color rgb="FFBFC9DB"/>
      </right>
      <top/>
      <bottom style="thin">
        <color rgb="FFBFC9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4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EAF0FA"/>
      <rgbColor rgb="FF660066"/>
      <rgbColor rgb="FFFF8080"/>
      <rgbColor rgb="FF0066CC"/>
      <rgbColor rgb="FFBFC9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595959"/>
      <rgbColor rgb="FFB3B3B3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and Profit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Dash_Calc!C9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Dash_Calc!$B$10:$B$21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Dash_Calc!$C$10:$C$21</c:f>
              <c:numCache>
                <c:formatCode>\₹#,##0</c:formatCode>
                <c:ptCount val="12"/>
                <c:pt idx="0">
                  <c:v>305327</c:v>
                </c:pt>
                <c:pt idx="1">
                  <c:v>310888</c:v>
                </c:pt>
                <c:pt idx="2">
                  <c:v>299213</c:v>
                </c:pt>
                <c:pt idx="3">
                  <c:v>424765</c:v>
                </c:pt>
                <c:pt idx="4">
                  <c:v>444324</c:v>
                </c:pt>
                <c:pt idx="5">
                  <c:v>498900</c:v>
                </c:pt>
                <c:pt idx="6">
                  <c:v>418685</c:v>
                </c:pt>
                <c:pt idx="7">
                  <c:v>379426</c:v>
                </c:pt>
                <c:pt idx="8">
                  <c:v>366784</c:v>
                </c:pt>
                <c:pt idx="9">
                  <c:v>668213</c:v>
                </c:pt>
                <c:pt idx="10">
                  <c:v>776952</c:v>
                </c:pt>
                <c:pt idx="11">
                  <c:v>533194</c:v>
                </c:pt>
              </c:numCache>
            </c:numRef>
          </c:val>
        </c:ser>
        <c:gapWidth val="150"/>
        <c:overlap val="0"/>
        <c:axId val="69803467"/>
        <c:axId val="91175120"/>
      </c:barChart>
      <c:lineChart>
        <c:grouping val="standard"/>
        <c:varyColors val="0"/>
        <c:ser>
          <c:idx val="1"/>
          <c:order val="1"/>
          <c:tx>
            <c:strRef>
              <c:f>Dash_Calc!D9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rgbClr val="548235"/>
            </a:solidFill>
            <a:ln w="28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Dash_Calc!$B$10:$B$21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Dash_Calc!$D$10:$D$21</c:f>
              <c:numCache>
                <c:formatCode>\₹#,##0</c:formatCode>
                <c:ptCount val="12"/>
                <c:pt idx="0">
                  <c:v>78507</c:v>
                </c:pt>
                <c:pt idx="1">
                  <c:v>47508</c:v>
                </c:pt>
                <c:pt idx="2">
                  <c:v>54393</c:v>
                </c:pt>
                <c:pt idx="3">
                  <c:v>90505</c:v>
                </c:pt>
                <c:pt idx="4">
                  <c:v>89104</c:v>
                </c:pt>
                <c:pt idx="5">
                  <c:v>115750</c:v>
                </c:pt>
                <c:pt idx="6">
                  <c:v>92285</c:v>
                </c:pt>
                <c:pt idx="7">
                  <c:v>90066</c:v>
                </c:pt>
                <c:pt idx="8">
                  <c:v>93744</c:v>
                </c:pt>
                <c:pt idx="9">
                  <c:v>169513</c:v>
                </c:pt>
                <c:pt idx="10">
                  <c:v>176062</c:v>
                </c:pt>
                <c:pt idx="11">
                  <c:v>115004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803467"/>
        <c:axId val="91175120"/>
      </c:lineChart>
      <c:catAx>
        <c:axId val="698034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75120"/>
        <c:crosses val="autoZero"/>
        <c:auto val="1"/>
        <c:lblAlgn val="ctr"/>
        <c:lblOffset val="100"/>
        <c:noMultiLvlLbl val="0"/>
      </c:catAx>
      <c:valAx>
        <c:axId val="911751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034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(₹)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Dash_Calc!B24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Dash_Calc!$A$25:$A$28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Dash_Calc!$B$25:$B$28</c:f>
              <c:numCache>
                <c:formatCode>\₹#,##0</c:formatCode>
                <c:ptCount val="4"/>
                <c:pt idx="0">
                  <c:v>333766</c:v>
                </c:pt>
                <c:pt idx="1">
                  <c:v>1155087</c:v>
                </c:pt>
                <c:pt idx="2">
                  <c:v>1747516</c:v>
                </c:pt>
                <c:pt idx="3">
                  <c:v>2190302</c:v>
                </c:pt>
              </c:numCache>
            </c:numRef>
          </c:val>
        </c:ser>
        <c:gapWidth val="150"/>
        <c:overlap val="0"/>
        <c:axId val="20113757"/>
        <c:axId val="6028159"/>
      </c:barChart>
      <c:catAx>
        <c:axId val="201137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8159"/>
        <c:crosses val="autoZero"/>
        <c:auto val="1"/>
        <c:lblAlgn val="ctr"/>
        <c:lblOffset val="100"/>
        <c:noMultiLvlLbl val="0"/>
      </c:catAx>
      <c:valAx>
        <c:axId val="60281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137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(₹)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Dash_Calc!B31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Dash_Calc!$A$32:$A$37</c:f>
              <c:strCache>
                <c:ptCount val="6"/>
                <c:pt idx="0">
                  <c:v>Apparel</c:v>
                </c:pt>
                <c:pt idx="1">
                  <c:v>Beauty</c:v>
                </c:pt>
                <c:pt idx="2">
                  <c:v>Electronics</c:v>
                </c:pt>
                <c:pt idx="3">
                  <c:v>Furniture</c:v>
                </c:pt>
                <c:pt idx="4">
                  <c:v>Home</c:v>
                </c:pt>
                <c:pt idx="5">
                  <c:v>Stationery</c:v>
                </c:pt>
              </c:strCache>
            </c:strRef>
          </c:cat>
          <c:val>
            <c:numRef>
              <c:f>Dash_Calc!$B$32:$B$37</c:f>
              <c:numCache>
                <c:formatCode>\₹#,##0;[RED]"-₹"#,##0</c:formatCode>
                <c:ptCount val="6"/>
                <c:pt idx="0">
                  <c:v>200041</c:v>
                </c:pt>
                <c:pt idx="1">
                  <c:v>154704</c:v>
                </c:pt>
                <c:pt idx="2">
                  <c:v>447735</c:v>
                </c:pt>
                <c:pt idx="3">
                  <c:v>56785</c:v>
                </c:pt>
                <c:pt idx="4">
                  <c:v>256160</c:v>
                </c:pt>
                <c:pt idx="5">
                  <c:v>97016</c:v>
                </c:pt>
              </c:numCache>
            </c:numRef>
          </c:val>
        </c:ser>
        <c:gapWidth val="150"/>
        <c:overlap val="0"/>
        <c:axId val="40812894"/>
        <c:axId val="77082508"/>
      </c:barChart>
      <c:catAx>
        <c:axId val="408128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82508"/>
        <c:crosses val="autoZero"/>
        <c:auto val="1"/>
        <c:lblAlgn val="ctr"/>
        <c:lblOffset val="100"/>
        <c:noMultiLvlLbl val="0"/>
      </c:catAx>
      <c:valAx>
        <c:axId val="770825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128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(₹)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Pivots!B5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Pivots!$A$6:$A$9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Pivots!$B$6:$B$9</c:f>
              <c:numCache>
                <c:formatCode>\₹#,##0</c:formatCode>
                <c:ptCount val="4"/>
                <c:pt idx="0">
                  <c:v>333766</c:v>
                </c:pt>
                <c:pt idx="1">
                  <c:v>1155087</c:v>
                </c:pt>
                <c:pt idx="2">
                  <c:v>1747516</c:v>
                </c:pt>
                <c:pt idx="3">
                  <c:v>2190302</c:v>
                </c:pt>
              </c:numCache>
            </c:numRef>
          </c:val>
        </c:ser>
        <c:gapWidth val="150"/>
        <c:overlap val="0"/>
        <c:axId val="24951283"/>
        <c:axId val="88755588"/>
      </c:barChart>
      <c:catAx>
        <c:axId val="249512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55588"/>
        <c:crosses val="autoZero"/>
        <c:auto val="1"/>
        <c:lblAlgn val="ctr"/>
        <c:lblOffset val="100"/>
        <c:noMultiLvlLbl val="0"/>
      </c:catAx>
      <c:valAx>
        <c:axId val="887555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512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6</xdr:col>
      <xdr:colOff>890280</xdr:colOff>
      <xdr:row>26</xdr:row>
      <xdr:rowOff>94320</xdr:rowOff>
    </xdr:to>
    <xdr:graphicFrame>
      <xdr:nvGraphicFramePr>
        <xdr:cNvPr id="0" name="Chart 1"/>
        <xdr:cNvGraphicFramePr/>
      </xdr:nvGraphicFramePr>
      <xdr:xfrm>
        <a:off x="141120" y="2629080"/>
        <a:ext cx="5471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0</xdr:rowOff>
    </xdr:from>
    <xdr:to>
      <xdr:col>12</xdr:col>
      <xdr:colOff>889920</xdr:colOff>
      <xdr:row>26</xdr:row>
      <xdr:rowOff>94320</xdr:rowOff>
    </xdr:to>
    <xdr:graphicFrame>
      <xdr:nvGraphicFramePr>
        <xdr:cNvPr id="1" name="Chart 2"/>
        <xdr:cNvGraphicFramePr/>
      </xdr:nvGraphicFramePr>
      <xdr:xfrm>
        <a:off x="5638680" y="2629080"/>
        <a:ext cx="5471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6</xdr:col>
      <xdr:colOff>890280</xdr:colOff>
      <xdr:row>43</xdr:row>
      <xdr:rowOff>93960</xdr:rowOff>
    </xdr:to>
    <xdr:graphicFrame>
      <xdr:nvGraphicFramePr>
        <xdr:cNvPr id="2" name="Chart 3"/>
        <xdr:cNvGraphicFramePr/>
      </xdr:nvGraphicFramePr>
      <xdr:xfrm>
        <a:off x="141120" y="5867280"/>
        <a:ext cx="5471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11</xdr:col>
      <xdr:colOff>450720</xdr:colOff>
      <xdr:row>16</xdr:row>
      <xdr:rowOff>163800</xdr:rowOff>
    </xdr:to>
    <xdr:graphicFrame>
      <xdr:nvGraphicFramePr>
        <xdr:cNvPr id="3" name="Chart 1"/>
        <xdr:cNvGraphicFramePr/>
      </xdr:nvGraphicFramePr>
      <xdr:xfrm>
        <a:off x="6837120" y="5716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0"/>
    <col collapsed="false" customWidth="true" hidden="false" outlineLevel="0" max="3" min="3" style="1" width="46"/>
    <col collapsed="false" customWidth="true" hidden="false" outlineLevel="0" max="4" min="4" style="1" width="7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30" hidden="false" customHeight="true" outlineLevel="0" collapsed="false">
      <c r="A5" s="5" t="s">
        <v>6</v>
      </c>
      <c r="B5" s="5" t="s">
        <v>7</v>
      </c>
      <c r="C5" s="5" t="s">
        <v>8</v>
      </c>
      <c r="D5" s="5" t="s">
        <v>9</v>
      </c>
    </row>
    <row r="6" customFormat="false" ht="30" hidden="false" customHeight="true" outlineLevel="0" collapsed="false">
      <c r="A6" s="5" t="s">
        <v>10</v>
      </c>
      <c r="B6" s="5" t="s">
        <v>11</v>
      </c>
      <c r="C6" s="5" t="s">
        <v>12</v>
      </c>
      <c r="D6" s="5" t="s">
        <v>13</v>
      </c>
    </row>
    <row r="7" customFormat="false" ht="30" hidden="false" customHeight="true" outlineLevel="0" collapsed="false">
      <c r="A7" s="5" t="s">
        <v>14</v>
      </c>
      <c r="B7" s="5" t="s">
        <v>15</v>
      </c>
      <c r="C7" s="5" t="s">
        <v>16</v>
      </c>
      <c r="D7" s="5" t="s">
        <v>17</v>
      </c>
    </row>
    <row r="8" customFormat="false" ht="30" hidden="false" customHeight="true" outlineLevel="0" collapsed="false">
      <c r="A8" s="5" t="s">
        <v>18</v>
      </c>
      <c r="B8" s="5" t="s">
        <v>15</v>
      </c>
      <c r="C8" s="5" t="s">
        <v>19</v>
      </c>
      <c r="D8" s="5" t="s">
        <v>20</v>
      </c>
    </row>
    <row r="9" customFormat="false" ht="30" hidden="false" customHeight="true" outlineLevel="0" collapsed="false">
      <c r="A9" s="5" t="s">
        <v>21</v>
      </c>
      <c r="B9" s="5" t="s">
        <v>22</v>
      </c>
      <c r="C9" s="5" t="s">
        <v>23</v>
      </c>
      <c r="D9" s="5" t="s">
        <v>24</v>
      </c>
    </row>
    <row r="10" customFormat="false" ht="30" hidden="false" customHeight="true" outlineLevel="0" collapsed="false">
      <c r="A10" s="5" t="s">
        <v>25</v>
      </c>
      <c r="B10" s="5" t="s">
        <v>15</v>
      </c>
      <c r="C10" s="5" t="s">
        <v>26</v>
      </c>
      <c r="D10" s="5" t="s">
        <v>27</v>
      </c>
    </row>
    <row r="11" customFormat="false" ht="30" hidden="false" customHeight="true" outlineLevel="0" collapsed="false">
      <c r="A11" s="5" t="s">
        <v>28</v>
      </c>
      <c r="B11" s="5" t="s">
        <v>29</v>
      </c>
      <c r="C11" s="5" t="s">
        <v>30</v>
      </c>
      <c r="D11" s="5" t="s">
        <v>31</v>
      </c>
    </row>
    <row r="13" customFormat="false" ht="15" hidden="false" customHeight="true" outlineLevel="0" collapsed="false">
      <c r="A13" s="6" t="s">
        <v>32</v>
      </c>
      <c r="B13" s="7" t="s">
        <v>33</v>
      </c>
    </row>
    <row r="14" customFormat="false" ht="15" hidden="false" customHeight="true" outlineLevel="0" collapsed="false">
      <c r="A14" s="6" t="s">
        <v>34</v>
      </c>
      <c r="B14" s="7" t="s">
        <v>35</v>
      </c>
    </row>
    <row r="15" customFormat="false" ht="15" hidden="false" customHeight="true" outlineLevel="0" collapsed="false">
      <c r="A15" s="6" t="s">
        <v>36</v>
      </c>
      <c r="B15" s="7" t="str">
        <f aca="false">'Answer Key'!B3</f>
        <v>44 out of 44</v>
      </c>
    </row>
    <row r="16" customFormat="false" ht="15" hidden="false" customHeight="true" outlineLevel="0" collapsed="false">
      <c r="A16" s="6" t="s">
        <v>37</v>
      </c>
      <c r="B16" s="7" t="s">
        <v>38</v>
      </c>
    </row>
    <row r="18" customFormat="false" ht="15" hidden="false" customHeight="true" outlineLevel="0" collapsed="false">
      <c r="A18" s="8" t="s">
        <v>39</v>
      </c>
    </row>
    <row r="19" customFormat="false" ht="15" hidden="false" customHeight="true" outlineLevel="0" collapsed="false">
      <c r="A19" s="4" t="s">
        <v>40</v>
      </c>
      <c r="B19" s="4" t="s">
        <v>41</v>
      </c>
      <c r="C19" s="4" t="s">
        <v>42</v>
      </c>
      <c r="D19" s="4" t="s">
        <v>43</v>
      </c>
    </row>
    <row r="20" customFormat="false" ht="30" hidden="false" customHeight="true" outlineLevel="0" collapsed="false">
      <c r="A20" s="5" t="s">
        <v>44</v>
      </c>
      <c r="B20" s="5" t="s">
        <v>45</v>
      </c>
      <c r="C20" s="5" t="s">
        <v>46</v>
      </c>
      <c r="D20" s="9" t="s">
        <v>47</v>
      </c>
    </row>
    <row r="21" customFormat="false" ht="30" hidden="false" customHeight="true" outlineLevel="0" collapsed="false">
      <c r="A21" s="5" t="s">
        <v>48</v>
      </c>
      <c r="B21" s="5" t="s">
        <v>49</v>
      </c>
      <c r="C21" s="5" t="s">
        <v>50</v>
      </c>
      <c r="D21" s="9" t="s">
        <v>47</v>
      </c>
    </row>
    <row r="22" customFormat="false" ht="30" hidden="false" customHeight="true" outlineLevel="0" collapsed="false">
      <c r="A22" s="5" t="s">
        <v>51</v>
      </c>
      <c r="B22" s="5" t="s">
        <v>52</v>
      </c>
      <c r="C22" s="5" t="s">
        <v>53</v>
      </c>
      <c r="D22" s="9" t="s">
        <v>47</v>
      </c>
    </row>
    <row r="23" customFormat="false" ht="30" hidden="false" customHeight="true" outlineLevel="0" collapsed="false">
      <c r="A23" s="5" t="s">
        <v>54</v>
      </c>
      <c r="B23" s="5" t="s">
        <v>55</v>
      </c>
      <c r="C23" s="5" t="s">
        <v>56</v>
      </c>
      <c r="D23" s="9" t="s">
        <v>47</v>
      </c>
    </row>
    <row r="24" customFormat="false" ht="30" hidden="false" customHeight="true" outlineLevel="0" collapsed="false">
      <c r="A24" s="5" t="s">
        <v>57</v>
      </c>
      <c r="B24" s="5" t="s">
        <v>58</v>
      </c>
      <c r="C24" s="5" t="s">
        <v>59</v>
      </c>
      <c r="D24" s="9" t="s">
        <v>60</v>
      </c>
    </row>
    <row r="26" customFormat="false" ht="15" hidden="false" customHeight="true" outlineLevel="0" collapsed="false">
      <c r="A26" s="8" t="s">
        <v>61</v>
      </c>
    </row>
    <row r="27" customFormat="false" ht="15" hidden="false" customHeight="true" outlineLevel="0" collapsed="false">
      <c r="A27" s="4" t="s">
        <v>62</v>
      </c>
      <c r="B27" s="4" t="s">
        <v>63</v>
      </c>
      <c r="C27" s="4" t="s">
        <v>64</v>
      </c>
      <c r="D27" s="4" t="s">
        <v>65</v>
      </c>
    </row>
    <row r="28" customFormat="false" ht="15" hidden="false" customHeight="true" outlineLevel="0" collapsed="false">
      <c r="A28" s="10" t="s">
        <v>66</v>
      </c>
      <c r="B28" s="10" t="s">
        <v>67</v>
      </c>
      <c r="C28" s="10" t="s">
        <v>68</v>
      </c>
      <c r="D28" s="10" t="s">
        <v>47</v>
      </c>
    </row>
    <row r="29" customFormat="false" ht="15" hidden="false" customHeight="true" outlineLevel="0" collapsed="false">
      <c r="A29" s="11"/>
      <c r="B29" s="11"/>
      <c r="C29" s="11"/>
      <c r="D29" s="11"/>
    </row>
    <row r="30" customFormat="false" ht="15" hidden="false" customHeight="true" outlineLevel="0" collapsed="false">
      <c r="A30" s="11"/>
      <c r="B30" s="11"/>
      <c r="C30" s="11"/>
      <c r="D30" s="11"/>
    </row>
    <row r="31" customFormat="false" ht="15" hidden="false" customHeight="true" outlineLevel="0" collapsed="false">
      <c r="A31" s="11"/>
      <c r="B31" s="11"/>
      <c r="C31" s="11"/>
      <c r="D31" s="11"/>
    </row>
    <row r="32" customFormat="false" ht="15" hidden="false" customHeight="true" outlineLevel="0" collapsed="false">
      <c r="A32" s="11"/>
      <c r="B32" s="11"/>
      <c r="C32" s="11"/>
      <c r="D32" s="11"/>
    </row>
    <row r="33" customFormat="false" ht="15" hidden="false" customHeight="true" outlineLevel="0" collapsed="false">
      <c r="A33" s="11"/>
      <c r="B33" s="11"/>
      <c r="C33" s="11"/>
      <c r="D33" s="11"/>
    </row>
    <row r="34" customFormat="false" ht="15" hidden="false" customHeight="true" outlineLevel="0" collapsed="false">
      <c r="A34" s="11"/>
      <c r="B34" s="11"/>
      <c r="C34" s="11"/>
      <c r="D34" s="11"/>
    </row>
    <row r="35" customFormat="false" ht="15" hidden="false" customHeight="true" outlineLevel="0" collapsed="false">
      <c r="A35" s="11"/>
      <c r="B35" s="11"/>
      <c r="C35" s="11"/>
      <c r="D35" s="11"/>
    </row>
    <row r="36" customFormat="false" ht="15" hidden="false" customHeight="true" outlineLevel="0" collapsed="false">
      <c r="A36" s="11"/>
      <c r="B36" s="11"/>
      <c r="C36" s="11"/>
      <c r="D36" s="11"/>
    </row>
    <row r="37" customFormat="false" ht="15" hidden="false" customHeight="true" outlineLevel="0" collapsed="false">
      <c r="A37" s="11"/>
      <c r="B37" s="11"/>
      <c r="C37" s="11"/>
      <c r="D37" s="11"/>
    </row>
    <row r="38" customFormat="false" ht="15" hidden="false" customHeight="true" outlineLevel="0" collapsed="false">
      <c r="A38" s="11"/>
      <c r="B38" s="11"/>
      <c r="C38" s="11"/>
      <c r="D38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2"/>
    <col collapsed="false" customWidth="true" hidden="false" outlineLevel="0" max="3" min="3" style="1" width="26"/>
    <col collapsed="false" customWidth="true" hidden="false" outlineLevel="0" max="4" min="4" style="1" width="14"/>
  </cols>
  <sheetData>
    <row r="1" customFormat="false" ht="19.5" hidden="false" customHeight="true" outlineLevel="0" collapsed="false">
      <c r="A1" s="2" t="s">
        <v>69</v>
      </c>
    </row>
    <row r="2" customFormat="false" ht="15" hidden="false" customHeight="true" outlineLevel="0" collapsed="false">
      <c r="A2" s="3" t="s">
        <v>70</v>
      </c>
    </row>
    <row r="3" customFormat="false" ht="15" hidden="false" customHeight="true" outlineLevel="0" collapsed="false">
      <c r="A3" s="3" t="s">
        <v>71</v>
      </c>
    </row>
    <row r="4" customFormat="false" ht="15" hidden="false" customHeight="true" outlineLevel="0" collapsed="false">
      <c r="A4" s="4" t="s">
        <v>72</v>
      </c>
      <c r="B4" s="4" t="s">
        <v>73</v>
      </c>
      <c r="C4" s="4" t="s">
        <v>74</v>
      </c>
      <c r="D4" s="4" t="s">
        <v>43</v>
      </c>
    </row>
    <row r="5" customFormat="false" ht="43.5" hidden="false" customHeight="true" outlineLevel="0" collapsed="false">
      <c r="A5" s="11" t="n">
        <v>1</v>
      </c>
      <c r="B5" s="5" t="s">
        <v>75</v>
      </c>
      <c r="C5" s="12" t="n">
        <v>1210</v>
      </c>
      <c r="D5" s="9" t="s">
        <v>47</v>
      </c>
    </row>
    <row r="6" customFormat="false" ht="31.5" hidden="false" customHeight="true" outlineLevel="0" collapsed="false">
      <c r="A6" s="11" t="n">
        <v>2</v>
      </c>
      <c r="B6" s="5" t="s">
        <v>76</v>
      </c>
      <c r="C6" s="12" t="n">
        <f aca="false">C5-C7</f>
        <v>10</v>
      </c>
      <c r="D6" s="9" t="s">
        <v>47</v>
      </c>
    </row>
    <row r="7" customFormat="false" ht="31.5" hidden="false" customHeight="true" outlineLevel="0" collapsed="false">
      <c r="A7" s="11" t="n">
        <v>3</v>
      </c>
      <c r="B7" s="5" t="s">
        <v>77</v>
      </c>
      <c r="C7" s="12" t="n">
        <f aca="false">COUNTA('Sales Data'!$A$2:$A$1201)</f>
        <v>1200</v>
      </c>
      <c r="D7" s="9" t="s">
        <v>47</v>
      </c>
    </row>
    <row r="8" customFormat="false" ht="31.5" hidden="false" customHeight="true" outlineLevel="0" collapsed="false">
      <c r="A8" s="11" t="n">
        <v>4</v>
      </c>
      <c r="B8" s="5" t="s">
        <v>78</v>
      </c>
      <c r="C8" s="13" t="n">
        <f aca="false">SUM('Sales Data'!$P$2:$P$1201)</f>
        <v>5426671</v>
      </c>
      <c r="D8" s="9" t="s">
        <v>47</v>
      </c>
    </row>
    <row r="9" customFormat="false" ht="43.5" hidden="false" customHeight="true" outlineLevel="0" collapsed="false">
      <c r="A9" s="11" t="n">
        <v>5</v>
      </c>
      <c r="B9" s="5" t="s">
        <v>79</v>
      </c>
      <c r="C9" s="12" t="n">
        <f aca="false">ROUND(SUMPRODUCT(1/COUNTIF('Sales Data'!$E$2:$E$1201,'Sales Data'!$E$2:$E$1201)),0)</f>
        <v>220</v>
      </c>
      <c r="D9" s="9" t="s">
        <v>47</v>
      </c>
    </row>
    <row r="10" customFormat="false" ht="31.5" hidden="false" customHeight="true" outlineLevel="0" collapsed="false">
      <c r="A10" s="11" t="n">
        <v>6</v>
      </c>
      <c r="B10" s="5" t="s">
        <v>80</v>
      </c>
      <c r="C10" s="12" t="n">
        <f aca="false">ROUND(SUMPRODUCT(1/COUNTIF('Sales Data'!$G$2:$G$1201,'Sales Data'!$G$2:$G$1201)),0)</f>
        <v>4</v>
      </c>
      <c r="D10" s="9" t="s">
        <v>47</v>
      </c>
    </row>
    <row r="11" customFormat="false" ht="31.5" hidden="false" customHeight="true" outlineLevel="0" collapsed="false">
      <c r="A11" s="11" t="n">
        <v>7</v>
      </c>
      <c r="B11" s="5" t="s">
        <v>81</v>
      </c>
      <c r="C11" s="12" t="n">
        <f aca="false">COUNTIF('Sales Data'!$S$2:$S$1201,"Y")</f>
        <v>48</v>
      </c>
      <c r="D11" s="9" t="s">
        <v>47</v>
      </c>
    </row>
    <row r="12" customFormat="false" ht="43.5" hidden="false" customHeight="true" outlineLevel="0" collapsed="false">
      <c r="A12" s="11" t="n">
        <v>8</v>
      </c>
      <c r="B12" s="5" t="s">
        <v>82</v>
      </c>
      <c r="C12" s="14" t="s">
        <v>83</v>
      </c>
      <c r="D12" s="9" t="s">
        <v>60</v>
      </c>
    </row>
    <row r="13" customFormat="false" ht="43.5" hidden="false" customHeight="true" outlineLevel="0" collapsed="false">
      <c r="A13" s="11" t="n">
        <v>9</v>
      </c>
      <c r="B13" s="5" t="s">
        <v>84</v>
      </c>
      <c r="C13" s="14" t="s">
        <v>85</v>
      </c>
      <c r="D13" s="9" t="s">
        <v>60</v>
      </c>
    </row>
    <row r="16" customFormat="false" ht="15" hidden="false" customHeight="true" outlineLevel="0" collapsed="false">
      <c r="A16" s="8" t="s">
        <v>86</v>
      </c>
    </row>
    <row r="17" customFormat="false" ht="15" hidden="false" customHeight="true" outlineLevel="0" collapsed="false">
      <c r="A17" s="4" t="s">
        <v>72</v>
      </c>
      <c r="B17" s="4" t="s">
        <v>87</v>
      </c>
      <c r="C17" s="4" t="s">
        <v>88</v>
      </c>
    </row>
    <row r="18" customFormat="false" ht="31.5" hidden="false" customHeight="true" outlineLevel="0" collapsed="false">
      <c r="A18" s="11" t="n">
        <v>1</v>
      </c>
      <c r="B18" s="5" t="s">
        <v>89</v>
      </c>
      <c r="C18" s="5" t="s">
        <v>90</v>
      </c>
    </row>
    <row r="19" customFormat="false" ht="31.5" hidden="false" customHeight="true" outlineLevel="0" collapsed="false">
      <c r="A19" s="11" t="n">
        <v>2</v>
      </c>
      <c r="B19" s="5" t="s">
        <v>91</v>
      </c>
      <c r="C19" s="5" t="s">
        <v>92</v>
      </c>
    </row>
    <row r="20" customFormat="false" ht="31.5" hidden="false" customHeight="true" outlineLevel="0" collapsed="false">
      <c r="A20" s="11" t="n">
        <v>3</v>
      </c>
      <c r="B20" s="5" t="s">
        <v>93</v>
      </c>
      <c r="C20" s="5" t="s">
        <v>94</v>
      </c>
    </row>
    <row r="21" customFormat="false" ht="31.5" hidden="false" customHeight="true" outlineLevel="0" collapsed="false">
      <c r="A21" s="11" t="n">
        <v>4</v>
      </c>
      <c r="B21" s="5" t="s">
        <v>95</v>
      </c>
      <c r="C21" s="5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52"/>
  </cols>
  <sheetData>
    <row r="1" customFormat="false" ht="19.7" hidden="false" customHeight="false" outlineLevel="0" collapsed="false">
      <c r="A1" s="15" t="s">
        <v>97</v>
      </c>
    </row>
    <row r="2" customFormat="false" ht="15" hidden="false" customHeight="false" outlineLevel="0" collapsed="false">
      <c r="A2" s="16" t="s">
        <v>98</v>
      </c>
    </row>
    <row r="4" customFormat="false" ht="15" hidden="false" customHeight="false" outlineLevel="0" collapsed="false">
      <c r="A4" s="17" t="s">
        <v>99</v>
      </c>
      <c r="B4" s="17" t="s">
        <v>100</v>
      </c>
      <c r="C4" s="17" t="s">
        <v>101</v>
      </c>
      <c r="D4" s="17" t="s">
        <v>102</v>
      </c>
      <c r="E4" s="17" t="s">
        <v>103</v>
      </c>
    </row>
    <row r="5" customFormat="false" ht="31.5" hidden="false" customHeight="true" outlineLevel="0" collapsed="false">
      <c r="A5" s="18" t="n">
        <v>1</v>
      </c>
      <c r="B5" s="19" t="s">
        <v>104</v>
      </c>
      <c r="C5" s="19" t="s">
        <v>105</v>
      </c>
      <c r="D5" s="18" t="n">
        <v>1210</v>
      </c>
      <c r="E5" s="19" t="s">
        <v>106</v>
      </c>
    </row>
    <row r="6" customFormat="false" ht="31.5" hidden="false" customHeight="true" outlineLevel="0" collapsed="false">
      <c r="A6" s="18" t="n">
        <v>2</v>
      </c>
      <c r="B6" s="19" t="s">
        <v>107</v>
      </c>
      <c r="C6" s="19" t="s">
        <v>108</v>
      </c>
      <c r="D6" s="18" t="n">
        <v>1210</v>
      </c>
      <c r="E6" s="19" t="s">
        <v>109</v>
      </c>
    </row>
    <row r="7" customFormat="false" ht="31.5" hidden="false" customHeight="true" outlineLevel="0" collapsed="false">
      <c r="A7" s="18" t="n">
        <v>3</v>
      </c>
      <c r="B7" s="19" t="s">
        <v>110</v>
      </c>
      <c r="C7" s="19" t="s">
        <v>111</v>
      </c>
      <c r="D7" s="18" t="n">
        <v>1210</v>
      </c>
      <c r="E7" s="19" t="s">
        <v>112</v>
      </c>
    </row>
    <row r="8" customFormat="false" ht="31.5" hidden="false" customHeight="true" outlineLevel="0" collapsed="false">
      <c r="A8" s="18" t="n">
        <v>4</v>
      </c>
      <c r="B8" s="19" t="s">
        <v>113</v>
      </c>
      <c r="C8" s="19" t="s">
        <v>114</v>
      </c>
      <c r="D8" s="18" t="n">
        <v>1210</v>
      </c>
      <c r="E8" s="19" t="s">
        <v>115</v>
      </c>
    </row>
    <row r="9" customFormat="false" ht="31.5" hidden="false" customHeight="true" outlineLevel="0" collapsed="false">
      <c r="A9" s="18" t="n">
        <v>5</v>
      </c>
      <c r="B9" s="19" t="s">
        <v>116</v>
      </c>
      <c r="C9" s="19" t="s">
        <v>117</v>
      </c>
      <c r="D9" s="18" t="n">
        <v>1210</v>
      </c>
      <c r="E9" s="19" t="s">
        <v>118</v>
      </c>
    </row>
    <row r="10" customFormat="false" ht="31.5" hidden="false" customHeight="true" outlineLevel="0" collapsed="false">
      <c r="A10" s="18" t="n">
        <v>6</v>
      </c>
      <c r="B10" s="19" t="s">
        <v>119</v>
      </c>
      <c r="C10" s="19" t="s">
        <v>120</v>
      </c>
      <c r="D10" s="18" t="n">
        <v>1210</v>
      </c>
      <c r="E10" s="19" t="s">
        <v>121</v>
      </c>
    </row>
    <row r="11" customFormat="false" ht="31.5" hidden="false" customHeight="true" outlineLevel="0" collapsed="false">
      <c r="A11" s="18" t="n">
        <v>7</v>
      </c>
      <c r="B11" s="19" t="s">
        <v>122</v>
      </c>
      <c r="C11" s="19" t="s">
        <v>123</v>
      </c>
      <c r="D11" s="18" t="n">
        <v>1200</v>
      </c>
      <c r="E11" s="19" t="s">
        <v>124</v>
      </c>
    </row>
    <row r="12" customFormat="false" ht="31.5" hidden="false" customHeight="true" outlineLevel="0" collapsed="false">
      <c r="A12" s="18" t="n">
        <v>8</v>
      </c>
      <c r="B12" s="19" t="s">
        <v>125</v>
      </c>
      <c r="C12" s="19" t="s">
        <v>126</v>
      </c>
      <c r="D12" s="18" t="n">
        <v>1200</v>
      </c>
      <c r="E12" s="19" t="s">
        <v>127</v>
      </c>
    </row>
    <row r="15" customFormat="false" ht="15" hidden="false" customHeight="false" outlineLevel="0" collapsed="false">
      <c r="A15" s="20" t="s">
        <v>128</v>
      </c>
    </row>
    <row r="16" customFormat="false" ht="15" hidden="false" customHeight="false" outlineLevel="0" collapsed="false">
      <c r="A16" s="17"/>
      <c r="B16" s="17" t="s">
        <v>129</v>
      </c>
      <c r="C16" s="17" t="s">
        <v>130</v>
      </c>
      <c r="D16" s="17"/>
      <c r="E16" s="17"/>
    </row>
    <row r="17" customFormat="false" ht="15" hidden="false" customHeight="false" outlineLevel="0" collapsed="false">
      <c r="B17" s="21" t="s">
        <v>131</v>
      </c>
      <c r="C17" s="22" t="n">
        <f aca="false">COUNTA('Sales Data'!$A$2:$A$1201)</f>
        <v>1200</v>
      </c>
    </row>
    <row r="18" customFormat="false" ht="15" hidden="false" customHeight="false" outlineLevel="0" collapsed="false">
      <c r="B18" s="21" t="s">
        <v>132</v>
      </c>
      <c r="C18" s="22" t="n">
        <f aca="false">COUNTA('Sales Data'!$A$2:$A$1201)-SUMPRODUCT(1/COUNTIF('Sales Data'!$A$2:$A$1201,'Sales Data'!$A$2:$A$1201))</f>
        <v>0</v>
      </c>
    </row>
    <row r="19" customFormat="false" ht="15" hidden="false" customHeight="false" outlineLevel="0" collapsed="false">
      <c r="B19" s="21" t="s">
        <v>133</v>
      </c>
      <c r="C19" s="23" t="n">
        <f aca="false">SUM('Sales Data'!$P$2:$P$1201)</f>
        <v>5426671</v>
      </c>
    </row>
    <row r="20" customFormat="false" ht="15" hidden="false" customHeight="false" outlineLevel="0" collapsed="false">
      <c r="B20" s="21" t="s">
        <v>134</v>
      </c>
      <c r="C20" s="24" t="n">
        <f aca="false">ROUND(SUMPRODUCT(1/COUNTIF('Sales Data'!$G$2:$G$1201,'Sales Data'!$G$2:$G$1201)),0)</f>
        <v>4</v>
      </c>
    </row>
    <row r="21" customFormat="false" ht="15" hidden="false" customHeight="false" outlineLevel="0" collapsed="false">
      <c r="B21" s="21" t="s">
        <v>135</v>
      </c>
      <c r="C21" s="24" t="n">
        <f aca="false">COUNTIF('Sales Data'!$S$2:$S$1201,"Y")</f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T1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3"/>
    <col collapsed="false" customWidth="true" hidden="false" outlineLevel="0" max="4" min="4" style="1" width="11"/>
    <col collapsed="false" customWidth="true" hidden="false" outlineLevel="0" max="5" min="5" style="1" width="22"/>
    <col collapsed="false" customWidth="true" hidden="false" outlineLevel="0" max="6" min="6" style="1" width="13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9" min="9" style="1" width="13"/>
    <col collapsed="false" customWidth="true" hidden="false" outlineLevel="0" max="10" min="10" style="1" width="15"/>
    <col collapsed="false" customWidth="true" hidden="false" outlineLevel="0" max="11" min="11" style="1" width="11"/>
    <col collapsed="false" customWidth="true" hidden="false" outlineLevel="0" max="12" min="12" style="1" width="27"/>
    <col collapsed="false" customWidth="true" hidden="false" outlineLevel="0" max="13" min="13" style="1" width="6"/>
    <col collapsed="false" customWidth="true" hidden="false" outlineLevel="0" max="14" min="14" style="1" width="13"/>
    <col collapsed="false" customWidth="true" hidden="false" outlineLevel="0" max="15" min="15" style="1" width="10"/>
    <col collapsed="false" customWidth="true" hidden="false" outlineLevel="0" max="18" min="16" style="1" width="12"/>
    <col collapsed="false" customWidth="true" hidden="false" outlineLevel="0" max="19" min="19" style="1" width="10"/>
    <col collapsed="false" customWidth="true" hidden="false" outlineLevel="0" max="20" min="20" style="0" width="15"/>
  </cols>
  <sheetData>
    <row r="1" customFormat="false" ht="23.25" hidden="false" customHeight="true" outlineLevel="0" collapsed="false">
      <c r="A1" s="25" t="s">
        <v>136</v>
      </c>
      <c r="B1" s="25" t="s">
        <v>137</v>
      </c>
      <c r="C1" s="25" t="s">
        <v>138</v>
      </c>
      <c r="D1" s="25" t="s">
        <v>139</v>
      </c>
      <c r="E1" s="25" t="s">
        <v>140</v>
      </c>
      <c r="F1" s="25" t="s">
        <v>141</v>
      </c>
      <c r="G1" s="25" t="s">
        <v>142</v>
      </c>
      <c r="H1" s="25" t="s">
        <v>143</v>
      </c>
      <c r="I1" s="25" t="s">
        <v>144</v>
      </c>
      <c r="J1" s="25" t="s">
        <v>145</v>
      </c>
      <c r="K1" s="25" t="s">
        <v>146</v>
      </c>
      <c r="L1" s="25" t="s">
        <v>147</v>
      </c>
      <c r="M1" s="25" t="s">
        <v>148</v>
      </c>
      <c r="N1" s="25" t="s">
        <v>149</v>
      </c>
      <c r="O1" s="25" t="s">
        <v>150</v>
      </c>
      <c r="P1" s="25" t="s">
        <v>151</v>
      </c>
      <c r="Q1" s="25" t="s">
        <v>152</v>
      </c>
      <c r="R1" s="25" t="s">
        <v>153</v>
      </c>
      <c r="S1" s="25" t="s">
        <v>154</v>
      </c>
      <c r="T1" s="25" t="s">
        <v>155</v>
      </c>
    </row>
    <row r="2" customFormat="false" ht="15" hidden="false" customHeight="true" outlineLevel="0" collapsed="false">
      <c r="A2" s="7" t="s">
        <v>156</v>
      </c>
      <c r="B2" s="26" t="n">
        <v>45658</v>
      </c>
      <c r="C2" s="26" t="n">
        <v>45659</v>
      </c>
      <c r="D2" s="7" t="s">
        <v>157</v>
      </c>
      <c r="E2" s="7" t="s">
        <v>158</v>
      </c>
      <c r="F2" s="7" t="s">
        <v>159</v>
      </c>
      <c r="G2" s="7" t="s">
        <v>160</v>
      </c>
      <c r="H2" s="7" t="s">
        <v>161</v>
      </c>
      <c r="I2" s="7" t="s">
        <v>162</v>
      </c>
      <c r="J2" s="7" t="s">
        <v>163</v>
      </c>
      <c r="K2" s="7" t="s">
        <v>164</v>
      </c>
      <c r="L2" s="7" t="s">
        <v>165</v>
      </c>
      <c r="M2" s="7" t="n">
        <v>2</v>
      </c>
      <c r="N2" s="27" t="n">
        <v>1999</v>
      </c>
      <c r="O2" s="28" t="n">
        <v>0.3</v>
      </c>
      <c r="P2" s="27" t="n">
        <v>2799</v>
      </c>
      <c r="Q2" s="27" t="n">
        <v>2100</v>
      </c>
      <c r="R2" s="27" t="n">
        <v>699</v>
      </c>
      <c r="S2" s="7" t="s">
        <v>60</v>
      </c>
      <c r="T2" s="7" t="str">
        <f aca="false">IF(O2=0,"No discount",IF(O2&lt;=0.2,"Up to 20%","Above 20%"))</f>
        <v>Above 20%</v>
      </c>
    </row>
    <row r="3" customFormat="false" ht="15" hidden="false" customHeight="true" outlineLevel="0" collapsed="false">
      <c r="A3" s="7" t="s">
        <v>166</v>
      </c>
      <c r="B3" s="26" t="n">
        <v>45658</v>
      </c>
      <c r="C3" s="26" t="n">
        <v>45659</v>
      </c>
      <c r="D3" s="7" t="s">
        <v>167</v>
      </c>
      <c r="E3" s="7" t="s">
        <v>168</v>
      </c>
      <c r="F3" s="7" t="s">
        <v>159</v>
      </c>
      <c r="G3" s="7" t="s">
        <v>169</v>
      </c>
      <c r="H3" s="7" t="s">
        <v>170</v>
      </c>
      <c r="I3" s="7" t="s">
        <v>171</v>
      </c>
      <c r="J3" s="7" t="s">
        <v>172</v>
      </c>
      <c r="K3" s="7" t="s">
        <v>173</v>
      </c>
      <c r="L3" s="7" t="s">
        <v>174</v>
      </c>
      <c r="M3" s="7" t="n">
        <v>1</v>
      </c>
      <c r="N3" s="27" t="n">
        <v>699</v>
      </c>
      <c r="O3" s="28" t="n">
        <v>0.05</v>
      </c>
      <c r="P3" s="27" t="n">
        <v>664</v>
      </c>
      <c r="Q3" s="27" t="n">
        <v>320</v>
      </c>
      <c r="R3" s="27" t="n">
        <v>344</v>
      </c>
      <c r="S3" s="7" t="s">
        <v>60</v>
      </c>
      <c r="T3" s="7" t="str">
        <f aca="false">IF(O3=0,"No discount",IF(O3&lt;=0.2,"Up to 20%","Above 20%"))</f>
        <v>Up to 20%</v>
      </c>
    </row>
    <row r="4" customFormat="false" ht="15" hidden="false" customHeight="true" outlineLevel="0" collapsed="false">
      <c r="A4" s="7" t="s">
        <v>175</v>
      </c>
      <c r="B4" s="26" t="n">
        <v>45658</v>
      </c>
      <c r="C4" s="26" t="n">
        <v>45660</v>
      </c>
      <c r="D4" s="7" t="s">
        <v>176</v>
      </c>
      <c r="E4" s="7" t="s">
        <v>177</v>
      </c>
      <c r="F4" s="7" t="s">
        <v>178</v>
      </c>
      <c r="G4" s="7" t="s">
        <v>169</v>
      </c>
      <c r="H4" s="7" t="s">
        <v>179</v>
      </c>
      <c r="I4" s="7" t="s">
        <v>171</v>
      </c>
      <c r="J4" s="7" t="s">
        <v>172</v>
      </c>
      <c r="K4" s="7" t="s">
        <v>180</v>
      </c>
      <c r="L4" s="7" t="s">
        <v>181</v>
      </c>
      <c r="M4" s="7" t="n">
        <v>1</v>
      </c>
      <c r="N4" s="27" t="n">
        <v>999</v>
      </c>
      <c r="O4" s="28" t="n">
        <v>0.05</v>
      </c>
      <c r="P4" s="27" t="n">
        <v>949</v>
      </c>
      <c r="Q4" s="27" t="n">
        <v>520</v>
      </c>
      <c r="R4" s="27" t="n">
        <v>429</v>
      </c>
      <c r="S4" s="7" t="s">
        <v>60</v>
      </c>
      <c r="T4" s="7" t="str">
        <f aca="false">IF(O4=0,"No discount",IF(O4&lt;=0.2,"Up to 20%","Above 20%"))</f>
        <v>Up to 20%</v>
      </c>
    </row>
    <row r="5" customFormat="false" ht="15" hidden="false" customHeight="true" outlineLevel="0" collapsed="false">
      <c r="A5" s="7" t="s">
        <v>182</v>
      </c>
      <c r="B5" s="26" t="n">
        <v>45660</v>
      </c>
      <c r="C5" s="26" t="n">
        <v>45662</v>
      </c>
      <c r="D5" s="7" t="s">
        <v>183</v>
      </c>
      <c r="E5" s="7" t="s">
        <v>184</v>
      </c>
      <c r="F5" s="7" t="s">
        <v>178</v>
      </c>
      <c r="G5" s="7" t="s">
        <v>160</v>
      </c>
      <c r="H5" s="7" t="s">
        <v>161</v>
      </c>
      <c r="I5" s="7" t="s">
        <v>162</v>
      </c>
      <c r="J5" s="7" t="s">
        <v>185</v>
      </c>
      <c r="K5" s="7" t="s">
        <v>186</v>
      </c>
      <c r="L5" s="7" t="s">
        <v>187</v>
      </c>
      <c r="M5" s="7" t="n">
        <v>1</v>
      </c>
      <c r="N5" s="27" t="n">
        <v>3299</v>
      </c>
      <c r="O5" s="28" t="n">
        <v>0.4</v>
      </c>
      <c r="P5" s="27" t="n">
        <v>1979</v>
      </c>
      <c r="Q5" s="27" t="n">
        <v>1900</v>
      </c>
      <c r="R5" s="27" t="n">
        <v>79</v>
      </c>
      <c r="S5" s="7" t="s">
        <v>60</v>
      </c>
      <c r="T5" s="7" t="str">
        <f aca="false">IF(O5=0,"No discount",IF(O5&lt;=0.2,"Up to 20%","Above 20%"))</f>
        <v>Above 20%</v>
      </c>
    </row>
    <row r="6" customFormat="false" ht="15" hidden="false" customHeight="true" outlineLevel="0" collapsed="false">
      <c r="A6" s="7" t="s">
        <v>188</v>
      </c>
      <c r="B6" s="26" t="n">
        <v>45660</v>
      </c>
      <c r="C6" s="26" t="n">
        <v>45664</v>
      </c>
      <c r="D6" s="7" t="s">
        <v>189</v>
      </c>
      <c r="E6" s="7" t="s">
        <v>190</v>
      </c>
      <c r="F6" s="7" t="s">
        <v>159</v>
      </c>
      <c r="G6" s="7" t="s">
        <v>169</v>
      </c>
      <c r="H6" s="7" t="s">
        <v>191</v>
      </c>
      <c r="I6" s="7" t="s">
        <v>192</v>
      </c>
      <c r="J6" s="7" t="s">
        <v>193</v>
      </c>
      <c r="K6" s="7" t="s">
        <v>194</v>
      </c>
      <c r="L6" s="7" t="s">
        <v>195</v>
      </c>
      <c r="M6" s="7" t="n">
        <v>1</v>
      </c>
      <c r="N6" s="27" t="n">
        <v>8999</v>
      </c>
      <c r="O6" s="28" t="n">
        <v>0.3</v>
      </c>
      <c r="P6" s="27" t="n">
        <v>6299</v>
      </c>
      <c r="Q6" s="27" t="n">
        <v>6800</v>
      </c>
      <c r="R6" s="27" t="n">
        <v>-501</v>
      </c>
      <c r="S6" s="7" t="s">
        <v>60</v>
      </c>
      <c r="T6" s="7" t="str">
        <f aca="false">IF(O6=0,"No discount",IF(O6&lt;=0.2,"Up to 20%","Above 20%"))</f>
        <v>Above 20%</v>
      </c>
    </row>
    <row r="7" customFormat="false" ht="15" hidden="false" customHeight="true" outlineLevel="0" collapsed="false">
      <c r="A7" s="7" t="s">
        <v>196</v>
      </c>
      <c r="B7" s="26" t="n">
        <v>45660</v>
      </c>
      <c r="C7" s="26" t="n">
        <v>45666</v>
      </c>
      <c r="D7" s="7" t="s">
        <v>197</v>
      </c>
      <c r="E7" s="7" t="s">
        <v>198</v>
      </c>
      <c r="F7" s="7" t="s">
        <v>178</v>
      </c>
      <c r="G7" s="7" t="s">
        <v>169</v>
      </c>
      <c r="H7" s="7" t="s">
        <v>191</v>
      </c>
      <c r="I7" s="7" t="s">
        <v>199</v>
      </c>
      <c r="J7" s="7" t="s">
        <v>200</v>
      </c>
      <c r="K7" s="7" t="s">
        <v>201</v>
      </c>
      <c r="L7" s="7" t="s">
        <v>202</v>
      </c>
      <c r="M7" s="7" t="n">
        <v>4</v>
      </c>
      <c r="N7" s="27" t="n">
        <v>399</v>
      </c>
      <c r="O7" s="28" t="n">
        <v>0</v>
      </c>
      <c r="P7" s="27" t="n">
        <v>1596</v>
      </c>
      <c r="Q7" s="27" t="n">
        <v>640</v>
      </c>
      <c r="R7" s="27" t="n">
        <v>956</v>
      </c>
      <c r="S7" s="7" t="s">
        <v>60</v>
      </c>
      <c r="T7" s="7" t="str">
        <f aca="false">IF(O7=0,"No discount",IF(O7&lt;=0.2,"Up to 20%","Above 20%"))</f>
        <v>No discount</v>
      </c>
    </row>
    <row r="8" customFormat="false" ht="15" hidden="false" customHeight="true" outlineLevel="0" collapsed="false">
      <c r="A8" s="7" t="s">
        <v>203</v>
      </c>
      <c r="B8" s="26" t="n">
        <v>45661</v>
      </c>
      <c r="C8" s="26" t="n">
        <v>45664</v>
      </c>
      <c r="D8" s="7" t="s">
        <v>204</v>
      </c>
      <c r="E8" s="7" t="s">
        <v>205</v>
      </c>
      <c r="F8" s="7" t="s">
        <v>159</v>
      </c>
      <c r="G8" s="7" t="s">
        <v>206</v>
      </c>
      <c r="H8" s="7" t="s">
        <v>207</v>
      </c>
      <c r="I8" s="7" t="s">
        <v>208</v>
      </c>
      <c r="J8" s="7" t="s">
        <v>209</v>
      </c>
      <c r="K8" s="7" t="s">
        <v>210</v>
      </c>
      <c r="L8" s="7" t="s">
        <v>211</v>
      </c>
      <c r="M8" s="7" t="n">
        <v>1</v>
      </c>
      <c r="N8" s="27" t="n">
        <v>3499</v>
      </c>
      <c r="O8" s="28" t="n">
        <v>0.05</v>
      </c>
      <c r="P8" s="27" t="n">
        <v>3324</v>
      </c>
      <c r="Q8" s="27" t="n">
        <v>2200</v>
      </c>
      <c r="R8" s="27" t="n">
        <v>1124</v>
      </c>
      <c r="S8" s="7" t="s">
        <v>60</v>
      </c>
      <c r="T8" s="7" t="str">
        <f aca="false">IF(O8=0,"No discount",IF(O8&lt;=0.2,"Up to 20%","Above 20%"))</f>
        <v>Up to 20%</v>
      </c>
    </row>
    <row r="9" customFormat="false" ht="15" hidden="false" customHeight="true" outlineLevel="0" collapsed="false">
      <c r="A9" s="7" t="s">
        <v>212</v>
      </c>
      <c r="B9" s="26" t="n">
        <v>45662</v>
      </c>
      <c r="C9" s="26" t="n">
        <v>45668</v>
      </c>
      <c r="D9" s="7" t="s">
        <v>204</v>
      </c>
      <c r="E9" s="7" t="s">
        <v>205</v>
      </c>
      <c r="F9" s="7" t="s">
        <v>159</v>
      </c>
      <c r="G9" s="7" t="s">
        <v>206</v>
      </c>
      <c r="H9" s="7" t="s">
        <v>207</v>
      </c>
      <c r="I9" s="7" t="s">
        <v>192</v>
      </c>
      <c r="J9" s="7" t="s">
        <v>213</v>
      </c>
      <c r="K9" s="7" t="s">
        <v>214</v>
      </c>
      <c r="L9" s="7" t="s">
        <v>215</v>
      </c>
      <c r="M9" s="7" t="n">
        <v>1</v>
      </c>
      <c r="N9" s="27" t="n">
        <v>5999</v>
      </c>
      <c r="O9" s="28" t="n">
        <v>0.3</v>
      </c>
      <c r="P9" s="27" t="n">
        <v>4199</v>
      </c>
      <c r="Q9" s="27" t="n">
        <v>4600</v>
      </c>
      <c r="R9" s="27" t="n">
        <v>-401</v>
      </c>
      <c r="S9" s="7" t="s">
        <v>60</v>
      </c>
      <c r="T9" s="7" t="str">
        <f aca="false">IF(O9=0,"No discount",IF(O9&lt;=0.2,"Up to 20%","Above 20%"))</f>
        <v>Above 20%</v>
      </c>
    </row>
    <row r="10" customFormat="false" ht="15" hidden="false" customHeight="true" outlineLevel="0" collapsed="false">
      <c r="A10" s="7" t="s">
        <v>216</v>
      </c>
      <c r="B10" s="26" t="n">
        <v>45662</v>
      </c>
      <c r="C10" s="26" t="n">
        <v>45665</v>
      </c>
      <c r="D10" s="7" t="s">
        <v>217</v>
      </c>
      <c r="E10" s="7" t="s">
        <v>218</v>
      </c>
      <c r="F10" s="7" t="s">
        <v>219</v>
      </c>
      <c r="G10" s="7" t="s">
        <v>206</v>
      </c>
      <c r="H10" s="7" t="s">
        <v>207</v>
      </c>
      <c r="I10" s="7" t="s">
        <v>208</v>
      </c>
      <c r="J10" s="7" t="s">
        <v>209</v>
      </c>
      <c r="K10" s="7" t="s">
        <v>210</v>
      </c>
      <c r="L10" s="7" t="s">
        <v>211</v>
      </c>
      <c r="M10" s="7" t="n">
        <v>1</v>
      </c>
      <c r="N10" s="27" t="n">
        <v>3499</v>
      </c>
      <c r="O10" s="28" t="n">
        <v>0.05</v>
      </c>
      <c r="P10" s="27" t="n">
        <v>3324</v>
      </c>
      <c r="Q10" s="27" t="n">
        <v>2200</v>
      </c>
      <c r="R10" s="27" t="n">
        <v>1124</v>
      </c>
      <c r="S10" s="7" t="s">
        <v>60</v>
      </c>
      <c r="T10" s="7" t="str">
        <f aca="false">IF(O10=0,"No discount",IF(O10&lt;=0.2,"Up to 20%","Above 20%"))</f>
        <v>Up to 20%</v>
      </c>
    </row>
    <row r="11" customFormat="false" ht="15" hidden="false" customHeight="true" outlineLevel="0" collapsed="false">
      <c r="A11" s="7" t="s">
        <v>220</v>
      </c>
      <c r="B11" s="26" t="n">
        <v>45663</v>
      </c>
      <c r="C11" s="26" t="n">
        <v>45665</v>
      </c>
      <c r="D11" s="7" t="s">
        <v>221</v>
      </c>
      <c r="E11" s="7" t="s">
        <v>222</v>
      </c>
      <c r="F11" s="7" t="s">
        <v>219</v>
      </c>
      <c r="G11" s="7" t="s">
        <v>160</v>
      </c>
      <c r="H11" s="7" t="s">
        <v>161</v>
      </c>
      <c r="I11" s="7" t="s">
        <v>199</v>
      </c>
      <c r="J11" s="7" t="s">
        <v>223</v>
      </c>
      <c r="K11" s="7" t="s">
        <v>224</v>
      </c>
      <c r="L11" s="7" t="s">
        <v>225</v>
      </c>
      <c r="M11" s="7" t="n">
        <v>3</v>
      </c>
      <c r="N11" s="27" t="n">
        <v>899</v>
      </c>
      <c r="O11" s="28" t="n">
        <v>0.15</v>
      </c>
      <c r="P11" s="27" t="n">
        <v>2292</v>
      </c>
      <c r="Q11" s="27" t="n">
        <v>1140</v>
      </c>
      <c r="R11" s="27" t="n">
        <v>1152</v>
      </c>
      <c r="S11" s="7" t="s">
        <v>60</v>
      </c>
      <c r="T11" s="7" t="str">
        <f aca="false">IF(O11=0,"No discount",IF(O11&lt;=0.2,"Up to 20%","Above 20%"))</f>
        <v>Up to 20%</v>
      </c>
    </row>
    <row r="12" customFormat="false" ht="15" hidden="false" customHeight="true" outlineLevel="0" collapsed="false">
      <c r="A12" s="7" t="s">
        <v>226</v>
      </c>
      <c r="B12" s="26" t="n">
        <v>45663</v>
      </c>
      <c r="C12" s="26" t="n">
        <v>45667</v>
      </c>
      <c r="D12" s="7" t="s">
        <v>227</v>
      </c>
      <c r="E12" s="7" t="s">
        <v>228</v>
      </c>
      <c r="F12" s="7" t="s">
        <v>159</v>
      </c>
      <c r="G12" s="7" t="s">
        <v>169</v>
      </c>
      <c r="H12" s="7" t="s">
        <v>179</v>
      </c>
      <c r="I12" s="7" t="s">
        <v>192</v>
      </c>
      <c r="J12" s="7" t="s">
        <v>213</v>
      </c>
      <c r="K12" s="7" t="s">
        <v>214</v>
      </c>
      <c r="L12" s="7" t="s">
        <v>215</v>
      </c>
      <c r="M12" s="7" t="n">
        <v>1</v>
      </c>
      <c r="N12" s="27" t="n">
        <v>5999</v>
      </c>
      <c r="O12" s="28" t="n">
        <v>0.1</v>
      </c>
      <c r="P12" s="27" t="n">
        <v>5399</v>
      </c>
      <c r="Q12" s="27" t="n">
        <v>4600</v>
      </c>
      <c r="R12" s="27" t="n">
        <v>799</v>
      </c>
      <c r="S12" s="7" t="s">
        <v>60</v>
      </c>
      <c r="T12" s="7" t="str">
        <f aca="false">IF(O12=0,"No discount",IF(O12&lt;=0.2,"Up to 20%","Above 20%"))</f>
        <v>Up to 20%</v>
      </c>
    </row>
    <row r="13" customFormat="false" ht="15" hidden="false" customHeight="true" outlineLevel="0" collapsed="false">
      <c r="A13" s="7" t="s">
        <v>229</v>
      </c>
      <c r="B13" s="26" t="n">
        <v>45664</v>
      </c>
      <c r="C13" s="26" t="n">
        <v>45667</v>
      </c>
      <c r="D13" s="7" t="s">
        <v>230</v>
      </c>
      <c r="E13" s="7" t="s">
        <v>231</v>
      </c>
      <c r="F13" s="7" t="s">
        <v>219</v>
      </c>
      <c r="G13" s="7" t="s">
        <v>169</v>
      </c>
      <c r="H13" s="7" t="s">
        <v>191</v>
      </c>
      <c r="I13" s="7" t="s">
        <v>208</v>
      </c>
      <c r="J13" s="7" t="s">
        <v>232</v>
      </c>
      <c r="K13" s="7" t="s">
        <v>233</v>
      </c>
      <c r="L13" s="7" t="s">
        <v>234</v>
      </c>
      <c r="M13" s="7" t="n">
        <v>1</v>
      </c>
      <c r="N13" s="27" t="n">
        <v>7999</v>
      </c>
      <c r="O13" s="28" t="n">
        <v>0.05</v>
      </c>
      <c r="P13" s="27" t="n">
        <v>7599</v>
      </c>
      <c r="Q13" s="27" t="n">
        <v>5600</v>
      </c>
      <c r="R13" s="27" t="n">
        <v>1999</v>
      </c>
      <c r="S13" s="7" t="s">
        <v>60</v>
      </c>
      <c r="T13" s="7" t="str">
        <f aca="false">IF(O13=0,"No discount",IF(O13&lt;=0.2,"Up to 20%","Above 20%"))</f>
        <v>Up to 20%</v>
      </c>
    </row>
    <row r="14" customFormat="false" ht="15" hidden="false" customHeight="true" outlineLevel="0" collapsed="false">
      <c r="A14" s="7" t="s">
        <v>235</v>
      </c>
      <c r="B14" s="26" t="n">
        <v>45665</v>
      </c>
      <c r="C14" s="26" t="n">
        <v>45666</v>
      </c>
      <c r="D14" s="7" t="s">
        <v>236</v>
      </c>
      <c r="E14" s="7" t="s">
        <v>237</v>
      </c>
      <c r="F14" s="7" t="s">
        <v>219</v>
      </c>
      <c r="G14" s="7" t="s">
        <v>169</v>
      </c>
      <c r="H14" s="7" t="s">
        <v>170</v>
      </c>
      <c r="I14" s="7" t="s">
        <v>208</v>
      </c>
      <c r="J14" s="7" t="s">
        <v>209</v>
      </c>
      <c r="K14" s="7" t="s">
        <v>238</v>
      </c>
      <c r="L14" s="7" t="s">
        <v>239</v>
      </c>
      <c r="M14" s="7" t="n">
        <v>1</v>
      </c>
      <c r="N14" s="27" t="n">
        <v>2199</v>
      </c>
      <c r="O14" s="28" t="n">
        <v>0</v>
      </c>
      <c r="P14" s="27" t="n">
        <v>2199</v>
      </c>
      <c r="Q14" s="27" t="n">
        <v>1400</v>
      </c>
      <c r="R14" s="27" t="n">
        <v>799</v>
      </c>
      <c r="S14" s="7" t="s">
        <v>60</v>
      </c>
      <c r="T14" s="7" t="str">
        <f aca="false">IF(O14=0,"No discount",IF(O14&lt;=0.2,"Up to 20%","Above 20%"))</f>
        <v>No discount</v>
      </c>
    </row>
    <row r="15" customFormat="false" ht="15" hidden="false" customHeight="true" outlineLevel="0" collapsed="false">
      <c r="A15" s="7" t="s">
        <v>240</v>
      </c>
      <c r="B15" s="26" t="n">
        <v>45666</v>
      </c>
      <c r="C15" s="26" t="n">
        <v>45668</v>
      </c>
      <c r="D15" s="7" t="s">
        <v>241</v>
      </c>
      <c r="E15" s="7" t="s">
        <v>242</v>
      </c>
      <c r="F15" s="7" t="s">
        <v>159</v>
      </c>
      <c r="G15" s="7" t="s">
        <v>206</v>
      </c>
      <c r="H15" s="7" t="s">
        <v>207</v>
      </c>
      <c r="I15" s="7" t="s">
        <v>171</v>
      </c>
      <c r="J15" s="7" t="s">
        <v>172</v>
      </c>
      <c r="K15" s="7" t="s">
        <v>173</v>
      </c>
      <c r="L15" s="7" t="s">
        <v>174</v>
      </c>
      <c r="M15" s="7" t="n">
        <v>4</v>
      </c>
      <c r="N15" s="27" t="n">
        <v>699</v>
      </c>
      <c r="O15" s="28" t="n">
        <v>0</v>
      </c>
      <c r="P15" s="27" t="n">
        <v>2796</v>
      </c>
      <c r="Q15" s="27" t="n">
        <v>1280</v>
      </c>
      <c r="R15" s="27" t="n">
        <v>1516</v>
      </c>
      <c r="S15" s="7" t="s">
        <v>60</v>
      </c>
      <c r="T15" s="7" t="str">
        <f aca="false">IF(O15=0,"No discount",IF(O15&lt;=0.2,"Up to 20%","Above 20%"))</f>
        <v>No discount</v>
      </c>
    </row>
    <row r="16" customFormat="false" ht="15" hidden="false" customHeight="true" outlineLevel="0" collapsed="false">
      <c r="A16" s="7" t="s">
        <v>243</v>
      </c>
      <c r="B16" s="26" t="n">
        <v>45667</v>
      </c>
      <c r="C16" s="26" t="n">
        <v>45669</v>
      </c>
      <c r="D16" s="7" t="s">
        <v>244</v>
      </c>
      <c r="E16" s="7" t="s">
        <v>245</v>
      </c>
      <c r="F16" s="7" t="s">
        <v>178</v>
      </c>
      <c r="G16" s="7" t="s">
        <v>206</v>
      </c>
      <c r="H16" s="7" t="s">
        <v>207</v>
      </c>
      <c r="I16" s="7" t="s">
        <v>199</v>
      </c>
      <c r="J16" s="7" t="s">
        <v>223</v>
      </c>
      <c r="K16" s="7" t="s">
        <v>246</v>
      </c>
      <c r="L16" s="7" t="s">
        <v>247</v>
      </c>
      <c r="M16" s="7" t="n">
        <v>1</v>
      </c>
      <c r="N16" s="27" t="n">
        <v>599</v>
      </c>
      <c r="O16" s="28" t="n">
        <v>0.2</v>
      </c>
      <c r="P16" s="27" t="n">
        <v>479</v>
      </c>
      <c r="Q16" s="27" t="n">
        <v>270</v>
      </c>
      <c r="R16" s="27" t="n">
        <v>209</v>
      </c>
      <c r="S16" s="7" t="s">
        <v>60</v>
      </c>
      <c r="T16" s="7" t="str">
        <f aca="false">IF(O16=0,"No discount",IF(O16&lt;=0.2,"Up to 20%","Above 20%"))</f>
        <v>Up to 20%</v>
      </c>
    </row>
    <row r="17" customFormat="false" ht="15" hidden="false" customHeight="true" outlineLevel="0" collapsed="false">
      <c r="A17" s="7" t="s">
        <v>248</v>
      </c>
      <c r="B17" s="26" t="n">
        <v>45667</v>
      </c>
      <c r="C17" s="26" t="n">
        <v>45670</v>
      </c>
      <c r="D17" s="7" t="s">
        <v>249</v>
      </c>
      <c r="E17" s="7" t="s">
        <v>250</v>
      </c>
      <c r="F17" s="7" t="s">
        <v>159</v>
      </c>
      <c r="G17" s="7" t="s">
        <v>169</v>
      </c>
      <c r="H17" s="7" t="s">
        <v>191</v>
      </c>
      <c r="I17" s="7" t="s">
        <v>162</v>
      </c>
      <c r="J17" s="7" t="s">
        <v>251</v>
      </c>
      <c r="K17" s="7" t="s">
        <v>252</v>
      </c>
      <c r="L17" s="7" t="s">
        <v>253</v>
      </c>
      <c r="M17" s="7" t="n">
        <v>1</v>
      </c>
      <c r="N17" s="27" t="n">
        <v>3999</v>
      </c>
      <c r="O17" s="28" t="n">
        <v>0.2</v>
      </c>
      <c r="P17" s="27" t="n">
        <v>3199</v>
      </c>
      <c r="Q17" s="27" t="n">
        <v>2400</v>
      </c>
      <c r="R17" s="27" t="n">
        <v>799</v>
      </c>
      <c r="S17" s="7" t="s">
        <v>60</v>
      </c>
      <c r="T17" s="7" t="str">
        <f aca="false">IF(O17=0,"No discount",IF(O17&lt;=0.2,"Up to 20%","Above 20%"))</f>
        <v>Up to 20%</v>
      </c>
    </row>
    <row r="18" customFormat="false" ht="15" hidden="false" customHeight="true" outlineLevel="0" collapsed="false">
      <c r="A18" s="7" t="s">
        <v>254</v>
      </c>
      <c r="B18" s="26" t="n">
        <v>45667</v>
      </c>
      <c r="C18" s="26" t="n">
        <v>45671</v>
      </c>
      <c r="D18" s="7" t="s">
        <v>255</v>
      </c>
      <c r="E18" s="7" t="s">
        <v>256</v>
      </c>
      <c r="F18" s="7" t="s">
        <v>159</v>
      </c>
      <c r="G18" s="7" t="s">
        <v>206</v>
      </c>
      <c r="H18" s="7" t="s">
        <v>207</v>
      </c>
      <c r="I18" s="7" t="s">
        <v>162</v>
      </c>
      <c r="J18" s="7" t="s">
        <v>163</v>
      </c>
      <c r="K18" s="7" t="s">
        <v>164</v>
      </c>
      <c r="L18" s="7" t="s">
        <v>165</v>
      </c>
      <c r="M18" s="7" t="n">
        <v>2</v>
      </c>
      <c r="N18" s="27" t="n">
        <v>1999</v>
      </c>
      <c r="O18" s="28" t="n">
        <v>0</v>
      </c>
      <c r="P18" s="27" t="n">
        <v>3998</v>
      </c>
      <c r="Q18" s="27" t="n">
        <v>2100</v>
      </c>
      <c r="R18" s="27" t="n">
        <v>1898</v>
      </c>
      <c r="S18" s="7" t="s">
        <v>60</v>
      </c>
      <c r="T18" s="7" t="str">
        <f aca="false">IF(O18=0,"No discount",IF(O18&lt;=0.2,"Up to 20%","Above 20%"))</f>
        <v>No discount</v>
      </c>
    </row>
    <row r="19" customFormat="false" ht="15" hidden="false" customHeight="true" outlineLevel="0" collapsed="false">
      <c r="A19" s="7" t="s">
        <v>257</v>
      </c>
      <c r="B19" s="26" t="n">
        <v>45668</v>
      </c>
      <c r="C19" s="26" t="n">
        <v>45674</v>
      </c>
      <c r="D19" s="7" t="s">
        <v>258</v>
      </c>
      <c r="E19" s="7" t="s">
        <v>259</v>
      </c>
      <c r="F19" s="7" t="s">
        <v>159</v>
      </c>
      <c r="G19" s="7" t="s">
        <v>206</v>
      </c>
      <c r="H19" s="7" t="s">
        <v>207</v>
      </c>
      <c r="I19" s="7" t="s">
        <v>192</v>
      </c>
      <c r="J19" s="7" t="s">
        <v>213</v>
      </c>
      <c r="K19" s="7" t="s">
        <v>214</v>
      </c>
      <c r="L19" s="7" t="s">
        <v>215</v>
      </c>
      <c r="M19" s="7" t="n">
        <v>1</v>
      </c>
      <c r="N19" s="27" t="n">
        <v>5999</v>
      </c>
      <c r="O19" s="28" t="n">
        <v>0.3</v>
      </c>
      <c r="P19" s="27" t="n">
        <v>4199</v>
      </c>
      <c r="Q19" s="27" t="n">
        <v>4600</v>
      </c>
      <c r="R19" s="27" t="n">
        <v>-401</v>
      </c>
      <c r="S19" s="7" t="s">
        <v>60</v>
      </c>
      <c r="T19" s="7" t="str">
        <f aca="false">IF(O19=0,"No discount",IF(O19&lt;=0.2,"Up to 20%","Above 20%"))</f>
        <v>Above 20%</v>
      </c>
    </row>
    <row r="20" customFormat="false" ht="15" hidden="false" customHeight="true" outlineLevel="0" collapsed="false">
      <c r="A20" s="7" t="s">
        <v>260</v>
      </c>
      <c r="B20" s="26" t="n">
        <v>45668</v>
      </c>
      <c r="C20" s="26" t="n">
        <v>45674</v>
      </c>
      <c r="D20" s="7" t="s">
        <v>261</v>
      </c>
      <c r="E20" s="7" t="s">
        <v>262</v>
      </c>
      <c r="F20" s="7" t="s">
        <v>159</v>
      </c>
      <c r="G20" s="7" t="s">
        <v>160</v>
      </c>
      <c r="H20" s="7" t="s">
        <v>263</v>
      </c>
      <c r="I20" s="7" t="s">
        <v>192</v>
      </c>
      <c r="J20" s="7" t="s">
        <v>213</v>
      </c>
      <c r="K20" s="7" t="s">
        <v>264</v>
      </c>
      <c r="L20" s="7" t="s">
        <v>265</v>
      </c>
      <c r="M20" s="7" t="n">
        <v>1</v>
      </c>
      <c r="N20" s="27" t="n">
        <v>2499</v>
      </c>
      <c r="O20" s="28" t="n">
        <v>0.2</v>
      </c>
      <c r="P20" s="27" t="n">
        <v>1999</v>
      </c>
      <c r="Q20" s="27" t="n">
        <v>1700</v>
      </c>
      <c r="R20" s="27" t="n">
        <v>299</v>
      </c>
      <c r="S20" s="7" t="s">
        <v>60</v>
      </c>
      <c r="T20" s="7" t="str">
        <f aca="false">IF(O20=0,"No discount",IF(O20&lt;=0.2,"Up to 20%","Above 20%"))</f>
        <v>Up to 20%</v>
      </c>
    </row>
    <row r="21" customFormat="false" ht="15" hidden="false" customHeight="true" outlineLevel="0" collapsed="false">
      <c r="A21" s="7" t="s">
        <v>266</v>
      </c>
      <c r="B21" s="26" t="n">
        <v>45668</v>
      </c>
      <c r="C21" s="26" t="n">
        <v>45674</v>
      </c>
      <c r="D21" s="7" t="s">
        <v>267</v>
      </c>
      <c r="E21" s="7" t="s">
        <v>268</v>
      </c>
      <c r="F21" s="7" t="s">
        <v>159</v>
      </c>
      <c r="G21" s="7" t="s">
        <v>160</v>
      </c>
      <c r="H21" s="7" t="s">
        <v>269</v>
      </c>
      <c r="I21" s="7" t="s">
        <v>208</v>
      </c>
      <c r="J21" s="7" t="s">
        <v>232</v>
      </c>
      <c r="K21" s="7" t="s">
        <v>233</v>
      </c>
      <c r="L21" s="7" t="s">
        <v>234</v>
      </c>
      <c r="M21" s="7" t="n">
        <v>2</v>
      </c>
      <c r="N21" s="27" t="n">
        <v>7999</v>
      </c>
      <c r="O21" s="28" t="n">
        <v>0.15</v>
      </c>
      <c r="P21" s="27" t="n">
        <v>13598</v>
      </c>
      <c r="Q21" s="27" t="n">
        <v>11200</v>
      </c>
      <c r="R21" s="27" t="n">
        <v>2398</v>
      </c>
      <c r="S21" s="7" t="s">
        <v>60</v>
      </c>
      <c r="T21" s="7" t="str">
        <f aca="false">IF(O21=0,"No discount",IF(O21&lt;=0.2,"Up to 20%","Above 20%"))</f>
        <v>Up to 20%</v>
      </c>
    </row>
    <row r="22" customFormat="false" ht="15" hidden="false" customHeight="true" outlineLevel="0" collapsed="false">
      <c r="A22" s="7" t="s">
        <v>270</v>
      </c>
      <c r="B22" s="26" t="n">
        <v>45669</v>
      </c>
      <c r="C22" s="26" t="n">
        <v>45672</v>
      </c>
      <c r="D22" s="7" t="s">
        <v>271</v>
      </c>
      <c r="E22" s="7" t="s">
        <v>272</v>
      </c>
      <c r="F22" s="7" t="s">
        <v>159</v>
      </c>
      <c r="G22" s="7" t="s">
        <v>169</v>
      </c>
      <c r="H22" s="7" t="s">
        <v>179</v>
      </c>
      <c r="I22" s="7" t="s">
        <v>162</v>
      </c>
      <c r="J22" s="7" t="s">
        <v>251</v>
      </c>
      <c r="K22" s="7" t="s">
        <v>252</v>
      </c>
      <c r="L22" s="7" t="s">
        <v>253</v>
      </c>
      <c r="M22" s="7" t="n">
        <v>2</v>
      </c>
      <c r="N22" s="27" t="n">
        <v>3999</v>
      </c>
      <c r="O22" s="28" t="n">
        <v>0.1</v>
      </c>
      <c r="P22" s="27" t="n">
        <v>7198</v>
      </c>
      <c r="Q22" s="27" t="n">
        <v>4800</v>
      </c>
      <c r="R22" s="27" t="n">
        <v>2398</v>
      </c>
      <c r="S22" s="7" t="s">
        <v>60</v>
      </c>
      <c r="T22" s="7" t="str">
        <f aca="false">IF(O22=0,"No discount",IF(O22&lt;=0.2,"Up to 20%","Above 20%"))</f>
        <v>Up to 20%</v>
      </c>
    </row>
    <row r="23" customFormat="false" ht="15" hidden="false" customHeight="true" outlineLevel="0" collapsed="false">
      <c r="A23" s="7" t="s">
        <v>273</v>
      </c>
      <c r="B23" s="26" t="n">
        <v>45669</v>
      </c>
      <c r="C23" s="26" t="n">
        <v>45676</v>
      </c>
      <c r="D23" s="7" t="s">
        <v>274</v>
      </c>
      <c r="E23" s="7" t="s">
        <v>275</v>
      </c>
      <c r="F23" s="7" t="s">
        <v>159</v>
      </c>
      <c r="G23" s="7" t="s">
        <v>206</v>
      </c>
      <c r="H23" s="7" t="s">
        <v>207</v>
      </c>
      <c r="I23" s="7" t="s">
        <v>199</v>
      </c>
      <c r="J23" s="7" t="s">
        <v>200</v>
      </c>
      <c r="K23" s="7" t="s">
        <v>201</v>
      </c>
      <c r="L23" s="7" t="s">
        <v>202</v>
      </c>
      <c r="M23" s="7" t="n">
        <v>2</v>
      </c>
      <c r="N23" s="27" t="n">
        <v>399</v>
      </c>
      <c r="O23" s="28" t="n">
        <v>0.15</v>
      </c>
      <c r="P23" s="27" t="n">
        <v>678</v>
      </c>
      <c r="Q23" s="27" t="n">
        <v>320</v>
      </c>
      <c r="R23" s="27" t="n">
        <v>358</v>
      </c>
      <c r="S23" s="7" t="s">
        <v>60</v>
      </c>
      <c r="T23" s="7" t="str">
        <f aca="false">IF(O23=0,"No discount",IF(O23&lt;=0.2,"Up to 20%","Above 20%"))</f>
        <v>Up to 20%</v>
      </c>
    </row>
    <row r="24" customFormat="false" ht="15" hidden="false" customHeight="true" outlineLevel="0" collapsed="false">
      <c r="A24" s="7" t="s">
        <v>276</v>
      </c>
      <c r="B24" s="26" t="n">
        <v>45669</v>
      </c>
      <c r="C24" s="26" t="n">
        <v>45675</v>
      </c>
      <c r="D24" s="7" t="s">
        <v>277</v>
      </c>
      <c r="E24" s="7" t="s">
        <v>278</v>
      </c>
      <c r="F24" s="7" t="s">
        <v>159</v>
      </c>
      <c r="G24" s="7" t="s">
        <v>206</v>
      </c>
      <c r="H24" s="7" t="s">
        <v>207</v>
      </c>
      <c r="I24" s="7" t="s">
        <v>162</v>
      </c>
      <c r="J24" s="7" t="s">
        <v>163</v>
      </c>
      <c r="K24" s="7" t="s">
        <v>164</v>
      </c>
      <c r="L24" s="7" t="s">
        <v>165</v>
      </c>
      <c r="M24" s="7" t="n">
        <v>1</v>
      </c>
      <c r="N24" s="27" t="n">
        <v>1999</v>
      </c>
      <c r="O24" s="28" t="n">
        <v>0.2</v>
      </c>
      <c r="P24" s="27" t="n">
        <v>1599</v>
      </c>
      <c r="Q24" s="27" t="n">
        <v>1050</v>
      </c>
      <c r="R24" s="27" t="n">
        <v>549</v>
      </c>
      <c r="S24" s="7" t="s">
        <v>60</v>
      </c>
      <c r="T24" s="7" t="str">
        <f aca="false">IF(O24=0,"No discount",IF(O24&lt;=0.2,"Up to 20%","Above 20%"))</f>
        <v>Up to 20%</v>
      </c>
    </row>
    <row r="25" customFormat="false" ht="15" hidden="false" customHeight="true" outlineLevel="0" collapsed="false">
      <c r="A25" s="7" t="s">
        <v>279</v>
      </c>
      <c r="B25" s="26" t="n">
        <v>45670</v>
      </c>
      <c r="C25" s="26" t="n">
        <v>45675</v>
      </c>
      <c r="D25" s="7" t="s">
        <v>280</v>
      </c>
      <c r="E25" s="7" t="s">
        <v>281</v>
      </c>
      <c r="F25" s="7" t="s">
        <v>219</v>
      </c>
      <c r="G25" s="7" t="s">
        <v>160</v>
      </c>
      <c r="H25" s="7" t="s">
        <v>263</v>
      </c>
      <c r="I25" s="7" t="s">
        <v>282</v>
      </c>
      <c r="J25" s="7" t="s">
        <v>283</v>
      </c>
      <c r="K25" s="7" t="s">
        <v>284</v>
      </c>
      <c r="L25" s="7" t="s">
        <v>285</v>
      </c>
      <c r="M25" s="7" t="n">
        <v>1</v>
      </c>
      <c r="N25" s="27" t="n">
        <v>199</v>
      </c>
      <c r="O25" s="28" t="n">
        <v>0.1</v>
      </c>
      <c r="P25" s="27" t="n">
        <v>179</v>
      </c>
      <c r="Q25" s="27" t="n">
        <v>90</v>
      </c>
      <c r="R25" s="27" t="n">
        <v>89</v>
      </c>
      <c r="S25" s="7" t="s">
        <v>60</v>
      </c>
      <c r="T25" s="7" t="str">
        <f aca="false">IF(O25=0,"No discount",IF(O25&lt;=0.2,"Up to 20%","Above 20%"))</f>
        <v>Up to 20%</v>
      </c>
    </row>
    <row r="26" customFormat="false" ht="15" hidden="false" customHeight="true" outlineLevel="0" collapsed="false">
      <c r="A26" s="7" t="s">
        <v>286</v>
      </c>
      <c r="B26" s="26" t="n">
        <v>45670</v>
      </c>
      <c r="C26" s="26" t="n">
        <v>45675</v>
      </c>
      <c r="D26" s="7" t="s">
        <v>287</v>
      </c>
      <c r="E26" s="7" t="s">
        <v>288</v>
      </c>
      <c r="F26" s="7" t="s">
        <v>219</v>
      </c>
      <c r="G26" s="7" t="s">
        <v>169</v>
      </c>
      <c r="H26" s="7" t="s">
        <v>170</v>
      </c>
      <c r="I26" s="7" t="s">
        <v>162</v>
      </c>
      <c r="J26" s="7" t="s">
        <v>163</v>
      </c>
      <c r="K26" s="7" t="s">
        <v>164</v>
      </c>
      <c r="L26" s="7" t="s">
        <v>165</v>
      </c>
      <c r="M26" s="7" t="n">
        <v>2</v>
      </c>
      <c r="N26" s="27" t="n">
        <v>1999</v>
      </c>
      <c r="O26" s="28" t="n">
        <v>0.2</v>
      </c>
      <c r="P26" s="27" t="n">
        <v>3198</v>
      </c>
      <c r="Q26" s="27" t="n">
        <v>2100</v>
      </c>
      <c r="R26" s="27" t="n">
        <v>1098</v>
      </c>
      <c r="S26" s="7" t="s">
        <v>60</v>
      </c>
      <c r="T26" s="7" t="str">
        <f aca="false">IF(O26=0,"No discount",IF(O26&lt;=0.2,"Up to 20%","Above 20%"))</f>
        <v>Up to 20%</v>
      </c>
    </row>
    <row r="27" customFormat="false" ht="15" hidden="false" customHeight="true" outlineLevel="0" collapsed="false">
      <c r="A27" s="7" t="s">
        <v>289</v>
      </c>
      <c r="B27" s="26" t="n">
        <v>45670</v>
      </c>
      <c r="C27" s="26" t="n">
        <v>45675</v>
      </c>
      <c r="D27" s="7" t="s">
        <v>290</v>
      </c>
      <c r="E27" s="7" t="s">
        <v>291</v>
      </c>
      <c r="F27" s="7" t="s">
        <v>219</v>
      </c>
      <c r="G27" s="7" t="s">
        <v>169</v>
      </c>
      <c r="H27" s="7" t="s">
        <v>179</v>
      </c>
      <c r="I27" s="7" t="s">
        <v>199</v>
      </c>
      <c r="J27" s="7" t="s">
        <v>292</v>
      </c>
      <c r="K27" s="7" t="s">
        <v>293</v>
      </c>
      <c r="L27" s="7" t="s">
        <v>294</v>
      </c>
      <c r="M27" s="7" t="n">
        <v>3</v>
      </c>
      <c r="N27" s="27" t="n">
        <v>1599</v>
      </c>
      <c r="O27" s="28" t="n">
        <v>0</v>
      </c>
      <c r="P27" s="27" t="n">
        <v>4797</v>
      </c>
      <c r="Q27" s="27" t="n">
        <v>2250</v>
      </c>
      <c r="R27" s="27" t="n">
        <v>2547</v>
      </c>
      <c r="S27" s="7" t="s">
        <v>60</v>
      </c>
      <c r="T27" s="7" t="str">
        <f aca="false">IF(O27=0,"No discount",IF(O27&lt;=0.2,"Up to 20%","Above 20%"))</f>
        <v>No discount</v>
      </c>
    </row>
    <row r="28" customFormat="false" ht="15" hidden="false" customHeight="true" outlineLevel="0" collapsed="false">
      <c r="A28" s="7" t="s">
        <v>295</v>
      </c>
      <c r="B28" s="26" t="n">
        <v>45671</v>
      </c>
      <c r="C28" s="26" t="n">
        <v>45674</v>
      </c>
      <c r="D28" s="7" t="s">
        <v>296</v>
      </c>
      <c r="E28" s="7" t="s">
        <v>297</v>
      </c>
      <c r="F28" s="7" t="s">
        <v>178</v>
      </c>
      <c r="G28" s="7" t="s">
        <v>169</v>
      </c>
      <c r="H28" s="7" t="s">
        <v>179</v>
      </c>
      <c r="I28" s="7" t="s">
        <v>192</v>
      </c>
      <c r="J28" s="7" t="s">
        <v>213</v>
      </c>
      <c r="K28" s="7" t="s">
        <v>214</v>
      </c>
      <c r="L28" s="7" t="s">
        <v>215</v>
      </c>
      <c r="M28" s="7" t="n">
        <v>3</v>
      </c>
      <c r="N28" s="27" t="n">
        <v>5999</v>
      </c>
      <c r="O28" s="28" t="n">
        <v>0.2</v>
      </c>
      <c r="P28" s="27" t="n">
        <v>14398</v>
      </c>
      <c r="Q28" s="27" t="n">
        <v>13800</v>
      </c>
      <c r="R28" s="27" t="n">
        <v>598</v>
      </c>
      <c r="S28" s="7" t="s">
        <v>60</v>
      </c>
      <c r="T28" s="7" t="str">
        <f aca="false">IF(O28=0,"No discount",IF(O28&lt;=0.2,"Up to 20%","Above 20%"))</f>
        <v>Up to 20%</v>
      </c>
    </row>
    <row r="29" customFormat="false" ht="15" hidden="false" customHeight="true" outlineLevel="0" collapsed="false">
      <c r="A29" s="7" t="s">
        <v>298</v>
      </c>
      <c r="B29" s="26" t="n">
        <v>45671</v>
      </c>
      <c r="C29" s="26" t="n">
        <v>45677</v>
      </c>
      <c r="D29" s="7" t="s">
        <v>299</v>
      </c>
      <c r="E29" s="7" t="s">
        <v>300</v>
      </c>
      <c r="F29" s="7" t="s">
        <v>159</v>
      </c>
      <c r="G29" s="7" t="s">
        <v>160</v>
      </c>
      <c r="H29" s="7" t="s">
        <v>269</v>
      </c>
      <c r="I29" s="7" t="s">
        <v>199</v>
      </c>
      <c r="J29" s="7" t="s">
        <v>223</v>
      </c>
      <c r="K29" s="7" t="s">
        <v>246</v>
      </c>
      <c r="L29" s="7" t="s">
        <v>247</v>
      </c>
      <c r="M29" s="7" t="n">
        <v>2</v>
      </c>
      <c r="N29" s="27" t="n">
        <v>599</v>
      </c>
      <c r="O29" s="28" t="n">
        <v>0</v>
      </c>
      <c r="P29" s="27" t="n">
        <v>1198</v>
      </c>
      <c r="Q29" s="27" t="n">
        <v>540</v>
      </c>
      <c r="R29" s="27" t="n">
        <v>658</v>
      </c>
      <c r="S29" s="7" t="s">
        <v>60</v>
      </c>
      <c r="T29" s="7" t="str">
        <f aca="false">IF(O29=0,"No discount",IF(O29&lt;=0.2,"Up to 20%","Above 20%"))</f>
        <v>No discount</v>
      </c>
    </row>
    <row r="30" customFormat="false" ht="15" hidden="false" customHeight="true" outlineLevel="0" collapsed="false">
      <c r="A30" s="7" t="s">
        <v>301</v>
      </c>
      <c r="B30" s="26" t="n">
        <v>45671</v>
      </c>
      <c r="C30" s="26" t="n">
        <v>45673</v>
      </c>
      <c r="D30" s="7" t="s">
        <v>302</v>
      </c>
      <c r="E30" s="7" t="s">
        <v>303</v>
      </c>
      <c r="F30" s="7" t="s">
        <v>159</v>
      </c>
      <c r="G30" s="7" t="s">
        <v>160</v>
      </c>
      <c r="H30" s="7" t="s">
        <v>269</v>
      </c>
      <c r="I30" s="7" t="s">
        <v>171</v>
      </c>
      <c r="J30" s="7" t="s">
        <v>304</v>
      </c>
      <c r="K30" s="7" t="s">
        <v>305</v>
      </c>
      <c r="L30" s="7" t="s">
        <v>306</v>
      </c>
      <c r="M30" s="7" t="n">
        <v>2</v>
      </c>
      <c r="N30" s="27" t="n">
        <v>2999</v>
      </c>
      <c r="O30" s="28" t="n">
        <v>0.05</v>
      </c>
      <c r="P30" s="27" t="n">
        <v>5698</v>
      </c>
      <c r="Q30" s="27" t="n">
        <v>4000</v>
      </c>
      <c r="R30" s="27" t="n">
        <v>1698</v>
      </c>
      <c r="S30" s="7" t="s">
        <v>60</v>
      </c>
      <c r="T30" s="7" t="str">
        <f aca="false">IF(O30=0,"No discount",IF(O30&lt;=0.2,"Up to 20%","Above 20%"))</f>
        <v>Up to 20%</v>
      </c>
    </row>
    <row r="31" customFormat="false" ht="15" hidden="false" customHeight="true" outlineLevel="0" collapsed="false">
      <c r="A31" s="7" t="s">
        <v>307</v>
      </c>
      <c r="B31" s="26" t="n">
        <v>45671</v>
      </c>
      <c r="C31" s="26" t="n">
        <v>45678</v>
      </c>
      <c r="D31" s="7" t="s">
        <v>308</v>
      </c>
      <c r="E31" s="7" t="s">
        <v>309</v>
      </c>
      <c r="F31" s="7" t="s">
        <v>159</v>
      </c>
      <c r="G31" s="7" t="s">
        <v>169</v>
      </c>
      <c r="H31" s="7" t="s">
        <v>179</v>
      </c>
      <c r="I31" s="7" t="s">
        <v>208</v>
      </c>
      <c r="J31" s="7" t="s">
        <v>232</v>
      </c>
      <c r="K31" s="7" t="s">
        <v>233</v>
      </c>
      <c r="L31" s="7" t="s">
        <v>234</v>
      </c>
      <c r="M31" s="7" t="n">
        <v>2</v>
      </c>
      <c r="N31" s="27" t="n">
        <v>7999</v>
      </c>
      <c r="O31" s="28" t="n">
        <v>0.2</v>
      </c>
      <c r="P31" s="27" t="n">
        <v>12798</v>
      </c>
      <c r="Q31" s="27" t="n">
        <v>11200</v>
      </c>
      <c r="R31" s="27" t="n">
        <v>1598</v>
      </c>
      <c r="S31" s="7" t="s">
        <v>60</v>
      </c>
      <c r="T31" s="7" t="str">
        <f aca="false">IF(O31=0,"No discount",IF(O31&lt;=0.2,"Up to 20%","Above 20%"))</f>
        <v>Up to 20%</v>
      </c>
    </row>
    <row r="32" customFormat="false" ht="15" hidden="false" customHeight="true" outlineLevel="0" collapsed="false">
      <c r="A32" s="7" t="s">
        <v>310</v>
      </c>
      <c r="B32" s="26" t="n">
        <v>45671</v>
      </c>
      <c r="C32" s="26" t="n">
        <v>45678</v>
      </c>
      <c r="D32" s="7" t="s">
        <v>311</v>
      </c>
      <c r="E32" s="7" t="s">
        <v>312</v>
      </c>
      <c r="F32" s="7" t="s">
        <v>178</v>
      </c>
      <c r="G32" s="7" t="s">
        <v>206</v>
      </c>
      <c r="H32" s="7" t="s">
        <v>207</v>
      </c>
      <c r="I32" s="7" t="s">
        <v>162</v>
      </c>
      <c r="J32" s="7" t="s">
        <v>185</v>
      </c>
      <c r="K32" s="7" t="s">
        <v>186</v>
      </c>
      <c r="L32" s="7" t="s">
        <v>187</v>
      </c>
      <c r="M32" s="7" t="n">
        <v>1</v>
      </c>
      <c r="N32" s="27" t="n">
        <v>3299</v>
      </c>
      <c r="O32" s="28" t="n">
        <v>0.1</v>
      </c>
      <c r="P32" s="27" t="n">
        <v>2969</v>
      </c>
      <c r="Q32" s="27" t="n">
        <v>1900</v>
      </c>
      <c r="R32" s="27" t="n">
        <v>1069</v>
      </c>
      <c r="S32" s="7" t="s">
        <v>60</v>
      </c>
      <c r="T32" s="7" t="str">
        <f aca="false">IF(O32=0,"No discount",IF(O32&lt;=0.2,"Up to 20%","Above 20%"))</f>
        <v>Up to 20%</v>
      </c>
    </row>
    <row r="33" customFormat="false" ht="15" hidden="false" customHeight="true" outlineLevel="0" collapsed="false">
      <c r="A33" s="7" t="s">
        <v>313</v>
      </c>
      <c r="B33" s="26" t="n">
        <v>45672</v>
      </c>
      <c r="C33" s="26" t="n">
        <v>45674</v>
      </c>
      <c r="D33" s="7" t="s">
        <v>217</v>
      </c>
      <c r="E33" s="7" t="s">
        <v>218</v>
      </c>
      <c r="F33" s="7" t="s">
        <v>219</v>
      </c>
      <c r="G33" s="7" t="s">
        <v>206</v>
      </c>
      <c r="H33" s="7" t="s">
        <v>207</v>
      </c>
      <c r="I33" s="7" t="s">
        <v>171</v>
      </c>
      <c r="J33" s="7" t="s">
        <v>314</v>
      </c>
      <c r="K33" s="7" t="s">
        <v>315</v>
      </c>
      <c r="L33" s="7" t="s">
        <v>316</v>
      </c>
      <c r="M33" s="7" t="n">
        <v>2</v>
      </c>
      <c r="N33" s="27" t="n">
        <v>1299</v>
      </c>
      <c r="O33" s="28" t="n">
        <v>0.05</v>
      </c>
      <c r="P33" s="27" t="n">
        <v>2468</v>
      </c>
      <c r="Q33" s="27" t="n">
        <v>1400</v>
      </c>
      <c r="R33" s="27" t="n">
        <v>1068</v>
      </c>
      <c r="S33" s="7" t="s">
        <v>60</v>
      </c>
      <c r="T33" s="7" t="str">
        <f aca="false">IF(O33=0,"No discount",IF(O33&lt;=0.2,"Up to 20%","Above 20%"))</f>
        <v>Up to 20%</v>
      </c>
    </row>
    <row r="34" customFormat="false" ht="15" hidden="false" customHeight="true" outlineLevel="0" collapsed="false">
      <c r="A34" s="7" t="s">
        <v>317</v>
      </c>
      <c r="B34" s="26" t="n">
        <v>45672</v>
      </c>
      <c r="C34" s="26" t="n">
        <v>45677</v>
      </c>
      <c r="D34" s="7" t="s">
        <v>318</v>
      </c>
      <c r="E34" s="7" t="s">
        <v>319</v>
      </c>
      <c r="F34" s="7" t="s">
        <v>219</v>
      </c>
      <c r="G34" s="7" t="s">
        <v>160</v>
      </c>
      <c r="H34" s="7" t="s">
        <v>263</v>
      </c>
      <c r="I34" s="7" t="s">
        <v>199</v>
      </c>
      <c r="J34" s="7" t="s">
        <v>292</v>
      </c>
      <c r="K34" s="7" t="s">
        <v>293</v>
      </c>
      <c r="L34" s="7" t="s">
        <v>294</v>
      </c>
      <c r="M34" s="7" t="n">
        <v>1</v>
      </c>
      <c r="N34" s="27" t="n">
        <v>1599</v>
      </c>
      <c r="O34" s="28" t="n">
        <v>0.1</v>
      </c>
      <c r="P34" s="27" t="n">
        <v>1439</v>
      </c>
      <c r="Q34" s="27" t="n">
        <v>750</v>
      </c>
      <c r="R34" s="27" t="n">
        <v>689</v>
      </c>
      <c r="S34" s="7" t="s">
        <v>60</v>
      </c>
      <c r="T34" s="7" t="str">
        <f aca="false">IF(O34=0,"No discount",IF(O34&lt;=0.2,"Up to 20%","Above 20%"))</f>
        <v>Up to 20%</v>
      </c>
    </row>
    <row r="35" customFormat="false" ht="15" hidden="false" customHeight="true" outlineLevel="0" collapsed="false">
      <c r="A35" s="7" t="s">
        <v>320</v>
      </c>
      <c r="B35" s="26" t="n">
        <v>45672</v>
      </c>
      <c r="C35" s="26" t="n">
        <v>45675</v>
      </c>
      <c r="D35" s="7" t="s">
        <v>321</v>
      </c>
      <c r="E35" s="7" t="s">
        <v>322</v>
      </c>
      <c r="F35" s="7" t="s">
        <v>219</v>
      </c>
      <c r="G35" s="7" t="s">
        <v>323</v>
      </c>
      <c r="H35" s="7" t="s">
        <v>324</v>
      </c>
      <c r="I35" s="7" t="s">
        <v>162</v>
      </c>
      <c r="J35" s="7" t="s">
        <v>325</v>
      </c>
      <c r="K35" s="7" t="s">
        <v>326</v>
      </c>
      <c r="L35" s="7" t="s">
        <v>327</v>
      </c>
      <c r="M35" s="7" t="n">
        <v>4</v>
      </c>
      <c r="N35" s="27" t="n">
        <v>799</v>
      </c>
      <c r="O35" s="28" t="n">
        <v>0.1</v>
      </c>
      <c r="P35" s="27" t="n">
        <v>2876</v>
      </c>
      <c r="Q35" s="27" t="n">
        <v>1520</v>
      </c>
      <c r="R35" s="27" t="n">
        <v>1356</v>
      </c>
      <c r="S35" s="7" t="s">
        <v>60</v>
      </c>
      <c r="T35" s="7" t="str">
        <f aca="false">IF(O35=0,"No discount",IF(O35&lt;=0.2,"Up to 20%","Above 20%"))</f>
        <v>Up to 20%</v>
      </c>
    </row>
    <row r="36" customFormat="false" ht="15" hidden="false" customHeight="true" outlineLevel="0" collapsed="false">
      <c r="A36" s="7" t="s">
        <v>328</v>
      </c>
      <c r="B36" s="26" t="n">
        <v>45672</v>
      </c>
      <c r="C36" s="26" t="n">
        <v>45673</v>
      </c>
      <c r="D36" s="7" t="s">
        <v>280</v>
      </c>
      <c r="E36" s="7" t="s">
        <v>281</v>
      </c>
      <c r="F36" s="7" t="s">
        <v>219</v>
      </c>
      <c r="G36" s="7" t="s">
        <v>160</v>
      </c>
      <c r="H36" s="7" t="s">
        <v>263</v>
      </c>
      <c r="I36" s="7" t="s">
        <v>171</v>
      </c>
      <c r="J36" s="7" t="s">
        <v>172</v>
      </c>
      <c r="K36" s="7" t="s">
        <v>173</v>
      </c>
      <c r="L36" s="7" t="s">
        <v>174</v>
      </c>
      <c r="M36" s="7" t="n">
        <v>1</v>
      </c>
      <c r="N36" s="27" t="n">
        <v>699</v>
      </c>
      <c r="O36" s="28" t="n">
        <v>0.05</v>
      </c>
      <c r="P36" s="27" t="n">
        <v>664</v>
      </c>
      <c r="Q36" s="27" t="n">
        <v>320</v>
      </c>
      <c r="R36" s="27" t="n">
        <v>344</v>
      </c>
      <c r="S36" s="7" t="s">
        <v>60</v>
      </c>
      <c r="T36" s="7" t="str">
        <f aca="false">IF(O36=0,"No discount",IF(O36&lt;=0.2,"Up to 20%","Above 20%"))</f>
        <v>Up to 20%</v>
      </c>
    </row>
    <row r="37" customFormat="false" ht="15" hidden="false" customHeight="true" outlineLevel="0" collapsed="false">
      <c r="A37" s="7" t="s">
        <v>329</v>
      </c>
      <c r="B37" s="26" t="n">
        <v>45673</v>
      </c>
      <c r="C37" s="26" t="n">
        <v>45677</v>
      </c>
      <c r="D37" s="7" t="s">
        <v>330</v>
      </c>
      <c r="E37" s="7" t="s">
        <v>331</v>
      </c>
      <c r="F37" s="7" t="s">
        <v>219</v>
      </c>
      <c r="G37" s="7" t="s">
        <v>206</v>
      </c>
      <c r="H37" s="7" t="s">
        <v>207</v>
      </c>
      <c r="I37" s="7" t="s">
        <v>199</v>
      </c>
      <c r="J37" s="7" t="s">
        <v>292</v>
      </c>
      <c r="K37" s="7" t="s">
        <v>293</v>
      </c>
      <c r="L37" s="7" t="s">
        <v>294</v>
      </c>
      <c r="M37" s="7" t="n">
        <v>2</v>
      </c>
      <c r="N37" s="27" t="n">
        <v>1599</v>
      </c>
      <c r="O37" s="28" t="n">
        <v>0.1</v>
      </c>
      <c r="P37" s="27" t="n">
        <v>2878</v>
      </c>
      <c r="Q37" s="27" t="n">
        <v>1500</v>
      </c>
      <c r="R37" s="27" t="n">
        <v>1378</v>
      </c>
      <c r="S37" s="7" t="s">
        <v>60</v>
      </c>
      <c r="T37" s="7" t="str">
        <f aca="false">IF(O37=0,"No discount",IF(O37&lt;=0.2,"Up to 20%","Above 20%"))</f>
        <v>Up to 20%</v>
      </c>
    </row>
    <row r="38" customFormat="false" ht="15" hidden="false" customHeight="true" outlineLevel="0" collapsed="false">
      <c r="A38" s="7" t="s">
        <v>332</v>
      </c>
      <c r="B38" s="26" t="n">
        <v>45673</v>
      </c>
      <c r="C38" s="26" t="n">
        <v>45674</v>
      </c>
      <c r="D38" s="7" t="s">
        <v>333</v>
      </c>
      <c r="E38" s="7" t="s">
        <v>334</v>
      </c>
      <c r="F38" s="7" t="s">
        <v>159</v>
      </c>
      <c r="G38" s="7" t="s">
        <v>160</v>
      </c>
      <c r="H38" s="7" t="s">
        <v>263</v>
      </c>
      <c r="I38" s="7" t="s">
        <v>199</v>
      </c>
      <c r="J38" s="7" t="s">
        <v>223</v>
      </c>
      <c r="K38" s="7" t="s">
        <v>246</v>
      </c>
      <c r="L38" s="7" t="s">
        <v>247</v>
      </c>
      <c r="M38" s="7" t="n">
        <v>2</v>
      </c>
      <c r="N38" s="27" t="n">
        <v>599</v>
      </c>
      <c r="O38" s="28" t="n">
        <v>0</v>
      </c>
      <c r="P38" s="27" t="n">
        <v>1198</v>
      </c>
      <c r="Q38" s="27" t="n">
        <v>540</v>
      </c>
      <c r="R38" s="27" t="n">
        <v>658</v>
      </c>
      <c r="S38" s="7" t="s">
        <v>60</v>
      </c>
      <c r="T38" s="7" t="str">
        <f aca="false">IF(O38=0,"No discount",IF(O38&lt;=0.2,"Up to 20%","Above 20%"))</f>
        <v>No discount</v>
      </c>
    </row>
    <row r="39" customFormat="false" ht="15" hidden="false" customHeight="true" outlineLevel="0" collapsed="false">
      <c r="A39" s="7" t="s">
        <v>335</v>
      </c>
      <c r="B39" s="26" t="n">
        <v>45673</v>
      </c>
      <c r="C39" s="26" t="n">
        <v>45677</v>
      </c>
      <c r="D39" s="7" t="s">
        <v>336</v>
      </c>
      <c r="E39" s="7" t="s">
        <v>337</v>
      </c>
      <c r="F39" s="7" t="s">
        <v>219</v>
      </c>
      <c r="G39" s="7" t="s">
        <v>206</v>
      </c>
      <c r="H39" s="7" t="s">
        <v>207</v>
      </c>
      <c r="I39" s="7" t="s">
        <v>208</v>
      </c>
      <c r="J39" s="7" t="s">
        <v>209</v>
      </c>
      <c r="K39" s="7" t="s">
        <v>210</v>
      </c>
      <c r="L39" s="7" t="s">
        <v>211</v>
      </c>
      <c r="M39" s="7" t="n">
        <v>2</v>
      </c>
      <c r="N39" s="27" t="n">
        <v>3499</v>
      </c>
      <c r="O39" s="28" t="n">
        <v>0</v>
      </c>
      <c r="P39" s="27" t="n">
        <v>6998</v>
      </c>
      <c r="Q39" s="27" t="n">
        <v>4400</v>
      </c>
      <c r="R39" s="27" t="n">
        <v>2598</v>
      </c>
      <c r="S39" s="7" t="s">
        <v>60</v>
      </c>
      <c r="T39" s="7" t="str">
        <f aca="false">IF(O39=0,"No discount",IF(O39&lt;=0.2,"Up to 20%","Above 20%"))</f>
        <v>No discount</v>
      </c>
    </row>
    <row r="40" customFormat="false" ht="15" hidden="false" customHeight="true" outlineLevel="0" collapsed="false">
      <c r="A40" s="7" t="s">
        <v>338</v>
      </c>
      <c r="B40" s="26" t="n">
        <v>45673</v>
      </c>
      <c r="C40" s="26" t="n">
        <v>45675</v>
      </c>
      <c r="D40" s="7" t="s">
        <v>339</v>
      </c>
      <c r="E40" s="7" t="s">
        <v>340</v>
      </c>
      <c r="F40" s="7" t="s">
        <v>178</v>
      </c>
      <c r="G40" s="7" t="s">
        <v>169</v>
      </c>
      <c r="H40" s="7" t="s">
        <v>179</v>
      </c>
      <c r="I40" s="7" t="s">
        <v>171</v>
      </c>
      <c r="J40" s="7" t="s">
        <v>172</v>
      </c>
      <c r="K40" s="7" t="s">
        <v>180</v>
      </c>
      <c r="L40" s="7" t="s">
        <v>181</v>
      </c>
      <c r="M40" s="7" t="n">
        <v>1</v>
      </c>
      <c r="N40" s="27" t="n">
        <v>999</v>
      </c>
      <c r="O40" s="28" t="n">
        <v>0.05</v>
      </c>
      <c r="P40" s="27" t="n">
        <v>949</v>
      </c>
      <c r="Q40" s="27" t="n">
        <v>520</v>
      </c>
      <c r="R40" s="27" t="n">
        <v>429</v>
      </c>
      <c r="S40" s="7" t="s">
        <v>60</v>
      </c>
      <c r="T40" s="7" t="str">
        <f aca="false">IF(O40=0,"No discount",IF(O40&lt;=0.2,"Up to 20%","Above 20%"))</f>
        <v>Up to 20%</v>
      </c>
    </row>
    <row r="41" customFormat="false" ht="15" hidden="false" customHeight="true" outlineLevel="0" collapsed="false">
      <c r="A41" s="7" t="s">
        <v>341</v>
      </c>
      <c r="B41" s="26" t="n">
        <v>45673</v>
      </c>
      <c r="C41" s="26" t="n">
        <v>45674</v>
      </c>
      <c r="D41" s="7" t="s">
        <v>302</v>
      </c>
      <c r="E41" s="7" t="s">
        <v>303</v>
      </c>
      <c r="F41" s="7" t="s">
        <v>159</v>
      </c>
      <c r="G41" s="7" t="s">
        <v>160</v>
      </c>
      <c r="H41" s="7" t="s">
        <v>269</v>
      </c>
      <c r="I41" s="7" t="s">
        <v>171</v>
      </c>
      <c r="J41" s="7" t="s">
        <v>172</v>
      </c>
      <c r="K41" s="7" t="s">
        <v>180</v>
      </c>
      <c r="L41" s="7" t="s">
        <v>181</v>
      </c>
      <c r="M41" s="7" t="n">
        <v>1</v>
      </c>
      <c r="N41" s="27" t="n">
        <v>999</v>
      </c>
      <c r="O41" s="28" t="n">
        <v>0.2</v>
      </c>
      <c r="P41" s="27" t="n">
        <v>799</v>
      </c>
      <c r="Q41" s="27" t="n">
        <v>520</v>
      </c>
      <c r="R41" s="27" t="n">
        <v>279</v>
      </c>
      <c r="S41" s="7" t="s">
        <v>47</v>
      </c>
      <c r="T41" s="7" t="str">
        <f aca="false">IF(O41=0,"No discount",IF(O41&lt;=0.2,"Up to 20%","Above 20%"))</f>
        <v>Up to 20%</v>
      </c>
    </row>
    <row r="42" customFormat="false" ht="15" hidden="false" customHeight="true" outlineLevel="0" collapsed="false">
      <c r="A42" s="7" t="s">
        <v>342</v>
      </c>
      <c r="B42" s="26" t="n">
        <v>45674</v>
      </c>
      <c r="C42" s="26" t="n">
        <v>45681</v>
      </c>
      <c r="D42" s="7" t="s">
        <v>197</v>
      </c>
      <c r="E42" s="7" t="s">
        <v>198</v>
      </c>
      <c r="F42" s="7" t="s">
        <v>178</v>
      </c>
      <c r="G42" s="7" t="s">
        <v>169</v>
      </c>
      <c r="H42" s="7" t="s">
        <v>191</v>
      </c>
      <c r="I42" s="7" t="s">
        <v>171</v>
      </c>
      <c r="J42" s="7" t="s">
        <v>172</v>
      </c>
      <c r="K42" s="7" t="s">
        <v>173</v>
      </c>
      <c r="L42" s="7" t="s">
        <v>174</v>
      </c>
      <c r="M42" s="7" t="n">
        <v>1</v>
      </c>
      <c r="N42" s="27" t="n">
        <v>699</v>
      </c>
      <c r="O42" s="28" t="n">
        <v>0</v>
      </c>
      <c r="P42" s="27" t="n">
        <v>699</v>
      </c>
      <c r="Q42" s="27" t="n">
        <v>320</v>
      </c>
      <c r="R42" s="27" t="n">
        <v>379</v>
      </c>
      <c r="S42" s="7" t="s">
        <v>60</v>
      </c>
      <c r="T42" s="7" t="str">
        <f aca="false">IF(O42=0,"No discount",IF(O42&lt;=0.2,"Up to 20%","Above 20%"))</f>
        <v>No discount</v>
      </c>
    </row>
    <row r="43" customFormat="false" ht="15" hidden="false" customHeight="true" outlineLevel="0" collapsed="false">
      <c r="A43" s="7" t="s">
        <v>343</v>
      </c>
      <c r="B43" s="26" t="n">
        <v>45674</v>
      </c>
      <c r="C43" s="26" t="n">
        <v>45677</v>
      </c>
      <c r="D43" s="7" t="s">
        <v>308</v>
      </c>
      <c r="E43" s="7" t="s">
        <v>309</v>
      </c>
      <c r="F43" s="7" t="s">
        <v>159</v>
      </c>
      <c r="G43" s="7" t="s">
        <v>169</v>
      </c>
      <c r="H43" s="7" t="s">
        <v>179</v>
      </c>
      <c r="I43" s="7" t="s">
        <v>199</v>
      </c>
      <c r="J43" s="7" t="s">
        <v>223</v>
      </c>
      <c r="K43" s="7" t="s">
        <v>224</v>
      </c>
      <c r="L43" s="7" t="s">
        <v>225</v>
      </c>
      <c r="M43" s="7" t="n">
        <v>4</v>
      </c>
      <c r="N43" s="27" t="n">
        <v>899</v>
      </c>
      <c r="O43" s="28" t="n">
        <v>0.1</v>
      </c>
      <c r="P43" s="27" t="n">
        <v>3236</v>
      </c>
      <c r="Q43" s="27" t="n">
        <v>1520</v>
      </c>
      <c r="R43" s="27" t="n">
        <v>1716</v>
      </c>
      <c r="S43" s="7" t="s">
        <v>60</v>
      </c>
      <c r="T43" s="7" t="str">
        <f aca="false">IF(O43=0,"No discount",IF(O43&lt;=0.2,"Up to 20%","Above 20%"))</f>
        <v>Up to 20%</v>
      </c>
    </row>
    <row r="44" customFormat="false" ht="15" hidden="false" customHeight="true" outlineLevel="0" collapsed="false">
      <c r="A44" s="7" t="s">
        <v>344</v>
      </c>
      <c r="B44" s="26" t="n">
        <v>45674</v>
      </c>
      <c r="C44" s="26" t="n">
        <v>45678</v>
      </c>
      <c r="D44" s="7" t="s">
        <v>345</v>
      </c>
      <c r="E44" s="7" t="s">
        <v>346</v>
      </c>
      <c r="F44" s="7" t="s">
        <v>159</v>
      </c>
      <c r="G44" s="7" t="s">
        <v>160</v>
      </c>
      <c r="H44" s="7" t="s">
        <v>161</v>
      </c>
      <c r="I44" s="7" t="s">
        <v>162</v>
      </c>
      <c r="J44" s="7" t="s">
        <v>185</v>
      </c>
      <c r="K44" s="7" t="s">
        <v>186</v>
      </c>
      <c r="L44" s="7" t="s">
        <v>187</v>
      </c>
      <c r="M44" s="7" t="n">
        <v>2</v>
      </c>
      <c r="N44" s="27" t="n">
        <v>3299</v>
      </c>
      <c r="O44" s="28" t="n">
        <v>0.2</v>
      </c>
      <c r="P44" s="27" t="n">
        <v>5278</v>
      </c>
      <c r="Q44" s="27" t="n">
        <v>3800</v>
      </c>
      <c r="R44" s="27" t="n">
        <v>1478</v>
      </c>
      <c r="S44" s="7" t="s">
        <v>60</v>
      </c>
      <c r="T44" s="7" t="str">
        <f aca="false">IF(O44=0,"No discount",IF(O44&lt;=0.2,"Up to 20%","Above 20%"))</f>
        <v>Up to 20%</v>
      </c>
    </row>
    <row r="45" customFormat="false" ht="15" hidden="false" customHeight="true" outlineLevel="0" collapsed="false">
      <c r="A45" s="7" t="s">
        <v>347</v>
      </c>
      <c r="B45" s="26" t="n">
        <v>45674</v>
      </c>
      <c r="C45" s="26" t="n">
        <v>45680</v>
      </c>
      <c r="D45" s="7" t="s">
        <v>348</v>
      </c>
      <c r="E45" s="7" t="s">
        <v>349</v>
      </c>
      <c r="F45" s="7" t="s">
        <v>159</v>
      </c>
      <c r="G45" s="7" t="s">
        <v>169</v>
      </c>
      <c r="H45" s="7" t="s">
        <v>191</v>
      </c>
      <c r="I45" s="7" t="s">
        <v>282</v>
      </c>
      <c r="J45" s="7" t="s">
        <v>283</v>
      </c>
      <c r="K45" s="7" t="s">
        <v>284</v>
      </c>
      <c r="L45" s="7" t="s">
        <v>285</v>
      </c>
      <c r="M45" s="7" t="n">
        <v>1</v>
      </c>
      <c r="N45" s="27" t="n">
        <v>199</v>
      </c>
      <c r="O45" s="28" t="n">
        <v>0</v>
      </c>
      <c r="P45" s="27" t="n">
        <v>199</v>
      </c>
      <c r="Q45" s="27" t="n">
        <v>90</v>
      </c>
      <c r="R45" s="27" t="n">
        <v>109</v>
      </c>
      <c r="S45" s="7" t="s">
        <v>60</v>
      </c>
      <c r="T45" s="7" t="str">
        <f aca="false">IF(O45=0,"No discount",IF(O45&lt;=0.2,"Up to 20%","Above 20%"))</f>
        <v>No discount</v>
      </c>
    </row>
    <row r="46" customFormat="false" ht="15" hidden="false" customHeight="true" outlineLevel="0" collapsed="false">
      <c r="A46" s="7" t="s">
        <v>350</v>
      </c>
      <c r="B46" s="26" t="n">
        <v>45675</v>
      </c>
      <c r="C46" s="26" t="n">
        <v>45678</v>
      </c>
      <c r="D46" s="7" t="s">
        <v>351</v>
      </c>
      <c r="E46" s="7" t="s">
        <v>352</v>
      </c>
      <c r="F46" s="7" t="s">
        <v>178</v>
      </c>
      <c r="G46" s="7" t="s">
        <v>169</v>
      </c>
      <c r="H46" s="7" t="s">
        <v>179</v>
      </c>
      <c r="I46" s="7" t="s">
        <v>192</v>
      </c>
      <c r="J46" s="7" t="s">
        <v>213</v>
      </c>
      <c r="K46" s="7" t="s">
        <v>264</v>
      </c>
      <c r="L46" s="7" t="s">
        <v>265</v>
      </c>
      <c r="M46" s="7" t="n">
        <v>1</v>
      </c>
      <c r="N46" s="27" t="n">
        <v>2499</v>
      </c>
      <c r="O46" s="28" t="n">
        <v>0.4</v>
      </c>
      <c r="P46" s="27" t="n">
        <v>1499</v>
      </c>
      <c r="Q46" s="27" t="n">
        <v>1700</v>
      </c>
      <c r="R46" s="27" t="n">
        <v>-201</v>
      </c>
      <c r="S46" s="7" t="s">
        <v>60</v>
      </c>
      <c r="T46" s="7" t="str">
        <f aca="false">IF(O46=0,"No discount",IF(O46&lt;=0.2,"Up to 20%","Above 20%"))</f>
        <v>Above 20%</v>
      </c>
    </row>
    <row r="47" customFormat="false" ht="15" hidden="false" customHeight="true" outlineLevel="0" collapsed="false">
      <c r="A47" s="7" t="s">
        <v>353</v>
      </c>
      <c r="B47" s="26" t="n">
        <v>45675</v>
      </c>
      <c r="C47" s="26" t="n">
        <v>45677</v>
      </c>
      <c r="D47" s="7" t="s">
        <v>354</v>
      </c>
      <c r="E47" s="7" t="s">
        <v>355</v>
      </c>
      <c r="F47" s="7" t="s">
        <v>159</v>
      </c>
      <c r="G47" s="7" t="s">
        <v>323</v>
      </c>
      <c r="H47" s="7" t="s">
        <v>324</v>
      </c>
      <c r="I47" s="7" t="s">
        <v>162</v>
      </c>
      <c r="J47" s="7" t="s">
        <v>185</v>
      </c>
      <c r="K47" s="7" t="s">
        <v>186</v>
      </c>
      <c r="L47" s="7" t="s">
        <v>187</v>
      </c>
      <c r="M47" s="7" t="n">
        <v>1</v>
      </c>
      <c r="N47" s="27" t="n">
        <v>3299</v>
      </c>
      <c r="O47" s="28" t="n">
        <v>0</v>
      </c>
      <c r="P47" s="27" t="n">
        <v>3299</v>
      </c>
      <c r="Q47" s="27" t="n">
        <v>1900</v>
      </c>
      <c r="R47" s="27" t="n">
        <v>1399</v>
      </c>
      <c r="S47" s="7" t="s">
        <v>60</v>
      </c>
      <c r="T47" s="7" t="str">
        <f aca="false">IF(O47=0,"No discount",IF(O47&lt;=0.2,"Up to 20%","Above 20%"))</f>
        <v>No discount</v>
      </c>
    </row>
    <row r="48" customFormat="false" ht="15" hidden="false" customHeight="true" outlineLevel="0" collapsed="false">
      <c r="A48" s="7" t="s">
        <v>356</v>
      </c>
      <c r="B48" s="26" t="n">
        <v>45675</v>
      </c>
      <c r="C48" s="26" t="n">
        <v>45677</v>
      </c>
      <c r="D48" s="7" t="s">
        <v>357</v>
      </c>
      <c r="E48" s="7" t="s">
        <v>358</v>
      </c>
      <c r="F48" s="7" t="s">
        <v>219</v>
      </c>
      <c r="G48" s="7" t="s">
        <v>160</v>
      </c>
      <c r="H48" s="7" t="s">
        <v>161</v>
      </c>
      <c r="I48" s="7" t="s">
        <v>282</v>
      </c>
      <c r="J48" s="7" t="s">
        <v>283</v>
      </c>
      <c r="K48" s="7" t="s">
        <v>284</v>
      </c>
      <c r="L48" s="7" t="s">
        <v>285</v>
      </c>
      <c r="M48" s="7" t="n">
        <v>3</v>
      </c>
      <c r="N48" s="27" t="n">
        <v>199</v>
      </c>
      <c r="O48" s="28" t="n">
        <v>0.1</v>
      </c>
      <c r="P48" s="27" t="n">
        <v>537</v>
      </c>
      <c r="Q48" s="27" t="n">
        <v>270</v>
      </c>
      <c r="R48" s="27" t="n">
        <v>267</v>
      </c>
      <c r="S48" s="7" t="s">
        <v>60</v>
      </c>
      <c r="T48" s="7" t="str">
        <f aca="false">IF(O48=0,"No discount",IF(O48&lt;=0.2,"Up to 20%","Above 20%"))</f>
        <v>Up to 20%</v>
      </c>
    </row>
    <row r="49" customFormat="false" ht="15" hidden="false" customHeight="true" outlineLevel="0" collapsed="false">
      <c r="A49" s="7" t="s">
        <v>359</v>
      </c>
      <c r="B49" s="26" t="n">
        <v>45675</v>
      </c>
      <c r="C49" s="26" t="n">
        <v>45682</v>
      </c>
      <c r="D49" s="7" t="s">
        <v>360</v>
      </c>
      <c r="E49" s="7" t="s">
        <v>361</v>
      </c>
      <c r="F49" s="7" t="s">
        <v>159</v>
      </c>
      <c r="G49" s="7" t="s">
        <v>206</v>
      </c>
      <c r="H49" s="7" t="s">
        <v>207</v>
      </c>
      <c r="I49" s="7" t="s">
        <v>171</v>
      </c>
      <c r="J49" s="7" t="s">
        <v>304</v>
      </c>
      <c r="K49" s="7" t="s">
        <v>305</v>
      </c>
      <c r="L49" s="7" t="s">
        <v>306</v>
      </c>
      <c r="M49" s="7" t="n">
        <v>2</v>
      </c>
      <c r="N49" s="27" t="n">
        <v>2999</v>
      </c>
      <c r="O49" s="28" t="n">
        <v>0.1</v>
      </c>
      <c r="P49" s="27" t="n">
        <v>5398</v>
      </c>
      <c r="Q49" s="27" t="n">
        <v>4000</v>
      </c>
      <c r="R49" s="27" t="n">
        <v>1398</v>
      </c>
      <c r="S49" s="7" t="s">
        <v>60</v>
      </c>
      <c r="T49" s="7" t="str">
        <f aca="false">IF(O49=0,"No discount",IF(O49&lt;=0.2,"Up to 20%","Above 20%"))</f>
        <v>Up to 20%</v>
      </c>
    </row>
    <row r="50" customFormat="false" ht="15" hidden="false" customHeight="true" outlineLevel="0" collapsed="false">
      <c r="A50" s="7" t="s">
        <v>362</v>
      </c>
      <c r="B50" s="26" t="n">
        <v>45676</v>
      </c>
      <c r="C50" s="26" t="n">
        <v>45680</v>
      </c>
      <c r="D50" s="7" t="s">
        <v>363</v>
      </c>
      <c r="E50" s="7" t="s">
        <v>364</v>
      </c>
      <c r="F50" s="7" t="s">
        <v>159</v>
      </c>
      <c r="G50" s="7" t="s">
        <v>169</v>
      </c>
      <c r="H50" s="7" t="s">
        <v>170</v>
      </c>
      <c r="I50" s="7" t="s">
        <v>162</v>
      </c>
      <c r="J50" s="7" t="s">
        <v>163</v>
      </c>
      <c r="K50" s="7" t="s">
        <v>164</v>
      </c>
      <c r="L50" s="7" t="s">
        <v>165</v>
      </c>
      <c r="M50" s="7" t="n">
        <v>1</v>
      </c>
      <c r="N50" s="27" t="n">
        <v>1999</v>
      </c>
      <c r="O50" s="28" t="n">
        <v>0.2</v>
      </c>
      <c r="P50" s="27" t="n">
        <v>1599</v>
      </c>
      <c r="Q50" s="27" t="n">
        <v>1050</v>
      </c>
      <c r="R50" s="27" t="n">
        <v>549</v>
      </c>
      <c r="S50" s="7" t="s">
        <v>60</v>
      </c>
      <c r="T50" s="7" t="str">
        <f aca="false">IF(O50=0,"No discount",IF(O50&lt;=0.2,"Up to 20%","Above 20%"))</f>
        <v>Up to 20%</v>
      </c>
    </row>
    <row r="51" customFormat="false" ht="15" hidden="false" customHeight="true" outlineLevel="0" collapsed="false">
      <c r="A51" s="7" t="s">
        <v>365</v>
      </c>
      <c r="B51" s="26" t="n">
        <v>45676</v>
      </c>
      <c r="C51" s="26" t="n">
        <v>45678</v>
      </c>
      <c r="D51" s="7" t="s">
        <v>366</v>
      </c>
      <c r="E51" s="7" t="s">
        <v>367</v>
      </c>
      <c r="F51" s="7" t="s">
        <v>159</v>
      </c>
      <c r="G51" s="7" t="s">
        <v>169</v>
      </c>
      <c r="H51" s="7" t="s">
        <v>170</v>
      </c>
      <c r="I51" s="7" t="s">
        <v>199</v>
      </c>
      <c r="J51" s="7" t="s">
        <v>223</v>
      </c>
      <c r="K51" s="7" t="s">
        <v>246</v>
      </c>
      <c r="L51" s="7" t="s">
        <v>247</v>
      </c>
      <c r="M51" s="7" t="n">
        <v>1</v>
      </c>
      <c r="N51" s="27" t="n">
        <v>599</v>
      </c>
      <c r="O51" s="28" t="n">
        <v>0.15</v>
      </c>
      <c r="P51" s="27" t="n">
        <v>509</v>
      </c>
      <c r="Q51" s="27" t="n">
        <v>270</v>
      </c>
      <c r="R51" s="27" t="n">
        <v>239</v>
      </c>
      <c r="S51" s="7" t="s">
        <v>60</v>
      </c>
      <c r="T51" s="7" t="str">
        <f aca="false">IF(O51=0,"No discount",IF(O51&lt;=0.2,"Up to 20%","Above 20%"))</f>
        <v>Up to 20%</v>
      </c>
    </row>
    <row r="52" customFormat="false" ht="15" hidden="false" customHeight="true" outlineLevel="0" collapsed="false">
      <c r="A52" s="7" t="s">
        <v>368</v>
      </c>
      <c r="B52" s="26" t="n">
        <v>45677</v>
      </c>
      <c r="C52" s="26" t="n">
        <v>45679</v>
      </c>
      <c r="D52" s="7" t="s">
        <v>369</v>
      </c>
      <c r="E52" s="7" t="s">
        <v>370</v>
      </c>
      <c r="F52" s="7" t="s">
        <v>159</v>
      </c>
      <c r="G52" s="7" t="s">
        <v>169</v>
      </c>
      <c r="H52" s="7" t="s">
        <v>191</v>
      </c>
      <c r="I52" s="7" t="s">
        <v>171</v>
      </c>
      <c r="J52" s="7" t="s">
        <v>172</v>
      </c>
      <c r="K52" s="7" t="s">
        <v>173</v>
      </c>
      <c r="L52" s="7" t="s">
        <v>174</v>
      </c>
      <c r="M52" s="7" t="n">
        <v>3</v>
      </c>
      <c r="N52" s="27" t="n">
        <v>699</v>
      </c>
      <c r="O52" s="28" t="n">
        <v>0</v>
      </c>
      <c r="P52" s="27" t="n">
        <v>2097</v>
      </c>
      <c r="Q52" s="27" t="n">
        <v>960</v>
      </c>
      <c r="R52" s="27" t="n">
        <v>1137</v>
      </c>
      <c r="S52" s="7" t="s">
        <v>60</v>
      </c>
      <c r="T52" s="7" t="str">
        <f aca="false">IF(O52=0,"No discount",IF(O52&lt;=0.2,"Up to 20%","Above 20%"))</f>
        <v>No discount</v>
      </c>
    </row>
    <row r="53" customFormat="false" ht="15" hidden="false" customHeight="true" outlineLevel="0" collapsed="false">
      <c r="A53" s="7" t="s">
        <v>371</v>
      </c>
      <c r="B53" s="26" t="n">
        <v>45677</v>
      </c>
      <c r="C53" s="26" t="n">
        <v>45684</v>
      </c>
      <c r="D53" s="7" t="s">
        <v>372</v>
      </c>
      <c r="E53" s="7" t="s">
        <v>373</v>
      </c>
      <c r="F53" s="7" t="s">
        <v>219</v>
      </c>
      <c r="G53" s="7" t="s">
        <v>160</v>
      </c>
      <c r="H53" s="7" t="s">
        <v>269</v>
      </c>
      <c r="I53" s="7" t="s">
        <v>199</v>
      </c>
      <c r="J53" s="7" t="s">
        <v>223</v>
      </c>
      <c r="K53" s="7" t="s">
        <v>224</v>
      </c>
      <c r="L53" s="7" t="s">
        <v>225</v>
      </c>
      <c r="M53" s="7" t="n">
        <v>1</v>
      </c>
      <c r="N53" s="27" t="n">
        <v>899</v>
      </c>
      <c r="O53" s="28" t="n">
        <v>0.1</v>
      </c>
      <c r="P53" s="27" t="n">
        <v>809</v>
      </c>
      <c r="Q53" s="27" t="n">
        <v>380</v>
      </c>
      <c r="R53" s="27" t="n">
        <v>429</v>
      </c>
      <c r="S53" s="7" t="s">
        <v>60</v>
      </c>
      <c r="T53" s="7" t="str">
        <f aca="false">IF(O53=0,"No discount",IF(O53&lt;=0.2,"Up to 20%","Above 20%"))</f>
        <v>Up to 20%</v>
      </c>
    </row>
    <row r="54" customFormat="false" ht="15" hidden="false" customHeight="true" outlineLevel="0" collapsed="false">
      <c r="A54" s="7" t="s">
        <v>374</v>
      </c>
      <c r="B54" s="26" t="n">
        <v>45677</v>
      </c>
      <c r="C54" s="26" t="n">
        <v>45682</v>
      </c>
      <c r="D54" s="7" t="s">
        <v>375</v>
      </c>
      <c r="E54" s="7" t="s">
        <v>376</v>
      </c>
      <c r="F54" s="7" t="s">
        <v>159</v>
      </c>
      <c r="G54" s="7" t="s">
        <v>160</v>
      </c>
      <c r="H54" s="7" t="s">
        <v>269</v>
      </c>
      <c r="I54" s="7" t="s">
        <v>192</v>
      </c>
      <c r="J54" s="7" t="s">
        <v>193</v>
      </c>
      <c r="K54" s="7" t="s">
        <v>194</v>
      </c>
      <c r="L54" s="7" t="s">
        <v>195</v>
      </c>
      <c r="M54" s="7" t="n">
        <v>1</v>
      </c>
      <c r="N54" s="27" t="n">
        <v>8999</v>
      </c>
      <c r="O54" s="28" t="n">
        <v>0.3</v>
      </c>
      <c r="P54" s="27" t="n">
        <v>6299</v>
      </c>
      <c r="Q54" s="27" t="n">
        <v>6800</v>
      </c>
      <c r="R54" s="27" t="n">
        <v>-501</v>
      </c>
      <c r="S54" s="7" t="s">
        <v>60</v>
      </c>
      <c r="T54" s="7" t="str">
        <f aca="false">IF(O54=0,"No discount",IF(O54&lt;=0.2,"Up to 20%","Above 20%"))</f>
        <v>Above 20%</v>
      </c>
    </row>
    <row r="55" customFormat="false" ht="15" hidden="false" customHeight="true" outlineLevel="0" collapsed="false">
      <c r="A55" s="7" t="s">
        <v>377</v>
      </c>
      <c r="B55" s="26" t="n">
        <v>45677</v>
      </c>
      <c r="C55" s="26" t="n">
        <v>45679</v>
      </c>
      <c r="D55" s="7" t="s">
        <v>378</v>
      </c>
      <c r="E55" s="7" t="s">
        <v>379</v>
      </c>
      <c r="F55" s="7" t="s">
        <v>159</v>
      </c>
      <c r="G55" s="7" t="s">
        <v>160</v>
      </c>
      <c r="H55" s="7" t="s">
        <v>269</v>
      </c>
      <c r="I55" s="7" t="s">
        <v>192</v>
      </c>
      <c r="J55" s="7" t="s">
        <v>193</v>
      </c>
      <c r="K55" s="7" t="s">
        <v>194</v>
      </c>
      <c r="L55" s="7" t="s">
        <v>195</v>
      </c>
      <c r="M55" s="7" t="n">
        <v>1</v>
      </c>
      <c r="N55" s="27" t="n">
        <v>8999</v>
      </c>
      <c r="O55" s="28" t="n">
        <v>0.1</v>
      </c>
      <c r="P55" s="27" t="n">
        <v>8099</v>
      </c>
      <c r="Q55" s="27" t="n">
        <v>6800</v>
      </c>
      <c r="R55" s="27" t="n">
        <v>1299</v>
      </c>
      <c r="S55" s="7" t="s">
        <v>60</v>
      </c>
      <c r="T55" s="7" t="str">
        <f aca="false">IF(O55=0,"No discount",IF(O55&lt;=0.2,"Up to 20%","Above 20%"))</f>
        <v>Up to 20%</v>
      </c>
    </row>
    <row r="56" customFormat="false" ht="15" hidden="false" customHeight="true" outlineLevel="0" collapsed="false">
      <c r="A56" s="7" t="s">
        <v>380</v>
      </c>
      <c r="B56" s="26" t="n">
        <v>45678</v>
      </c>
      <c r="C56" s="26" t="n">
        <v>45685</v>
      </c>
      <c r="D56" s="7" t="s">
        <v>375</v>
      </c>
      <c r="E56" s="7" t="s">
        <v>376</v>
      </c>
      <c r="F56" s="7" t="s">
        <v>159</v>
      </c>
      <c r="G56" s="7" t="s">
        <v>160</v>
      </c>
      <c r="H56" s="7" t="s">
        <v>269</v>
      </c>
      <c r="I56" s="7" t="s">
        <v>162</v>
      </c>
      <c r="J56" s="7" t="s">
        <v>325</v>
      </c>
      <c r="K56" s="7" t="s">
        <v>381</v>
      </c>
      <c r="L56" s="7" t="s">
        <v>382</v>
      </c>
      <c r="M56" s="7" t="n">
        <v>2</v>
      </c>
      <c r="N56" s="27" t="n">
        <v>1799</v>
      </c>
      <c r="O56" s="28" t="n">
        <v>0.2</v>
      </c>
      <c r="P56" s="27" t="n">
        <v>2878</v>
      </c>
      <c r="Q56" s="27" t="n">
        <v>1900</v>
      </c>
      <c r="R56" s="27" t="n">
        <v>978</v>
      </c>
      <c r="S56" s="7" t="s">
        <v>60</v>
      </c>
      <c r="T56" s="7" t="str">
        <f aca="false">IF(O56=0,"No discount",IF(O56&lt;=0.2,"Up to 20%","Above 20%"))</f>
        <v>Up to 20%</v>
      </c>
    </row>
    <row r="57" customFormat="false" ht="15" hidden="false" customHeight="true" outlineLevel="0" collapsed="false">
      <c r="A57" s="7" t="s">
        <v>383</v>
      </c>
      <c r="B57" s="26" t="n">
        <v>45678</v>
      </c>
      <c r="C57" s="26" t="n">
        <v>45684</v>
      </c>
      <c r="D57" s="7" t="s">
        <v>384</v>
      </c>
      <c r="E57" s="7" t="s">
        <v>385</v>
      </c>
      <c r="F57" s="7" t="s">
        <v>159</v>
      </c>
      <c r="G57" s="7" t="s">
        <v>206</v>
      </c>
      <c r="H57" s="7" t="s">
        <v>207</v>
      </c>
      <c r="I57" s="7" t="s">
        <v>171</v>
      </c>
      <c r="J57" s="7" t="s">
        <v>172</v>
      </c>
      <c r="K57" s="7" t="s">
        <v>173</v>
      </c>
      <c r="L57" s="7" t="s">
        <v>174</v>
      </c>
      <c r="M57" s="7" t="n">
        <v>1</v>
      </c>
      <c r="N57" s="27" t="n">
        <v>699</v>
      </c>
      <c r="O57" s="28" t="n">
        <v>0</v>
      </c>
      <c r="P57" s="27" t="n">
        <v>699</v>
      </c>
      <c r="Q57" s="27" t="n">
        <v>320</v>
      </c>
      <c r="R57" s="27" t="n">
        <v>379</v>
      </c>
      <c r="S57" s="7" t="s">
        <v>60</v>
      </c>
      <c r="T57" s="7" t="str">
        <f aca="false">IF(O57=0,"No discount",IF(O57&lt;=0.2,"Up to 20%","Above 20%"))</f>
        <v>No discount</v>
      </c>
    </row>
    <row r="58" customFormat="false" ht="15" hidden="false" customHeight="true" outlineLevel="0" collapsed="false">
      <c r="A58" s="7" t="s">
        <v>386</v>
      </c>
      <c r="B58" s="26" t="n">
        <v>45678</v>
      </c>
      <c r="C58" s="26" t="n">
        <v>45682</v>
      </c>
      <c r="D58" s="7" t="s">
        <v>339</v>
      </c>
      <c r="E58" s="7" t="s">
        <v>340</v>
      </c>
      <c r="F58" s="7" t="s">
        <v>178</v>
      </c>
      <c r="G58" s="7" t="s">
        <v>169</v>
      </c>
      <c r="H58" s="7" t="s">
        <v>179</v>
      </c>
      <c r="I58" s="7" t="s">
        <v>282</v>
      </c>
      <c r="J58" s="7" t="s">
        <v>387</v>
      </c>
      <c r="K58" s="7" t="s">
        <v>388</v>
      </c>
      <c r="L58" s="7" t="s">
        <v>389</v>
      </c>
      <c r="M58" s="7" t="n">
        <v>1</v>
      </c>
      <c r="N58" s="27" t="n">
        <v>1299</v>
      </c>
      <c r="O58" s="28" t="n">
        <v>0.1</v>
      </c>
      <c r="P58" s="27" t="n">
        <v>1169</v>
      </c>
      <c r="Q58" s="27" t="n">
        <v>780</v>
      </c>
      <c r="R58" s="27" t="n">
        <v>389</v>
      </c>
      <c r="S58" s="7" t="s">
        <v>60</v>
      </c>
      <c r="T58" s="7" t="str">
        <f aca="false">IF(O58=0,"No discount",IF(O58&lt;=0.2,"Up to 20%","Above 20%"))</f>
        <v>Up to 20%</v>
      </c>
    </row>
    <row r="59" customFormat="false" ht="15" hidden="false" customHeight="true" outlineLevel="0" collapsed="false">
      <c r="A59" s="7" t="s">
        <v>390</v>
      </c>
      <c r="B59" s="26" t="n">
        <v>45679</v>
      </c>
      <c r="C59" s="26" t="n">
        <v>45680</v>
      </c>
      <c r="D59" s="7" t="s">
        <v>391</v>
      </c>
      <c r="E59" s="7" t="s">
        <v>392</v>
      </c>
      <c r="F59" s="7" t="s">
        <v>159</v>
      </c>
      <c r="G59" s="7" t="s">
        <v>206</v>
      </c>
      <c r="H59" s="7" t="s">
        <v>207</v>
      </c>
      <c r="I59" s="7" t="s">
        <v>192</v>
      </c>
      <c r="J59" s="7" t="s">
        <v>213</v>
      </c>
      <c r="K59" s="7" t="s">
        <v>264</v>
      </c>
      <c r="L59" s="7" t="s">
        <v>265</v>
      </c>
      <c r="M59" s="7" t="n">
        <v>4</v>
      </c>
      <c r="N59" s="27" t="n">
        <v>2499</v>
      </c>
      <c r="O59" s="28" t="n">
        <v>0.4</v>
      </c>
      <c r="P59" s="27" t="n">
        <v>5998</v>
      </c>
      <c r="Q59" s="27" t="n">
        <v>6800</v>
      </c>
      <c r="R59" s="27" t="n">
        <v>-802</v>
      </c>
      <c r="S59" s="7" t="s">
        <v>60</v>
      </c>
      <c r="T59" s="7" t="str">
        <f aca="false">IF(O59=0,"No discount",IF(O59&lt;=0.2,"Up to 20%","Above 20%"))</f>
        <v>Above 20%</v>
      </c>
    </row>
    <row r="60" customFormat="false" ht="15" hidden="false" customHeight="true" outlineLevel="0" collapsed="false">
      <c r="A60" s="7" t="s">
        <v>393</v>
      </c>
      <c r="B60" s="26" t="n">
        <v>45679</v>
      </c>
      <c r="C60" s="26" t="n">
        <v>45680</v>
      </c>
      <c r="D60" s="7" t="s">
        <v>197</v>
      </c>
      <c r="E60" s="7" t="s">
        <v>198</v>
      </c>
      <c r="F60" s="7" t="s">
        <v>178</v>
      </c>
      <c r="G60" s="7" t="s">
        <v>169</v>
      </c>
      <c r="H60" s="7" t="s">
        <v>191</v>
      </c>
      <c r="I60" s="7" t="s">
        <v>199</v>
      </c>
      <c r="J60" s="7" t="s">
        <v>200</v>
      </c>
      <c r="K60" s="7" t="s">
        <v>201</v>
      </c>
      <c r="L60" s="7" t="s">
        <v>202</v>
      </c>
      <c r="M60" s="7" t="n">
        <v>3</v>
      </c>
      <c r="N60" s="27" t="n">
        <v>399</v>
      </c>
      <c r="O60" s="28" t="n">
        <v>0.2</v>
      </c>
      <c r="P60" s="27" t="n">
        <v>958</v>
      </c>
      <c r="Q60" s="27" t="n">
        <v>480</v>
      </c>
      <c r="R60" s="27" t="n">
        <v>478</v>
      </c>
      <c r="S60" s="7" t="s">
        <v>60</v>
      </c>
      <c r="T60" s="7" t="str">
        <f aca="false">IF(O60=0,"No discount",IF(O60&lt;=0.2,"Up to 20%","Above 20%"))</f>
        <v>Up to 20%</v>
      </c>
    </row>
    <row r="61" customFormat="false" ht="15" hidden="false" customHeight="true" outlineLevel="0" collapsed="false">
      <c r="A61" s="7" t="s">
        <v>394</v>
      </c>
      <c r="B61" s="26" t="n">
        <v>45680</v>
      </c>
      <c r="C61" s="26" t="n">
        <v>45685</v>
      </c>
      <c r="D61" s="7" t="s">
        <v>255</v>
      </c>
      <c r="E61" s="7" t="s">
        <v>256</v>
      </c>
      <c r="F61" s="7" t="s">
        <v>159</v>
      </c>
      <c r="G61" s="7" t="s">
        <v>206</v>
      </c>
      <c r="H61" s="7" t="s">
        <v>207</v>
      </c>
      <c r="I61" s="7" t="s">
        <v>171</v>
      </c>
      <c r="J61" s="7" t="s">
        <v>304</v>
      </c>
      <c r="K61" s="7" t="s">
        <v>305</v>
      </c>
      <c r="L61" s="7" t="s">
        <v>306</v>
      </c>
      <c r="M61" s="7" t="n">
        <v>1</v>
      </c>
      <c r="N61" s="27" t="n">
        <v>2999</v>
      </c>
      <c r="O61" s="28" t="n">
        <v>0.05</v>
      </c>
      <c r="P61" s="27" t="n">
        <v>2849</v>
      </c>
      <c r="Q61" s="27" t="n">
        <v>2000</v>
      </c>
      <c r="R61" s="27" t="n">
        <v>849</v>
      </c>
      <c r="S61" s="7" t="s">
        <v>60</v>
      </c>
      <c r="T61" s="7" t="str">
        <f aca="false">IF(O61=0,"No discount",IF(O61&lt;=0.2,"Up to 20%","Above 20%"))</f>
        <v>Up to 20%</v>
      </c>
    </row>
    <row r="62" customFormat="false" ht="15" hidden="false" customHeight="true" outlineLevel="0" collapsed="false">
      <c r="A62" s="7" t="s">
        <v>395</v>
      </c>
      <c r="B62" s="26" t="n">
        <v>45681</v>
      </c>
      <c r="C62" s="26" t="n">
        <v>45687</v>
      </c>
      <c r="D62" s="7" t="s">
        <v>396</v>
      </c>
      <c r="E62" s="7" t="s">
        <v>397</v>
      </c>
      <c r="F62" s="7" t="s">
        <v>178</v>
      </c>
      <c r="G62" s="7" t="s">
        <v>160</v>
      </c>
      <c r="H62" s="7" t="s">
        <v>269</v>
      </c>
      <c r="I62" s="7" t="s">
        <v>199</v>
      </c>
      <c r="J62" s="7" t="s">
        <v>398</v>
      </c>
      <c r="K62" s="7" t="s">
        <v>399</v>
      </c>
      <c r="L62" s="7" t="s">
        <v>400</v>
      </c>
      <c r="M62" s="7" t="n">
        <v>1</v>
      </c>
      <c r="N62" s="27" t="n">
        <v>749</v>
      </c>
      <c r="O62" s="28" t="n">
        <v>0.1</v>
      </c>
      <c r="P62" s="27" t="n">
        <v>674</v>
      </c>
      <c r="Q62" s="27" t="n">
        <v>350</v>
      </c>
      <c r="R62" s="27" t="n">
        <v>324</v>
      </c>
      <c r="S62" s="7" t="s">
        <v>60</v>
      </c>
      <c r="T62" s="7" t="str">
        <f aca="false">IF(O62=0,"No discount",IF(O62&lt;=0.2,"Up to 20%","Above 20%"))</f>
        <v>Up to 20%</v>
      </c>
    </row>
    <row r="63" customFormat="false" ht="15" hidden="false" customHeight="true" outlineLevel="0" collapsed="false">
      <c r="A63" s="7" t="s">
        <v>401</v>
      </c>
      <c r="B63" s="26" t="n">
        <v>45681</v>
      </c>
      <c r="C63" s="26" t="n">
        <v>45688</v>
      </c>
      <c r="D63" s="7" t="s">
        <v>396</v>
      </c>
      <c r="E63" s="7" t="s">
        <v>397</v>
      </c>
      <c r="F63" s="7" t="s">
        <v>178</v>
      </c>
      <c r="G63" s="7" t="s">
        <v>160</v>
      </c>
      <c r="H63" s="7" t="s">
        <v>269</v>
      </c>
      <c r="I63" s="7" t="s">
        <v>171</v>
      </c>
      <c r="J63" s="7" t="s">
        <v>172</v>
      </c>
      <c r="K63" s="7" t="s">
        <v>180</v>
      </c>
      <c r="L63" s="7" t="s">
        <v>181</v>
      </c>
      <c r="M63" s="7" t="n">
        <v>5</v>
      </c>
      <c r="N63" s="27" t="n">
        <v>999</v>
      </c>
      <c r="O63" s="28" t="n">
        <v>0</v>
      </c>
      <c r="P63" s="27" t="n">
        <v>4995</v>
      </c>
      <c r="Q63" s="27" t="n">
        <v>2600</v>
      </c>
      <c r="R63" s="27" t="n">
        <v>2395</v>
      </c>
      <c r="S63" s="7" t="s">
        <v>60</v>
      </c>
      <c r="T63" s="7" t="str">
        <f aca="false">IF(O63=0,"No discount",IF(O63&lt;=0.2,"Up to 20%","Above 20%"))</f>
        <v>No discount</v>
      </c>
    </row>
    <row r="64" customFormat="false" ht="15" hidden="false" customHeight="true" outlineLevel="0" collapsed="false">
      <c r="A64" s="7" t="s">
        <v>402</v>
      </c>
      <c r="B64" s="26" t="n">
        <v>45682</v>
      </c>
      <c r="C64" s="26" t="n">
        <v>45683</v>
      </c>
      <c r="D64" s="7" t="s">
        <v>403</v>
      </c>
      <c r="E64" s="7" t="s">
        <v>404</v>
      </c>
      <c r="F64" s="7" t="s">
        <v>219</v>
      </c>
      <c r="G64" s="7" t="s">
        <v>169</v>
      </c>
      <c r="H64" s="7" t="s">
        <v>191</v>
      </c>
      <c r="I64" s="7" t="s">
        <v>282</v>
      </c>
      <c r="J64" s="7" t="s">
        <v>283</v>
      </c>
      <c r="K64" s="7" t="s">
        <v>284</v>
      </c>
      <c r="L64" s="7" t="s">
        <v>285</v>
      </c>
      <c r="M64" s="7" t="n">
        <v>5</v>
      </c>
      <c r="N64" s="27" t="n">
        <v>199</v>
      </c>
      <c r="O64" s="28" t="n">
        <v>0</v>
      </c>
      <c r="P64" s="27" t="n">
        <v>995</v>
      </c>
      <c r="Q64" s="27" t="n">
        <v>450</v>
      </c>
      <c r="R64" s="27" t="n">
        <v>545</v>
      </c>
      <c r="S64" s="7" t="s">
        <v>60</v>
      </c>
      <c r="T64" s="7" t="str">
        <f aca="false">IF(O64=0,"No discount",IF(O64&lt;=0.2,"Up to 20%","Above 20%"))</f>
        <v>No discount</v>
      </c>
    </row>
    <row r="65" customFormat="false" ht="15" hidden="false" customHeight="true" outlineLevel="0" collapsed="false">
      <c r="A65" s="7" t="s">
        <v>405</v>
      </c>
      <c r="B65" s="26" t="n">
        <v>45682</v>
      </c>
      <c r="C65" s="26" t="n">
        <v>45689</v>
      </c>
      <c r="D65" s="7" t="s">
        <v>197</v>
      </c>
      <c r="E65" s="7" t="s">
        <v>198</v>
      </c>
      <c r="F65" s="7" t="s">
        <v>178</v>
      </c>
      <c r="G65" s="7" t="s">
        <v>169</v>
      </c>
      <c r="H65" s="7" t="s">
        <v>191</v>
      </c>
      <c r="I65" s="7" t="s">
        <v>192</v>
      </c>
      <c r="J65" s="7" t="s">
        <v>213</v>
      </c>
      <c r="K65" s="7" t="s">
        <v>214</v>
      </c>
      <c r="L65" s="7" t="s">
        <v>215</v>
      </c>
      <c r="M65" s="7" t="n">
        <v>2</v>
      </c>
      <c r="N65" s="27" t="n">
        <v>5999</v>
      </c>
      <c r="O65" s="28" t="n">
        <v>0.2</v>
      </c>
      <c r="P65" s="27" t="n">
        <v>9598</v>
      </c>
      <c r="Q65" s="27" t="n">
        <v>9200</v>
      </c>
      <c r="R65" s="27" t="n">
        <v>398</v>
      </c>
      <c r="S65" s="7" t="s">
        <v>60</v>
      </c>
      <c r="T65" s="7" t="str">
        <f aca="false">IF(O65=0,"No discount",IF(O65&lt;=0.2,"Up to 20%","Above 20%"))</f>
        <v>Up to 20%</v>
      </c>
    </row>
    <row r="66" customFormat="false" ht="15" hidden="false" customHeight="true" outlineLevel="0" collapsed="false">
      <c r="A66" s="7" t="s">
        <v>406</v>
      </c>
      <c r="B66" s="26" t="n">
        <v>45682</v>
      </c>
      <c r="C66" s="26" t="n">
        <v>45685</v>
      </c>
      <c r="D66" s="7" t="s">
        <v>407</v>
      </c>
      <c r="E66" s="7" t="s">
        <v>408</v>
      </c>
      <c r="F66" s="7" t="s">
        <v>159</v>
      </c>
      <c r="G66" s="7" t="s">
        <v>169</v>
      </c>
      <c r="H66" s="7" t="s">
        <v>191</v>
      </c>
      <c r="I66" s="7" t="s">
        <v>171</v>
      </c>
      <c r="J66" s="7" t="s">
        <v>304</v>
      </c>
      <c r="K66" s="7" t="s">
        <v>305</v>
      </c>
      <c r="L66" s="7" t="s">
        <v>306</v>
      </c>
      <c r="M66" s="7" t="n">
        <v>1</v>
      </c>
      <c r="N66" s="27" t="n">
        <v>2999</v>
      </c>
      <c r="O66" s="28" t="n">
        <v>0.05</v>
      </c>
      <c r="P66" s="27" t="n">
        <v>2849</v>
      </c>
      <c r="Q66" s="27" t="n">
        <v>2000</v>
      </c>
      <c r="R66" s="27" t="n">
        <v>849</v>
      </c>
      <c r="S66" s="7" t="s">
        <v>60</v>
      </c>
      <c r="T66" s="7" t="str">
        <f aca="false">IF(O66=0,"No discount",IF(O66&lt;=0.2,"Up to 20%","Above 20%"))</f>
        <v>Up to 20%</v>
      </c>
    </row>
    <row r="67" customFormat="false" ht="15" hidden="false" customHeight="true" outlineLevel="0" collapsed="false">
      <c r="A67" s="7" t="s">
        <v>409</v>
      </c>
      <c r="B67" s="26" t="n">
        <v>45683</v>
      </c>
      <c r="C67" s="26" t="n">
        <v>45684</v>
      </c>
      <c r="D67" s="7" t="s">
        <v>189</v>
      </c>
      <c r="E67" s="7" t="s">
        <v>190</v>
      </c>
      <c r="F67" s="7" t="s">
        <v>159</v>
      </c>
      <c r="G67" s="7" t="s">
        <v>169</v>
      </c>
      <c r="H67" s="7" t="s">
        <v>191</v>
      </c>
      <c r="I67" s="7" t="s">
        <v>162</v>
      </c>
      <c r="J67" s="7" t="s">
        <v>163</v>
      </c>
      <c r="K67" s="7" t="s">
        <v>164</v>
      </c>
      <c r="L67" s="7" t="s">
        <v>165</v>
      </c>
      <c r="M67" s="7" t="n">
        <v>5</v>
      </c>
      <c r="N67" s="27" t="n">
        <v>1999</v>
      </c>
      <c r="O67" s="28" t="n">
        <v>0.1</v>
      </c>
      <c r="P67" s="27" t="n">
        <v>8996</v>
      </c>
      <c r="Q67" s="27" t="n">
        <v>5250</v>
      </c>
      <c r="R67" s="27" t="n">
        <v>3746</v>
      </c>
      <c r="S67" s="7" t="s">
        <v>60</v>
      </c>
      <c r="T67" s="7" t="str">
        <f aca="false">IF(O67=0,"No discount",IF(O67&lt;=0.2,"Up to 20%","Above 20%"))</f>
        <v>Up to 20%</v>
      </c>
    </row>
    <row r="68" customFormat="false" ht="15" hidden="false" customHeight="true" outlineLevel="0" collapsed="false">
      <c r="A68" s="7" t="s">
        <v>410</v>
      </c>
      <c r="B68" s="26" t="n">
        <v>45683</v>
      </c>
      <c r="C68" s="26" t="n">
        <v>45689</v>
      </c>
      <c r="D68" s="7" t="s">
        <v>396</v>
      </c>
      <c r="E68" s="7" t="s">
        <v>397</v>
      </c>
      <c r="F68" s="7" t="s">
        <v>178</v>
      </c>
      <c r="G68" s="7" t="s">
        <v>160</v>
      </c>
      <c r="H68" s="7" t="s">
        <v>269</v>
      </c>
      <c r="I68" s="7" t="s">
        <v>199</v>
      </c>
      <c r="J68" s="7" t="s">
        <v>292</v>
      </c>
      <c r="K68" s="7" t="s">
        <v>293</v>
      </c>
      <c r="L68" s="7" t="s">
        <v>294</v>
      </c>
      <c r="M68" s="7" t="n">
        <v>1</v>
      </c>
      <c r="N68" s="27" t="n">
        <v>1599</v>
      </c>
      <c r="O68" s="28" t="n">
        <v>0</v>
      </c>
      <c r="P68" s="27" t="n">
        <v>1599</v>
      </c>
      <c r="Q68" s="27" t="n">
        <v>750</v>
      </c>
      <c r="R68" s="27" t="n">
        <v>849</v>
      </c>
      <c r="S68" s="7" t="s">
        <v>60</v>
      </c>
      <c r="T68" s="7" t="str">
        <f aca="false">IF(O68=0,"No discount",IF(O68&lt;=0.2,"Up to 20%","Above 20%"))</f>
        <v>No discount</v>
      </c>
    </row>
    <row r="69" customFormat="false" ht="15" hidden="false" customHeight="true" outlineLevel="0" collapsed="false">
      <c r="A69" s="7" t="s">
        <v>411</v>
      </c>
      <c r="B69" s="26" t="n">
        <v>45683</v>
      </c>
      <c r="C69" s="26" t="n">
        <v>45686</v>
      </c>
      <c r="D69" s="7" t="s">
        <v>412</v>
      </c>
      <c r="E69" s="7" t="s">
        <v>413</v>
      </c>
      <c r="F69" s="7" t="s">
        <v>178</v>
      </c>
      <c r="G69" s="7" t="s">
        <v>206</v>
      </c>
      <c r="H69" s="7" t="s">
        <v>207</v>
      </c>
      <c r="I69" s="7" t="s">
        <v>208</v>
      </c>
      <c r="J69" s="7" t="s">
        <v>232</v>
      </c>
      <c r="K69" s="7" t="s">
        <v>233</v>
      </c>
      <c r="L69" s="7" t="s">
        <v>234</v>
      </c>
      <c r="M69" s="7" t="n">
        <v>2</v>
      </c>
      <c r="N69" s="27" t="n">
        <v>7999</v>
      </c>
      <c r="O69" s="28" t="n">
        <v>0.1</v>
      </c>
      <c r="P69" s="27" t="n">
        <v>14398</v>
      </c>
      <c r="Q69" s="27" t="n">
        <v>11200</v>
      </c>
      <c r="R69" s="27" t="n">
        <v>3198</v>
      </c>
      <c r="S69" s="7" t="s">
        <v>60</v>
      </c>
      <c r="T69" s="7" t="str">
        <f aca="false">IF(O69=0,"No discount",IF(O69&lt;=0.2,"Up to 20%","Above 20%"))</f>
        <v>Up to 20%</v>
      </c>
    </row>
    <row r="70" customFormat="false" ht="15" hidden="false" customHeight="true" outlineLevel="0" collapsed="false">
      <c r="A70" s="7" t="s">
        <v>414</v>
      </c>
      <c r="B70" s="26" t="n">
        <v>45684</v>
      </c>
      <c r="C70" s="26" t="n">
        <v>45687</v>
      </c>
      <c r="D70" s="7" t="s">
        <v>321</v>
      </c>
      <c r="E70" s="7" t="s">
        <v>322</v>
      </c>
      <c r="F70" s="7" t="s">
        <v>219</v>
      </c>
      <c r="G70" s="7" t="s">
        <v>323</v>
      </c>
      <c r="H70" s="7" t="s">
        <v>324</v>
      </c>
      <c r="I70" s="7" t="s">
        <v>199</v>
      </c>
      <c r="J70" s="7" t="s">
        <v>292</v>
      </c>
      <c r="K70" s="7" t="s">
        <v>293</v>
      </c>
      <c r="L70" s="7" t="s">
        <v>294</v>
      </c>
      <c r="M70" s="7" t="n">
        <v>4</v>
      </c>
      <c r="N70" s="27" t="n">
        <v>1599</v>
      </c>
      <c r="O70" s="28" t="n">
        <v>0.1</v>
      </c>
      <c r="P70" s="27" t="n">
        <v>5756</v>
      </c>
      <c r="Q70" s="27" t="n">
        <v>3000</v>
      </c>
      <c r="R70" s="27" t="n">
        <v>2756</v>
      </c>
      <c r="S70" s="7" t="s">
        <v>60</v>
      </c>
      <c r="T70" s="7" t="str">
        <f aca="false">IF(O70=0,"No discount",IF(O70&lt;=0.2,"Up to 20%","Above 20%"))</f>
        <v>Up to 20%</v>
      </c>
    </row>
    <row r="71" customFormat="false" ht="15" hidden="false" customHeight="true" outlineLevel="0" collapsed="false">
      <c r="A71" s="7" t="s">
        <v>415</v>
      </c>
      <c r="B71" s="26" t="n">
        <v>45684</v>
      </c>
      <c r="C71" s="26" t="n">
        <v>45691</v>
      </c>
      <c r="D71" s="7" t="s">
        <v>416</v>
      </c>
      <c r="E71" s="7" t="s">
        <v>417</v>
      </c>
      <c r="F71" s="7" t="s">
        <v>159</v>
      </c>
      <c r="G71" s="7" t="s">
        <v>160</v>
      </c>
      <c r="H71" s="7" t="s">
        <v>269</v>
      </c>
      <c r="I71" s="7" t="s">
        <v>171</v>
      </c>
      <c r="J71" s="7" t="s">
        <v>172</v>
      </c>
      <c r="K71" s="7" t="s">
        <v>173</v>
      </c>
      <c r="L71" s="7" t="s">
        <v>174</v>
      </c>
      <c r="M71" s="7" t="n">
        <v>1</v>
      </c>
      <c r="N71" s="27" t="n">
        <v>699</v>
      </c>
      <c r="O71" s="28" t="n">
        <v>0.3</v>
      </c>
      <c r="P71" s="27" t="n">
        <v>489</v>
      </c>
      <c r="Q71" s="27" t="n">
        <v>320</v>
      </c>
      <c r="R71" s="27" t="n">
        <v>169</v>
      </c>
      <c r="S71" s="7" t="s">
        <v>60</v>
      </c>
      <c r="T71" s="7" t="str">
        <f aca="false">IF(O71=0,"No discount",IF(O71&lt;=0.2,"Up to 20%","Above 20%"))</f>
        <v>Above 20%</v>
      </c>
    </row>
    <row r="72" customFormat="false" ht="15" hidden="false" customHeight="true" outlineLevel="0" collapsed="false">
      <c r="A72" s="7" t="s">
        <v>418</v>
      </c>
      <c r="B72" s="26" t="n">
        <v>45685</v>
      </c>
      <c r="C72" s="26" t="n">
        <v>45692</v>
      </c>
      <c r="D72" s="7" t="s">
        <v>419</v>
      </c>
      <c r="E72" s="7" t="s">
        <v>420</v>
      </c>
      <c r="F72" s="7" t="s">
        <v>178</v>
      </c>
      <c r="G72" s="7" t="s">
        <v>169</v>
      </c>
      <c r="H72" s="7" t="s">
        <v>179</v>
      </c>
      <c r="I72" s="7" t="s">
        <v>208</v>
      </c>
      <c r="J72" s="7" t="s">
        <v>421</v>
      </c>
      <c r="K72" s="7" t="s">
        <v>422</v>
      </c>
      <c r="L72" s="7" t="s">
        <v>423</v>
      </c>
      <c r="M72" s="7" t="n">
        <v>1</v>
      </c>
      <c r="N72" s="27" t="n">
        <v>5999</v>
      </c>
      <c r="O72" s="28" t="n">
        <v>0</v>
      </c>
      <c r="P72" s="27" t="n">
        <v>5999</v>
      </c>
      <c r="Q72" s="27" t="n">
        <v>4300</v>
      </c>
      <c r="R72" s="27" t="n">
        <v>1699</v>
      </c>
      <c r="S72" s="7" t="s">
        <v>60</v>
      </c>
      <c r="T72" s="7" t="str">
        <f aca="false">IF(O72=0,"No discount",IF(O72&lt;=0.2,"Up to 20%","Above 20%"))</f>
        <v>No discount</v>
      </c>
    </row>
    <row r="73" customFormat="false" ht="15" hidden="false" customHeight="true" outlineLevel="0" collapsed="false">
      <c r="A73" s="7" t="s">
        <v>424</v>
      </c>
      <c r="B73" s="26" t="n">
        <v>45685</v>
      </c>
      <c r="C73" s="26" t="n">
        <v>45690</v>
      </c>
      <c r="D73" s="7" t="s">
        <v>425</v>
      </c>
      <c r="E73" s="7" t="s">
        <v>426</v>
      </c>
      <c r="F73" s="7" t="s">
        <v>159</v>
      </c>
      <c r="G73" s="7" t="s">
        <v>206</v>
      </c>
      <c r="H73" s="7" t="s">
        <v>207</v>
      </c>
      <c r="I73" s="7" t="s">
        <v>282</v>
      </c>
      <c r="J73" s="7" t="s">
        <v>427</v>
      </c>
      <c r="K73" s="7" t="s">
        <v>428</v>
      </c>
      <c r="L73" s="7" t="s">
        <v>429</v>
      </c>
      <c r="M73" s="7" t="n">
        <v>2</v>
      </c>
      <c r="N73" s="27" t="n">
        <v>149</v>
      </c>
      <c r="O73" s="28" t="n">
        <v>0</v>
      </c>
      <c r="P73" s="27" t="n">
        <v>298</v>
      </c>
      <c r="Q73" s="27" t="n">
        <v>140</v>
      </c>
      <c r="R73" s="27" t="n">
        <v>158</v>
      </c>
      <c r="S73" s="7" t="s">
        <v>60</v>
      </c>
      <c r="T73" s="7" t="str">
        <f aca="false">IF(O73=0,"No discount",IF(O73&lt;=0.2,"Up to 20%","Above 20%"))</f>
        <v>No discount</v>
      </c>
    </row>
    <row r="74" customFormat="false" ht="15" hidden="false" customHeight="true" outlineLevel="0" collapsed="false">
      <c r="A74" s="7" t="s">
        <v>430</v>
      </c>
      <c r="B74" s="26" t="n">
        <v>45686</v>
      </c>
      <c r="C74" s="26" t="n">
        <v>45687</v>
      </c>
      <c r="D74" s="7" t="s">
        <v>375</v>
      </c>
      <c r="E74" s="7" t="s">
        <v>376</v>
      </c>
      <c r="F74" s="7" t="s">
        <v>159</v>
      </c>
      <c r="G74" s="7" t="s">
        <v>160</v>
      </c>
      <c r="H74" s="7" t="s">
        <v>269</v>
      </c>
      <c r="I74" s="7" t="s">
        <v>171</v>
      </c>
      <c r="J74" s="7" t="s">
        <v>172</v>
      </c>
      <c r="K74" s="7" t="s">
        <v>180</v>
      </c>
      <c r="L74" s="7" t="s">
        <v>181</v>
      </c>
      <c r="M74" s="7" t="n">
        <v>4</v>
      </c>
      <c r="N74" s="27" t="n">
        <v>999</v>
      </c>
      <c r="O74" s="28" t="n">
        <v>0.1</v>
      </c>
      <c r="P74" s="27" t="n">
        <v>3596</v>
      </c>
      <c r="Q74" s="27" t="n">
        <v>2080</v>
      </c>
      <c r="R74" s="27" t="n">
        <v>1516</v>
      </c>
      <c r="S74" s="7" t="s">
        <v>60</v>
      </c>
      <c r="T74" s="7" t="str">
        <f aca="false">IF(O74=0,"No discount",IF(O74&lt;=0.2,"Up to 20%","Above 20%"))</f>
        <v>Up to 20%</v>
      </c>
    </row>
    <row r="75" customFormat="false" ht="15" hidden="false" customHeight="true" outlineLevel="0" collapsed="false">
      <c r="A75" s="7" t="s">
        <v>431</v>
      </c>
      <c r="B75" s="26" t="n">
        <v>45686</v>
      </c>
      <c r="C75" s="26" t="n">
        <v>45687</v>
      </c>
      <c r="D75" s="7" t="s">
        <v>432</v>
      </c>
      <c r="E75" s="7" t="s">
        <v>433</v>
      </c>
      <c r="F75" s="7" t="s">
        <v>219</v>
      </c>
      <c r="G75" s="7" t="s">
        <v>169</v>
      </c>
      <c r="H75" s="7" t="s">
        <v>170</v>
      </c>
      <c r="I75" s="7" t="s">
        <v>171</v>
      </c>
      <c r="J75" s="7" t="s">
        <v>172</v>
      </c>
      <c r="K75" s="7" t="s">
        <v>173</v>
      </c>
      <c r="L75" s="7" t="s">
        <v>174</v>
      </c>
      <c r="M75" s="7" t="n">
        <v>1</v>
      </c>
      <c r="N75" s="27" t="n">
        <v>699</v>
      </c>
      <c r="O75" s="28" t="n">
        <v>0.3</v>
      </c>
      <c r="P75" s="27" t="n">
        <v>489</v>
      </c>
      <c r="Q75" s="27" t="n">
        <v>320</v>
      </c>
      <c r="R75" s="27" t="n">
        <v>169</v>
      </c>
      <c r="S75" s="7" t="s">
        <v>60</v>
      </c>
      <c r="T75" s="7" t="str">
        <f aca="false">IF(O75=0,"No discount",IF(O75&lt;=0.2,"Up to 20%","Above 20%"))</f>
        <v>Above 20%</v>
      </c>
    </row>
    <row r="76" customFormat="false" ht="15" hidden="false" customHeight="true" outlineLevel="0" collapsed="false">
      <c r="A76" s="7" t="s">
        <v>434</v>
      </c>
      <c r="B76" s="26" t="n">
        <v>45686</v>
      </c>
      <c r="C76" s="26" t="n">
        <v>45690</v>
      </c>
      <c r="D76" s="7" t="s">
        <v>435</v>
      </c>
      <c r="E76" s="7" t="s">
        <v>436</v>
      </c>
      <c r="F76" s="7" t="s">
        <v>159</v>
      </c>
      <c r="G76" s="7" t="s">
        <v>169</v>
      </c>
      <c r="H76" s="7" t="s">
        <v>170</v>
      </c>
      <c r="I76" s="7" t="s">
        <v>208</v>
      </c>
      <c r="J76" s="7" t="s">
        <v>421</v>
      </c>
      <c r="K76" s="7" t="s">
        <v>422</v>
      </c>
      <c r="L76" s="7" t="s">
        <v>423</v>
      </c>
      <c r="M76" s="7" t="n">
        <v>2</v>
      </c>
      <c r="N76" s="27" t="n">
        <v>5999</v>
      </c>
      <c r="O76" s="28" t="n">
        <v>0</v>
      </c>
      <c r="P76" s="27" t="n">
        <v>11998</v>
      </c>
      <c r="Q76" s="27" t="n">
        <v>8600</v>
      </c>
      <c r="R76" s="27" t="n">
        <v>3398</v>
      </c>
      <c r="S76" s="7" t="s">
        <v>60</v>
      </c>
      <c r="T76" s="7" t="str">
        <f aca="false">IF(O76=0,"No discount",IF(O76&lt;=0.2,"Up to 20%","Above 20%"))</f>
        <v>No discount</v>
      </c>
    </row>
    <row r="77" customFormat="false" ht="15" hidden="false" customHeight="true" outlineLevel="0" collapsed="false">
      <c r="A77" s="7" t="s">
        <v>437</v>
      </c>
      <c r="B77" s="26" t="n">
        <v>45686</v>
      </c>
      <c r="C77" s="26" t="n">
        <v>45693</v>
      </c>
      <c r="D77" s="7" t="s">
        <v>438</v>
      </c>
      <c r="E77" s="7" t="s">
        <v>439</v>
      </c>
      <c r="F77" s="7" t="s">
        <v>159</v>
      </c>
      <c r="G77" s="7" t="s">
        <v>323</v>
      </c>
      <c r="H77" s="7" t="s">
        <v>324</v>
      </c>
      <c r="I77" s="7" t="s">
        <v>282</v>
      </c>
      <c r="J77" s="7" t="s">
        <v>387</v>
      </c>
      <c r="K77" s="7" t="s">
        <v>388</v>
      </c>
      <c r="L77" s="7" t="s">
        <v>389</v>
      </c>
      <c r="M77" s="7" t="n">
        <v>2</v>
      </c>
      <c r="N77" s="27" t="n">
        <v>1299</v>
      </c>
      <c r="O77" s="28" t="n">
        <v>0</v>
      </c>
      <c r="P77" s="27" t="n">
        <v>2598</v>
      </c>
      <c r="Q77" s="27" t="n">
        <v>1560</v>
      </c>
      <c r="R77" s="27" t="n">
        <v>1038</v>
      </c>
      <c r="S77" s="7" t="s">
        <v>60</v>
      </c>
      <c r="T77" s="7" t="str">
        <f aca="false">IF(O77=0,"No discount",IF(O77&lt;=0.2,"Up to 20%","Above 20%"))</f>
        <v>No discount</v>
      </c>
    </row>
    <row r="78" customFormat="false" ht="15" hidden="false" customHeight="true" outlineLevel="0" collapsed="false">
      <c r="A78" s="7" t="s">
        <v>440</v>
      </c>
      <c r="B78" s="26" t="n">
        <v>45687</v>
      </c>
      <c r="C78" s="26" t="n">
        <v>45690</v>
      </c>
      <c r="D78" s="7" t="s">
        <v>441</v>
      </c>
      <c r="E78" s="7" t="s">
        <v>442</v>
      </c>
      <c r="F78" s="7" t="s">
        <v>159</v>
      </c>
      <c r="G78" s="7" t="s">
        <v>169</v>
      </c>
      <c r="H78" s="7" t="s">
        <v>191</v>
      </c>
      <c r="I78" s="7" t="s">
        <v>162</v>
      </c>
      <c r="J78" s="7" t="s">
        <v>185</v>
      </c>
      <c r="K78" s="7" t="s">
        <v>186</v>
      </c>
      <c r="L78" s="7" t="s">
        <v>187</v>
      </c>
      <c r="M78" s="7" t="n">
        <v>1</v>
      </c>
      <c r="N78" s="27" t="n">
        <v>3299</v>
      </c>
      <c r="O78" s="28" t="n">
        <v>0</v>
      </c>
      <c r="P78" s="27" t="n">
        <v>3299</v>
      </c>
      <c r="Q78" s="27" t="n">
        <v>1900</v>
      </c>
      <c r="R78" s="27" t="n">
        <v>1399</v>
      </c>
      <c r="S78" s="7" t="s">
        <v>60</v>
      </c>
      <c r="T78" s="7" t="str">
        <f aca="false">IF(O78=0,"No discount",IF(O78&lt;=0.2,"Up to 20%","Above 20%"))</f>
        <v>No discount</v>
      </c>
    </row>
    <row r="79" customFormat="false" ht="15" hidden="false" customHeight="true" outlineLevel="0" collapsed="false">
      <c r="A79" s="7" t="s">
        <v>443</v>
      </c>
      <c r="B79" s="26" t="n">
        <v>45687</v>
      </c>
      <c r="C79" s="26" t="n">
        <v>45691</v>
      </c>
      <c r="D79" s="7" t="s">
        <v>444</v>
      </c>
      <c r="E79" s="7" t="s">
        <v>445</v>
      </c>
      <c r="F79" s="7" t="s">
        <v>159</v>
      </c>
      <c r="G79" s="7" t="s">
        <v>206</v>
      </c>
      <c r="H79" s="7" t="s">
        <v>207</v>
      </c>
      <c r="I79" s="7" t="s">
        <v>282</v>
      </c>
      <c r="J79" s="7" t="s">
        <v>427</v>
      </c>
      <c r="K79" s="7" t="s">
        <v>428</v>
      </c>
      <c r="L79" s="7" t="s">
        <v>429</v>
      </c>
      <c r="M79" s="7" t="n">
        <v>1</v>
      </c>
      <c r="N79" s="27" t="n">
        <v>149</v>
      </c>
      <c r="O79" s="28" t="n">
        <v>0.1</v>
      </c>
      <c r="P79" s="27" t="n">
        <v>134</v>
      </c>
      <c r="Q79" s="27" t="n">
        <v>70</v>
      </c>
      <c r="R79" s="27" t="n">
        <v>64</v>
      </c>
      <c r="S79" s="7" t="s">
        <v>60</v>
      </c>
      <c r="T79" s="7" t="str">
        <f aca="false">IF(O79=0,"No discount",IF(O79&lt;=0.2,"Up to 20%","Above 20%"))</f>
        <v>Up to 20%</v>
      </c>
    </row>
    <row r="80" customFormat="false" ht="15" hidden="false" customHeight="true" outlineLevel="0" collapsed="false">
      <c r="A80" s="7" t="s">
        <v>446</v>
      </c>
      <c r="B80" s="26" t="n">
        <v>45687</v>
      </c>
      <c r="C80" s="26" t="n">
        <v>45688</v>
      </c>
      <c r="D80" s="7" t="s">
        <v>447</v>
      </c>
      <c r="E80" s="7" t="s">
        <v>448</v>
      </c>
      <c r="F80" s="7" t="s">
        <v>159</v>
      </c>
      <c r="G80" s="7" t="s">
        <v>206</v>
      </c>
      <c r="H80" s="7" t="s">
        <v>207</v>
      </c>
      <c r="I80" s="7" t="s">
        <v>208</v>
      </c>
      <c r="J80" s="7" t="s">
        <v>209</v>
      </c>
      <c r="K80" s="7" t="s">
        <v>238</v>
      </c>
      <c r="L80" s="7" t="s">
        <v>239</v>
      </c>
      <c r="M80" s="7" t="n">
        <v>4</v>
      </c>
      <c r="N80" s="27" t="n">
        <v>2199</v>
      </c>
      <c r="O80" s="28" t="n">
        <v>0.15</v>
      </c>
      <c r="P80" s="27" t="n">
        <v>7477</v>
      </c>
      <c r="Q80" s="27" t="n">
        <v>5600</v>
      </c>
      <c r="R80" s="27" t="n">
        <v>1877</v>
      </c>
      <c r="S80" s="7" t="s">
        <v>60</v>
      </c>
      <c r="T80" s="7" t="str">
        <f aca="false">IF(O80=0,"No discount",IF(O80&lt;=0.2,"Up to 20%","Above 20%"))</f>
        <v>Up to 20%</v>
      </c>
    </row>
    <row r="81" customFormat="false" ht="15" hidden="false" customHeight="true" outlineLevel="0" collapsed="false">
      <c r="A81" s="7" t="s">
        <v>449</v>
      </c>
      <c r="B81" s="26" t="n">
        <v>45688</v>
      </c>
      <c r="C81" s="26" t="n">
        <v>45695</v>
      </c>
      <c r="D81" s="7" t="s">
        <v>450</v>
      </c>
      <c r="E81" s="7" t="s">
        <v>451</v>
      </c>
      <c r="F81" s="7" t="s">
        <v>159</v>
      </c>
      <c r="G81" s="7" t="s">
        <v>206</v>
      </c>
      <c r="H81" s="7" t="s">
        <v>207</v>
      </c>
      <c r="I81" s="7" t="s">
        <v>162</v>
      </c>
      <c r="J81" s="7" t="s">
        <v>185</v>
      </c>
      <c r="K81" s="7" t="s">
        <v>186</v>
      </c>
      <c r="L81" s="7" t="s">
        <v>187</v>
      </c>
      <c r="M81" s="7" t="n">
        <v>2</v>
      </c>
      <c r="N81" s="27" t="n">
        <v>3299</v>
      </c>
      <c r="O81" s="28" t="n">
        <v>0.3</v>
      </c>
      <c r="P81" s="27" t="n">
        <v>4619</v>
      </c>
      <c r="Q81" s="27" t="n">
        <v>3800</v>
      </c>
      <c r="R81" s="27" t="n">
        <v>819</v>
      </c>
      <c r="S81" s="7" t="s">
        <v>60</v>
      </c>
      <c r="T81" s="7" t="str">
        <f aca="false">IF(O81=0,"No discount",IF(O81&lt;=0.2,"Up to 20%","Above 20%"))</f>
        <v>Above 20%</v>
      </c>
    </row>
    <row r="82" customFormat="false" ht="15" hidden="false" customHeight="true" outlineLevel="0" collapsed="false">
      <c r="A82" s="7" t="s">
        <v>452</v>
      </c>
      <c r="B82" s="26" t="n">
        <v>45688</v>
      </c>
      <c r="C82" s="26" t="n">
        <v>45692</v>
      </c>
      <c r="D82" s="7" t="s">
        <v>453</v>
      </c>
      <c r="E82" s="7" t="s">
        <v>454</v>
      </c>
      <c r="F82" s="7" t="s">
        <v>159</v>
      </c>
      <c r="G82" s="7" t="s">
        <v>160</v>
      </c>
      <c r="H82" s="7" t="s">
        <v>161</v>
      </c>
      <c r="I82" s="7" t="s">
        <v>162</v>
      </c>
      <c r="J82" s="7" t="s">
        <v>163</v>
      </c>
      <c r="K82" s="7" t="s">
        <v>164</v>
      </c>
      <c r="L82" s="7" t="s">
        <v>165</v>
      </c>
      <c r="M82" s="7" t="n">
        <v>2</v>
      </c>
      <c r="N82" s="27" t="n">
        <v>1999</v>
      </c>
      <c r="O82" s="28" t="n">
        <v>0.5</v>
      </c>
      <c r="P82" s="27" t="n">
        <v>1999</v>
      </c>
      <c r="Q82" s="27" t="n">
        <v>2100</v>
      </c>
      <c r="R82" s="27" t="n">
        <v>-101</v>
      </c>
      <c r="S82" s="7" t="s">
        <v>60</v>
      </c>
      <c r="T82" s="7" t="str">
        <f aca="false">IF(O82=0,"No discount",IF(O82&lt;=0.2,"Up to 20%","Above 20%"))</f>
        <v>Above 20%</v>
      </c>
    </row>
    <row r="83" customFormat="false" ht="15" hidden="false" customHeight="true" outlineLevel="0" collapsed="false">
      <c r="A83" s="7" t="s">
        <v>455</v>
      </c>
      <c r="B83" s="26" t="n">
        <v>45688</v>
      </c>
      <c r="C83" s="26" t="n">
        <v>45693</v>
      </c>
      <c r="D83" s="7" t="s">
        <v>456</v>
      </c>
      <c r="E83" s="7" t="s">
        <v>457</v>
      </c>
      <c r="F83" s="7" t="s">
        <v>159</v>
      </c>
      <c r="G83" s="7" t="s">
        <v>169</v>
      </c>
      <c r="H83" s="7" t="s">
        <v>170</v>
      </c>
      <c r="I83" s="7" t="s">
        <v>282</v>
      </c>
      <c r="J83" s="7" t="s">
        <v>283</v>
      </c>
      <c r="K83" s="7" t="s">
        <v>284</v>
      </c>
      <c r="L83" s="7" t="s">
        <v>285</v>
      </c>
      <c r="M83" s="7" t="n">
        <v>2</v>
      </c>
      <c r="N83" s="27" t="n">
        <v>199</v>
      </c>
      <c r="O83" s="28" t="n">
        <v>0</v>
      </c>
      <c r="P83" s="27" t="n">
        <v>398</v>
      </c>
      <c r="Q83" s="27" t="n">
        <v>180</v>
      </c>
      <c r="R83" s="27" t="n">
        <v>218</v>
      </c>
      <c r="S83" s="7" t="s">
        <v>60</v>
      </c>
      <c r="T83" s="7" t="str">
        <f aca="false">IF(O83=0,"No discount",IF(O83&lt;=0.2,"Up to 20%","Above 20%"))</f>
        <v>No discount</v>
      </c>
    </row>
    <row r="84" customFormat="false" ht="15" hidden="false" customHeight="true" outlineLevel="0" collapsed="false">
      <c r="A84" s="7" t="s">
        <v>458</v>
      </c>
      <c r="B84" s="26" t="n">
        <v>45688</v>
      </c>
      <c r="C84" s="26" t="n">
        <v>45694</v>
      </c>
      <c r="D84" s="7" t="s">
        <v>459</v>
      </c>
      <c r="E84" s="7" t="s">
        <v>460</v>
      </c>
      <c r="F84" s="7" t="s">
        <v>219</v>
      </c>
      <c r="G84" s="7" t="s">
        <v>160</v>
      </c>
      <c r="H84" s="7" t="s">
        <v>269</v>
      </c>
      <c r="I84" s="7" t="s">
        <v>171</v>
      </c>
      <c r="J84" s="7" t="s">
        <v>314</v>
      </c>
      <c r="K84" s="7" t="s">
        <v>315</v>
      </c>
      <c r="L84" s="7" t="s">
        <v>316</v>
      </c>
      <c r="M84" s="7" t="n">
        <v>1</v>
      </c>
      <c r="N84" s="27" t="n">
        <v>1299</v>
      </c>
      <c r="O84" s="28" t="n">
        <v>0</v>
      </c>
      <c r="P84" s="27" t="n">
        <v>1299</v>
      </c>
      <c r="Q84" s="27" t="n">
        <v>700</v>
      </c>
      <c r="R84" s="27" t="n">
        <v>599</v>
      </c>
      <c r="S84" s="7" t="s">
        <v>60</v>
      </c>
      <c r="T84" s="7" t="str">
        <f aca="false">IF(O84=0,"No discount",IF(O84&lt;=0.2,"Up to 20%","Above 20%"))</f>
        <v>No discount</v>
      </c>
    </row>
    <row r="85" customFormat="false" ht="15" hidden="false" customHeight="true" outlineLevel="0" collapsed="false">
      <c r="A85" s="7" t="s">
        <v>461</v>
      </c>
      <c r="B85" s="26" t="n">
        <v>45688</v>
      </c>
      <c r="C85" s="26" t="n">
        <v>45695</v>
      </c>
      <c r="D85" s="7" t="s">
        <v>462</v>
      </c>
      <c r="E85" s="7" t="s">
        <v>463</v>
      </c>
      <c r="F85" s="7" t="s">
        <v>159</v>
      </c>
      <c r="G85" s="7" t="s">
        <v>169</v>
      </c>
      <c r="H85" s="7" t="s">
        <v>191</v>
      </c>
      <c r="I85" s="7" t="s">
        <v>192</v>
      </c>
      <c r="J85" s="7" t="s">
        <v>193</v>
      </c>
      <c r="K85" s="7" t="s">
        <v>194</v>
      </c>
      <c r="L85" s="7" t="s">
        <v>195</v>
      </c>
      <c r="M85" s="7" t="n">
        <v>1</v>
      </c>
      <c r="N85" s="27" t="n">
        <v>8999</v>
      </c>
      <c r="O85" s="28" t="n">
        <v>0.1</v>
      </c>
      <c r="P85" s="27" t="n">
        <v>8099</v>
      </c>
      <c r="Q85" s="27" t="n">
        <v>6800</v>
      </c>
      <c r="R85" s="27" t="n">
        <v>1299</v>
      </c>
      <c r="S85" s="7" t="s">
        <v>60</v>
      </c>
      <c r="T85" s="7" t="str">
        <f aca="false">IF(O85=0,"No discount",IF(O85&lt;=0.2,"Up to 20%","Above 20%"))</f>
        <v>Up to 20%</v>
      </c>
    </row>
    <row r="86" customFormat="false" ht="15" hidden="false" customHeight="true" outlineLevel="0" collapsed="false">
      <c r="A86" s="7" t="s">
        <v>464</v>
      </c>
      <c r="B86" s="26" t="n">
        <v>45688</v>
      </c>
      <c r="C86" s="26" t="n">
        <v>45694</v>
      </c>
      <c r="D86" s="7" t="s">
        <v>465</v>
      </c>
      <c r="E86" s="7" t="s">
        <v>466</v>
      </c>
      <c r="F86" s="7" t="s">
        <v>219</v>
      </c>
      <c r="G86" s="7" t="s">
        <v>323</v>
      </c>
      <c r="H86" s="7" t="s">
        <v>324</v>
      </c>
      <c r="I86" s="7" t="s">
        <v>171</v>
      </c>
      <c r="J86" s="7" t="s">
        <v>172</v>
      </c>
      <c r="K86" s="7" t="s">
        <v>173</v>
      </c>
      <c r="L86" s="7" t="s">
        <v>174</v>
      </c>
      <c r="M86" s="7" t="n">
        <v>1</v>
      </c>
      <c r="N86" s="27" t="n">
        <v>699</v>
      </c>
      <c r="O86" s="28" t="n">
        <v>0</v>
      </c>
      <c r="P86" s="27" t="n">
        <v>699</v>
      </c>
      <c r="Q86" s="27" t="n">
        <v>320</v>
      </c>
      <c r="R86" s="27" t="n">
        <v>379</v>
      </c>
      <c r="S86" s="7" t="s">
        <v>60</v>
      </c>
      <c r="T86" s="7" t="str">
        <f aca="false">IF(O86=0,"No discount",IF(O86&lt;=0.2,"Up to 20%","Above 20%"))</f>
        <v>No discount</v>
      </c>
    </row>
    <row r="87" customFormat="false" ht="15" hidden="false" customHeight="true" outlineLevel="0" collapsed="false">
      <c r="A87" s="7" t="s">
        <v>467</v>
      </c>
      <c r="B87" s="26" t="n">
        <v>45689</v>
      </c>
      <c r="C87" s="26" t="n">
        <v>45691</v>
      </c>
      <c r="D87" s="7" t="s">
        <v>271</v>
      </c>
      <c r="E87" s="7" t="s">
        <v>272</v>
      </c>
      <c r="F87" s="7" t="s">
        <v>159</v>
      </c>
      <c r="G87" s="7" t="s">
        <v>169</v>
      </c>
      <c r="H87" s="7" t="s">
        <v>179</v>
      </c>
      <c r="I87" s="7" t="s">
        <v>199</v>
      </c>
      <c r="J87" s="7" t="s">
        <v>200</v>
      </c>
      <c r="K87" s="7" t="s">
        <v>201</v>
      </c>
      <c r="L87" s="7" t="s">
        <v>202</v>
      </c>
      <c r="M87" s="7" t="n">
        <v>1</v>
      </c>
      <c r="N87" s="27" t="n">
        <v>399</v>
      </c>
      <c r="O87" s="28" t="n">
        <v>0.1</v>
      </c>
      <c r="P87" s="27" t="n">
        <v>359</v>
      </c>
      <c r="Q87" s="27" t="n">
        <v>160</v>
      </c>
      <c r="R87" s="27" t="n">
        <v>199</v>
      </c>
      <c r="S87" s="7" t="s">
        <v>60</v>
      </c>
      <c r="T87" s="7" t="str">
        <f aca="false">IF(O87=0,"No discount",IF(O87&lt;=0.2,"Up to 20%","Above 20%"))</f>
        <v>Up to 20%</v>
      </c>
    </row>
    <row r="88" customFormat="false" ht="15" hidden="false" customHeight="true" outlineLevel="0" collapsed="false">
      <c r="A88" s="7" t="s">
        <v>468</v>
      </c>
      <c r="B88" s="26" t="n">
        <v>45689</v>
      </c>
      <c r="C88" s="26" t="n">
        <v>45690</v>
      </c>
      <c r="D88" s="7" t="s">
        <v>469</v>
      </c>
      <c r="E88" s="7" t="s">
        <v>470</v>
      </c>
      <c r="F88" s="7" t="s">
        <v>219</v>
      </c>
      <c r="G88" s="7" t="s">
        <v>160</v>
      </c>
      <c r="H88" s="7" t="s">
        <v>269</v>
      </c>
      <c r="I88" s="7" t="s">
        <v>199</v>
      </c>
      <c r="J88" s="7" t="s">
        <v>200</v>
      </c>
      <c r="K88" s="7" t="s">
        <v>201</v>
      </c>
      <c r="L88" s="7" t="s">
        <v>202</v>
      </c>
      <c r="M88" s="7" t="n">
        <v>1</v>
      </c>
      <c r="N88" s="27" t="n">
        <v>399</v>
      </c>
      <c r="O88" s="28" t="n">
        <v>0.15</v>
      </c>
      <c r="P88" s="27" t="n">
        <v>339</v>
      </c>
      <c r="Q88" s="27" t="n">
        <v>160</v>
      </c>
      <c r="R88" s="27" t="n">
        <v>179</v>
      </c>
      <c r="S88" s="7" t="s">
        <v>60</v>
      </c>
      <c r="T88" s="7" t="str">
        <f aca="false">IF(O88=0,"No discount",IF(O88&lt;=0.2,"Up to 20%","Above 20%"))</f>
        <v>Up to 20%</v>
      </c>
    </row>
    <row r="89" customFormat="false" ht="15" hidden="false" customHeight="true" outlineLevel="0" collapsed="false">
      <c r="A89" s="7" t="s">
        <v>471</v>
      </c>
      <c r="B89" s="26" t="n">
        <v>45690</v>
      </c>
      <c r="C89" s="26" t="n">
        <v>45695</v>
      </c>
      <c r="D89" s="7" t="s">
        <v>472</v>
      </c>
      <c r="E89" s="7" t="s">
        <v>473</v>
      </c>
      <c r="F89" s="7" t="s">
        <v>159</v>
      </c>
      <c r="G89" s="7" t="s">
        <v>323</v>
      </c>
      <c r="H89" s="7" t="s">
        <v>324</v>
      </c>
      <c r="I89" s="7" t="s">
        <v>162</v>
      </c>
      <c r="J89" s="7" t="s">
        <v>185</v>
      </c>
      <c r="K89" s="7" t="s">
        <v>186</v>
      </c>
      <c r="L89" s="7" t="s">
        <v>187</v>
      </c>
      <c r="M89" s="7" t="n">
        <v>4</v>
      </c>
      <c r="N89" s="27" t="n">
        <v>3299</v>
      </c>
      <c r="O89" s="28" t="n">
        <v>0.2</v>
      </c>
      <c r="P89" s="27" t="n">
        <v>10557</v>
      </c>
      <c r="Q89" s="27" t="n">
        <v>7600</v>
      </c>
      <c r="R89" s="27" t="n">
        <v>2957</v>
      </c>
      <c r="S89" s="7" t="s">
        <v>60</v>
      </c>
      <c r="T89" s="7" t="str">
        <f aca="false">IF(O89=0,"No discount",IF(O89&lt;=0.2,"Up to 20%","Above 20%"))</f>
        <v>Up to 20%</v>
      </c>
    </row>
    <row r="90" customFormat="false" ht="15" hidden="false" customHeight="true" outlineLevel="0" collapsed="false">
      <c r="A90" s="7" t="s">
        <v>474</v>
      </c>
      <c r="B90" s="26" t="n">
        <v>45690</v>
      </c>
      <c r="C90" s="26" t="n">
        <v>45695</v>
      </c>
      <c r="D90" s="7" t="s">
        <v>475</v>
      </c>
      <c r="E90" s="7" t="s">
        <v>476</v>
      </c>
      <c r="F90" s="7" t="s">
        <v>159</v>
      </c>
      <c r="G90" s="7" t="s">
        <v>169</v>
      </c>
      <c r="H90" s="7" t="s">
        <v>170</v>
      </c>
      <c r="I90" s="7" t="s">
        <v>192</v>
      </c>
      <c r="J90" s="7" t="s">
        <v>193</v>
      </c>
      <c r="K90" s="7" t="s">
        <v>194</v>
      </c>
      <c r="L90" s="7" t="s">
        <v>195</v>
      </c>
      <c r="M90" s="7" t="n">
        <v>1</v>
      </c>
      <c r="N90" s="27" t="n">
        <v>8999</v>
      </c>
      <c r="O90" s="28" t="n">
        <v>0.3</v>
      </c>
      <c r="P90" s="27" t="n">
        <v>6299</v>
      </c>
      <c r="Q90" s="27" t="n">
        <v>6800</v>
      </c>
      <c r="R90" s="27" t="n">
        <v>-501</v>
      </c>
      <c r="S90" s="7" t="s">
        <v>60</v>
      </c>
      <c r="T90" s="7" t="str">
        <f aca="false">IF(O90=0,"No discount",IF(O90&lt;=0.2,"Up to 20%","Above 20%"))</f>
        <v>Above 20%</v>
      </c>
    </row>
    <row r="91" customFormat="false" ht="15" hidden="false" customHeight="true" outlineLevel="0" collapsed="false">
      <c r="A91" s="7" t="s">
        <v>477</v>
      </c>
      <c r="B91" s="26" t="n">
        <v>45691</v>
      </c>
      <c r="C91" s="26" t="n">
        <v>45696</v>
      </c>
      <c r="D91" s="7" t="s">
        <v>249</v>
      </c>
      <c r="E91" s="7" t="s">
        <v>250</v>
      </c>
      <c r="F91" s="7" t="s">
        <v>159</v>
      </c>
      <c r="G91" s="7" t="s">
        <v>169</v>
      </c>
      <c r="H91" s="7" t="s">
        <v>191</v>
      </c>
      <c r="I91" s="7" t="s">
        <v>192</v>
      </c>
      <c r="J91" s="7" t="s">
        <v>213</v>
      </c>
      <c r="K91" s="7" t="s">
        <v>214</v>
      </c>
      <c r="L91" s="7" t="s">
        <v>215</v>
      </c>
      <c r="M91" s="7" t="n">
        <v>2</v>
      </c>
      <c r="N91" s="27" t="n">
        <v>5999</v>
      </c>
      <c r="O91" s="28" t="n">
        <v>0.3</v>
      </c>
      <c r="P91" s="27" t="n">
        <v>8399</v>
      </c>
      <c r="Q91" s="27" t="n">
        <v>9200</v>
      </c>
      <c r="R91" s="27" t="n">
        <v>-801</v>
      </c>
      <c r="S91" s="7" t="s">
        <v>60</v>
      </c>
      <c r="T91" s="7" t="str">
        <f aca="false">IF(O91=0,"No discount",IF(O91&lt;=0.2,"Up to 20%","Above 20%"))</f>
        <v>Above 20%</v>
      </c>
    </row>
    <row r="92" customFormat="false" ht="15" hidden="false" customHeight="true" outlineLevel="0" collapsed="false">
      <c r="A92" s="7" t="s">
        <v>478</v>
      </c>
      <c r="B92" s="26" t="n">
        <v>45692</v>
      </c>
      <c r="C92" s="26" t="n">
        <v>45695</v>
      </c>
      <c r="D92" s="7" t="s">
        <v>479</v>
      </c>
      <c r="E92" s="7" t="s">
        <v>480</v>
      </c>
      <c r="F92" s="7" t="s">
        <v>178</v>
      </c>
      <c r="G92" s="7" t="s">
        <v>169</v>
      </c>
      <c r="H92" s="7" t="s">
        <v>179</v>
      </c>
      <c r="I92" s="7" t="s">
        <v>162</v>
      </c>
      <c r="J92" s="7" t="s">
        <v>325</v>
      </c>
      <c r="K92" s="7" t="s">
        <v>381</v>
      </c>
      <c r="L92" s="7" t="s">
        <v>382</v>
      </c>
      <c r="M92" s="7" t="n">
        <v>1</v>
      </c>
      <c r="N92" s="27" t="n">
        <v>1799</v>
      </c>
      <c r="O92" s="28" t="n">
        <v>0.1</v>
      </c>
      <c r="P92" s="27" t="n">
        <v>1619</v>
      </c>
      <c r="Q92" s="27" t="n">
        <v>950</v>
      </c>
      <c r="R92" s="27" t="n">
        <v>669</v>
      </c>
      <c r="S92" s="7" t="s">
        <v>60</v>
      </c>
      <c r="T92" s="7" t="str">
        <f aca="false">IF(O92=0,"No discount",IF(O92&lt;=0.2,"Up to 20%","Above 20%"))</f>
        <v>Up to 20%</v>
      </c>
    </row>
    <row r="93" customFormat="false" ht="15" hidden="false" customHeight="true" outlineLevel="0" collapsed="false">
      <c r="A93" s="7" t="s">
        <v>481</v>
      </c>
      <c r="B93" s="26" t="n">
        <v>45692</v>
      </c>
      <c r="C93" s="26" t="n">
        <v>45693</v>
      </c>
      <c r="D93" s="7" t="s">
        <v>482</v>
      </c>
      <c r="E93" s="7" t="s">
        <v>483</v>
      </c>
      <c r="F93" s="7" t="s">
        <v>178</v>
      </c>
      <c r="G93" s="7" t="s">
        <v>160</v>
      </c>
      <c r="H93" s="7" t="s">
        <v>269</v>
      </c>
      <c r="I93" s="7" t="s">
        <v>208</v>
      </c>
      <c r="J93" s="7" t="s">
        <v>209</v>
      </c>
      <c r="K93" s="7" t="s">
        <v>238</v>
      </c>
      <c r="L93" s="7" t="s">
        <v>239</v>
      </c>
      <c r="M93" s="7" t="n">
        <v>2</v>
      </c>
      <c r="N93" s="27" t="n">
        <v>2199</v>
      </c>
      <c r="O93" s="28" t="n">
        <v>0</v>
      </c>
      <c r="P93" s="27" t="n">
        <v>4398</v>
      </c>
      <c r="Q93" s="27" t="n">
        <v>2800</v>
      </c>
      <c r="R93" s="27" t="n">
        <v>1598</v>
      </c>
      <c r="S93" s="7" t="s">
        <v>60</v>
      </c>
      <c r="T93" s="7" t="str">
        <f aca="false">IF(O93=0,"No discount",IF(O93&lt;=0.2,"Up to 20%","Above 20%"))</f>
        <v>No discount</v>
      </c>
    </row>
    <row r="94" customFormat="false" ht="15" hidden="false" customHeight="true" outlineLevel="0" collapsed="false">
      <c r="A94" s="7" t="s">
        <v>484</v>
      </c>
      <c r="B94" s="26" t="n">
        <v>45693</v>
      </c>
      <c r="C94" s="26" t="n">
        <v>45699</v>
      </c>
      <c r="D94" s="7" t="s">
        <v>485</v>
      </c>
      <c r="E94" s="7" t="s">
        <v>486</v>
      </c>
      <c r="F94" s="7" t="s">
        <v>159</v>
      </c>
      <c r="G94" s="7" t="s">
        <v>169</v>
      </c>
      <c r="H94" s="7" t="s">
        <v>179</v>
      </c>
      <c r="I94" s="7" t="s">
        <v>282</v>
      </c>
      <c r="J94" s="7" t="s">
        <v>387</v>
      </c>
      <c r="K94" s="7" t="s">
        <v>388</v>
      </c>
      <c r="L94" s="7" t="s">
        <v>389</v>
      </c>
      <c r="M94" s="7" t="n">
        <v>6</v>
      </c>
      <c r="N94" s="27" t="n">
        <v>1299</v>
      </c>
      <c r="O94" s="28" t="n">
        <v>0</v>
      </c>
      <c r="P94" s="27" t="n">
        <v>7794</v>
      </c>
      <c r="Q94" s="27" t="n">
        <v>4680</v>
      </c>
      <c r="R94" s="27" t="n">
        <v>3114</v>
      </c>
      <c r="S94" s="7" t="s">
        <v>60</v>
      </c>
      <c r="T94" s="7" t="str">
        <f aca="false">IF(O94=0,"No discount",IF(O94&lt;=0.2,"Up to 20%","Above 20%"))</f>
        <v>No discount</v>
      </c>
    </row>
    <row r="95" customFormat="false" ht="15" hidden="false" customHeight="true" outlineLevel="0" collapsed="false">
      <c r="A95" s="7" t="s">
        <v>487</v>
      </c>
      <c r="B95" s="26" t="n">
        <v>45693</v>
      </c>
      <c r="C95" s="26" t="n">
        <v>45695</v>
      </c>
      <c r="D95" s="7" t="s">
        <v>488</v>
      </c>
      <c r="E95" s="7" t="s">
        <v>489</v>
      </c>
      <c r="F95" s="7" t="s">
        <v>159</v>
      </c>
      <c r="G95" s="7" t="s">
        <v>206</v>
      </c>
      <c r="H95" s="7" t="s">
        <v>207</v>
      </c>
      <c r="I95" s="7" t="s">
        <v>171</v>
      </c>
      <c r="J95" s="7" t="s">
        <v>304</v>
      </c>
      <c r="K95" s="7" t="s">
        <v>305</v>
      </c>
      <c r="L95" s="7" t="s">
        <v>306</v>
      </c>
      <c r="M95" s="7" t="n">
        <v>2</v>
      </c>
      <c r="N95" s="27" t="n">
        <v>2999</v>
      </c>
      <c r="O95" s="28" t="n">
        <v>0.05</v>
      </c>
      <c r="P95" s="27" t="n">
        <v>5698</v>
      </c>
      <c r="Q95" s="27" t="n">
        <v>4000</v>
      </c>
      <c r="R95" s="27" t="n">
        <v>1698</v>
      </c>
      <c r="S95" s="7" t="s">
        <v>60</v>
      </c>
      <c r="T95" s="7" t="str">
        <f aca="false">IF(O95=0,"No discount",IF(O95&lt;=0.2,"Up to 20%","Above 20%"))</f>
        <v>Up to 20%</v>
      </c>
    </row>
    <row r="96" customFormat="false" ht="15" hidden="false" customHeight="true" outlineLevel="0" collapsed="false">
      <c r="A96" s="7" t="s">
        <v>490</v>
      </c>
      <c r="B96" s="26" t="n">
        <v>45693</v>
      </c>
      <c r="C96" s="26" t="n">
        <v>45700</v>
      </c>
      <c r="D96" s="7" t="s">
        <v>491</v>
      </c>
      <c r="E96" s="7" t="s">
        <v>492</v>
      </c>
      <c r="F96" s="7" t="s">
        <v>159</v>
      </c>
      <c r="G96" s="7" t="s">
        <v>169</v>
      </c>
      <c r="H96" s="7" t="s">
        <v>179</v>
      </c>
      <c r="I96" s="7" t="s">
        <v>282</v>
      </c>
      <c r="J96" s="7" t="s">
        <v>427</v>
      </c>
      <c r="K96" s="7" t="s">
        <v>428</v>
      </c>
      <c r="L96" s="7" t="s">
        <v>429</v>
      </c>
      <c r="M96" s="7" t="n">
        <v>6</v>
      </c>
      <c r="N96" s="27" t="n">
        <v>149</v>
      </c>
      <c r="O96" s="28" t="n">
        <v>0</v>
      </c>
      <c r="P96" s="27" t="n">
        <v>894</v>
      </c>
      <c r="Q96" s="27" t="n">
        <v>420</v>
      </c>
      <c r="R96" s="27" t="n">
        <v>474</v>
      </c>
      <c r="S96" s="7" t="s">
        <v>60</v>
      </c>
      <c r="T96" s="7" t="str">
        <f aca="false">IF(O96=0,"No discount",IF(O96&lt;=0.2,"Up to 20%","Above 20%"))</f>
        <v>No discount</v>
      </c>
    </row>
    <row r="97" customFormat="false" ht="15" hidden="false" customHeight="true" outlineLevel="0" collapsed="false">
      <c r="A97" s="7" t="s">
        <v>493</v>
      </c>
      <c r="B97" s="26" t="n">
        <v>45694</v>
      </c>
      <c r="C97" s="26" t="n">
        <v>45701</v>
      </c>
      <c r="D97" s="7" t="s">
        <v>308</v>
      </c>
      <c r="E97" s="7" t="s">
        <v>309</v>
      </c>
      <c r="F97" s="7" t="s">
        <v>159</v>
      </c>
      <c r="G97" s="7" t="s">
        <v>169</v>
      </c>
      <c r="H97" s="7" t="s">
        <v>179</v>
      </c>
      <c r="I97" s="7" t="s">
        <v>192</v>
      </c>
      <c r="J97" s="7" t="s">
        <v>193</v>
      </c>
      <c r="K97" s="7" t="s">
        <v>194</v>
      </c>
      <c r="L97" s="7" t="s">
        <v>195</v>
      </c>
      <c r="M97" s="7" t="n">
        <v>3</v>
      </c>
      <c r="N97" s="27" t="n">
        <v>8999</v>
      </c>
      <c r="O97" s="28" t="n">
        <v>0.2</v>
      </c>
      <c r="P97" s="27" t="n">
        <v>21598</v>
      </c>
      <c r="Q97" s="27" t="n">
        <v>20400</v>
      </c>
      <c r="R97" s="27" t="n">
        <v>1198</v>
      </c>
      <c r="S97" s="7" t="s">
        <v>47</v>
      </c>
      <c r="T97" s="7" t="str">
        <f aca="false">IF(O97=0,"No discount",IF(O97&lt;=0.2,"Up to 20%","Above 20%"))</f>
        <v>Up to 20%</v>
      </c>
    </row>
    <row r="98" customFormat="false" ht="15" hidden="false" customHeight="true" outlineLevel="0" collapsed="false">
      <c r="A98" s="7" t="s">
        <v>494</v>
      </c>
      <c r="B98" s="26" t="n">
        <v>45695</v>
      </c>
      <c r="C98" s="26" t="n">
        <v>45700</v>
      </c>
      <c r="D98" s="7" t="s">
        <v>274</v>
      </c>
      <c r="E98" s="7" t="s">
        <v>275</v>
      </c>
      <c r="F98" s="7" t="s">
        <v>159</v>
      </c>
      <c r="G98" s="7" t="s">
        <v>206</v>
      </c>
      <c r="H98" s="7" t="s">
        <v>207</v>
      </c>
      <c r="I98" s="7" t="s">
        <v>171</v>
      </c>
      <c r="J98" s="7" t="s">
        <v>172</v>
      </c>
      <c r="K98" s="7" t="s">
        <v>173</v>
      </c>
      <c r="L98" s="7" t="s">
        <v>174</v>
      </c>
      <c r="M98" s="7" t="n">
        <v>2</v>
      </c>
      <c r="N98" s="27" t="n">
        <v>699</v>
      </c>
      <c r="O98" s="28" t="n">
        <v>0</v>
      </c>
      <c r="P98" s="27" t="n">
        <v>1398</v>
      </c>
      <c r="Q98" s="27" t="n">
        <v>640</v>
      </c>
      <c r="R98" s="27" t="n">
        <v>758</v>
      </c>
      <c r="S98" s="7" t="s">
        <v>60</v>
      </c>
      <c r="T98" s="7" t="str">
        <f aca="false">IF(O98=0,"No discount",IF(O98&lt;=0.2,"Up to 20%","Above 20%"))</f>
        <v>No discount</v>
      </c>
    </row>
    <row r="99" customFormat="false" ht="15" hidden="false" customHeight="true" outlineLevel="0" collapsed="false">
      <c r="A99" s="7" t="s">
        <v>495</v>
      </c>
      <c r="B99" s="26" t="n">
        <v>45695</v>
      </c>
      <c r="C99" s="26" t="n">
        <v>45701</v>
      </c>
      <c r="D99" s="7" t="s">
        <v>496</v>
      </c>
      <c r="E99" s="7" t="s">
        <v>497</v>
      </c>
      <c r="F99" s="7" t="s">
        <v>178</v>
      </c>
      <c r="G99" s="7" t="s">
        <v>169</v>
      </c>
      <c r="H99" s="7" t="s">
        <v>179</v>
      </c>
      <c r="I99" s="7" t="s">
        <v>208</v>
      </c>
      <c r="J99" s="7" t="s">
        <v>232</v>
      </c>
      <c r="K99" s="7" t="s">
        <v>233</v>
      </c>
      <c r="L99" s="7" t="s">
        <v>234</v>
      </c>
      <c r="M99" s="7" t="n">
        <v>2</v>
      </c>
      <c r="N99" s="27" t="n">
        <v>7999</v>
      </c>
      <c r="O99" s="28" t="n">
        <v>0.15</v>
      </c>
      <c r="P99" s="27" t="n">
        <v>13598</v>
      </c>
      <c r="Q99" s="27" t="n">
        <v>11200</v>
      </c>
      <c r="R99" s="27" t="n">
        <v>2398</v>
      </c>
      <c r="S99" s="7" t="s">
        <v>60</v>
      </c>
      <c r="T99" s="7" t="str">
        <f aca="false">IF(O99=0,"No discount",IF(O99&lt;=0.2,"Up to 20%","Above 20%"))</f>
        <v>Up to 20%</v>
      </c>
    </row>
    <row r="100" customFormat="false" ht="15" hidden="false" customHeight="true" outlineLevel="0" collapsed="false">
      <c r="A100" s="7" t="s">
        <v>498</v>
      </c>
      <c r="B100" s="26" t="n">
        <v>45696</v>
      </c>
      <c r="C100" s="26" t="n">
        <v>45698</v>
      </c>
      <c r="D100" s="7" t="s">
        <v>321</v>
      </c>
      <c r="E100" s="7" t="s">
        <v>322</v>
      </c>
      <c r="F100" s="7" t="s">
        <v>219</v>
      </c>
      <c r="G100" s="7" t="s">
        <v>323</v>
      </c>
      <c r="H100" s="7" t="s">
        <v>324</v>
      </c>
      <c r="I100" s="7" t="s">
        <v>171</v>
      </c>
      <c r="J100" s="7" t="s">
        <v>304</v>
      </c>
      <c r="K100" s="7" t="s">
        <v>499</v>
      </c>
      <c r="L100" s="7" t="s">
        <v>500</v>
      </c>
      <c r="M100" s="7" t="n">
        <v>3</v>
      </c>
      <c r="N100" s="27" t="n">
        <v>5499</v>
      </c>
      <c r="O100" s="28" t="n">
        <v>0.05</v>
      </c>
      <c r="P100" s="27" t="n">
        <v>15672</v>
      </c>
      <c r="Q100" s="27" t="n">
        <v>11700</v>
      </c>
      <c r="R100" s="27" t="n">
        <v>3972</v>
      </c>
      <c r="S100" s="7" t="s">
        <v>60</v>
      </c>
      <c r="T100" s="7" t="str">
        <f aca="false">IF(O100=0,"No discount",IF(O100&lt;=0.2,"Up to 20%","Above 20%"))</f>
        <v>Up to 20%</v>
      </c>
    </row>
    <row r="101" customFormat="false" ht="15" hidden="false" customHeight="true" outlineLevel="0" collapsed="false">
      <c r="A101" s="7" t="s">
        <v>501</v>
      </c>
      <c r="B101" s="26" t="n">
        <v>45696</v>
      </c>
      <c r="C101" s="26" t="n">
        <v>45701</v>
      </c>
      <c r="D101" s="7" t="s">
        <v>419</v>
      </c>
      <c r="E101" s="7" t="s">
        <v>420</v>
      </c>
      <c r="F101" s="7" t="s">
        <v>178</v>
      </c>
      <c r="G101" s="7" t="s">
        <v>169</v>
      </c>
      <c r="H101" s="7" t="s">
        <v>179</v>
      </c>
      <c r="I101" s="7" t="s">
        <v>192</v>
      </c>
      <c r="J101" s="7" t="s">
        <v>502</v>
      </c>
      <c r="K101" s="7" t="s">
        <v>503</v>
      </c>
      <c r="L101" s="7" t="s">
        <v>504</v>
      </c>
      <c r="M101" s="7" t="n">
        <v>1</v>
      </c>
      <c r="N101" s="27" t="n">
        <v>3499</v>
      </c>
      <c r="O101" s="28" t="n">
        <v>0.3</v>
      </c>
      <c r="P101" s="27" t="n">
        <v>2449</v>
      </c>
      <c r="Q101" s="27" t="n">
        <v>2500</v>
      </c>
      <c r="R101" s="27" t="n">
        <v>-51</v>
      </c>
      <c r="S101" s="7" t="s">
        <v>60</v>
      </c>
      <c r="T101" s="7" t="str">
        <f aca="false">IF(O101=0,"No discount",IF(O101&lt;=0.2,"Up to 20%","Above 20%"))</f>
        <v>Above 20%</v>
      </c>
    </row>
    <row r="102" customFormat="false" ht="15" hidden="false" customHeight="true" outlineLevel="0" collapsed="false">
      <c r="A102" s="7" t="s">
        <v>505</v>
      </c>
      <c r="B102" s="26" t="n">
        <v>45696</v>
      </c>
      <c r="C102" s="26" t="n">
        <v>45701</v>
      </c>
      <c r="D102" s="7" t="s">
        <v>465</v>
      </c>
      <c r="E102" s="7" t="s">
        <v>466</v>
      </c>
      <c r="F102" s="7" t="s">
        <v>219</v>
      </c>
      <c r="G102" s="7" t="s">
        <v>323</v>
      </c>
      <c r="H102" s="7" t="s">
        <v>324</v>
      </c>
      <c r="I102" s="7" t="s">
        <v>192</v>
      </c>
      <c r="J102" s="7" t="s">
        <v>213</v>
      </c>
      <c r="K102" s="7" t="s">
        <v>264</v>
      </c>
      <c r="L102" s="7" t="s">
        <v>265</v>
      </c>
      <c r="M102" s="7" t="n">
        <v>1</v>
      </c>
      <c r="N102" s="27" t="n">
        <v>2499</v>
      </c>
      <c r="O102" s="28" t="n">
        <v>0.3</v>
      </c>
      <c r="P102" s="27" t="n">
        <v>1749</v>
      </c>
      <c r="Q102" s="27" t="n">
        <v>1700</v>
      </c>
      <c r="R102" s="27" t="n">
        <v>49</v>
      </c>
      <c r="S102" s="7" t="s">
        <v>60</v>
      </c>
      <c r="T102" s="7" t="str">
        <f aca="false">IF(O102=0,"No discount",IF(O102&lt;=0.2,"Up to 20%","Above 20%"))</f>
        <v>Above 20%</v>
      </c>
    </row>
    <row r="103" customFormat="false" ht="15" hidden="false" customHeight="true" outlineLevel="0" collapsed="false">
      <c r="A103" s="7" t="s">
        <v>506</v>
      </c>
      <c r="B103" s="26" t="n">
        <v>45697</v>
      </c>
      <c r="C103" s="26" t="n">
        <v>45703</v>
      </c>
      <c r="D103" s="7" t="s">
        <v>462</v>
      </c>
      <c r="E103" s="7" t="s">
        <v>463</v>
      </c>
      <c r="F103" s="7" t="s">
        <v>159</v>
      </c>
      <c r="G103" s="7" t="s">
        <v>169</v>
      </c>
      <c r="H103" s="7" t="s">
        <v>191</v>
      </c>
      <c r="I103" s="7" t="s">
        <v>162</v>
      </c>
      <c r="J103" s="7" t="s">
        <v>163</v>
      </c>
      <c r="K103" s="7" t="s">
        <v>507</v>
      </c>
      <c r="L103" s="7" t="s">
        <v>508</v>
      </c>
      <c r="M103" s="7" t="n">
        <v>1</v>
      </c>
      <c r="N103" s="27" t="n">
        <v>1199</v>
      </c>
      <c r="O103" s="28" t="n">
        <v>0.3</v>
      </c>
      <c r="P103" s="27" t="n">
        <v>839</v>
      </c>
      <c r="Q103" s="27" t="n">
        <v>600</v>
      </c>
      <c r="R103" s="27" t="n">
        <v>239</v>
      </c>
      <c r="S103" s="7" t="s">
        <v>60</v>
      </c>
      <c r="T103" s="7" t="str">
        <f aca="false">IF(O103=0,"No discount",IF(O103&lt;=0.2,"Up to 20%","Above 20%"))</f>
        <v>Above 20%</v>
      </c>
    </row>
    <row r="104" customFormat="false" ht="15" hidden="false" customHeight="true" outlineLevel="0" collapsed="false">
      <c r="A104" s="7" t="s">
        <v>509</v>
      </c>
      <c r="B104" s="26" t="n">
        <v>45698</v>
      </c>
      <c r="C104" s="26" t="n">
        <v>45704</v>
      </c>
      <c r="D104" s="7" t="s">
        <v>510</v>
      </c>
      <c r="E104" s="7" t="s">
        <v>511</v>
      </c>
      <c r="F104" s="7" t="s">
        <v>178</v>
      </c>
      <c r="G104" s="7" t="s">
        <v>169</v>
      </c>
      <c r="H104" s="7" t="s">
        <v>179</v>
      </c>
      <c r="I104" s="7" t="s">
        <v>171</v>
      </c>
      <c r="J104" s="7" t="s">
        <v>172</v>
      </c>
      <c r="K104" s="7" t="s">
        <v>180</v>
      </c>
      <c r="L104" s="7" t="s">
        <v>181</v>
      </c>
      <c r="M104" s="7" t="n">
        <v>2</v>
      </c>
      <c r="N104" s="27" t="n">
        <v>999</v>
      </c>
      <c r="O104" s="28" t="n">
        <v>0.05</v>
      </c>
      <c r="P104" s="27" t="n">
        <v>1898</v>
      </c>
      <c r="Q104" s="27" t="n">
        <v>1040</v>
      </c>
      <c r="R104" s="27" t="n">
        <v>858</v>
      </c>
      <c r="S104" s="7" t="s">
        <v>60</v>
      </c>
      <c r="T104" s="7" t="str">
        <f aca="false">IF(O104=0,"No discount",IF(O104&lt;=0.2,"Up to 20%","Above 20%"))</f>
        <v>Up to 20%</v>
      </c>
    </row>
    <row r="105" customFormat="false" ht="15" hidden="false" customHeight="true" outlineLevel="0" collapsed="false">
      <c r="A105" s="7" t="s">
        <v>512</v>
      </c>
      <c r="B105" s="26" t="n">
        <v>45698</v>
      </c>
      <c r="C105" s="26" t="n">
        <v>45705</v>
      </c>
      <c r="D105" s="7" t="s">
        <v>513</v>
      </c>
      <c r="E105" s="7" t="s">
        <v>514</v>
      </c>
      <c r="F105" s="7" t="s">
        <v>159</v>
      </c>
      <c r="G105" s="7" t="s">
        <v>169</v>
      </c>
      <c r="H105" s="7" t="s">
        <v>170</v>
      </c>
      <c r="I105" s="7" t="s">
        <v>208</v>
      </c>
      <c r="J105" s="7" t="s">
        <v>232</v>
      </c>
      <c r="K105" s="7" t="s">
        <v>233</v>
      </c>
      <c r="L105" s="7" t="s">
        <v>234</v>
      </c>
      <c r="M105" s="7" t="n">
        <v>2</v>
      </c>
      <c r="N105" s="27" t="n">
        <v>7999</v>
      </c>
      <c r="O105" s="28" t="n">
        <v>0.1</v>
      </c>
      <c r="P105" s="27" t="n">
        <v>14398</v>
      </c>
      <c r="Q105" s="27" t="n">
        <v>11200</v>
      </c>
      <c r="R105" s="27" t="n">
        <v>3198</v>
      </c>
      <c r="S105" s="7" t="s">
        <v>60</v>
      </c>
      <c r="T105" s="7" t="str">
        <f aca="false">IF(O105=0,"No discount",IF(O105&lt;=0.2,"Up to 20%","Above 20%"))</f>
        <v>Up to 20%</v>
      </c>
    </row>
    <row r="106" customFormat="false" ht="15" hidden="false" customHeight="true" outlineLevel="0" collapsed="false">
      <c r="A106" s="7" t="s">
        <v>515</v>
      </c>
      <c r="B106" s="26" t="n">
        <v>45700</v>
      </c>
      <c r="C106" s="26" t="n">
        <v>45701</v>
      </c>
      <c r="D106" s="7" t="s">
        <v>491</v>
      </c>
      <c r="E106" s="7" t="s">
        <v>492</v>
      </c>
      <c r="F106" s="7" t="s">
        <v>159</v>
      </c>
      <c r="G106" s="7" t="s">
        <v>169</v>
      </c>
      <c r="H106" s="7" t="s">
        <v>179</v>
      </c>
      <c r="I106" s="7" t="s">
        <v>162</v>
      </c>
      <c r="J106" s="7" t="s">
        <v>185</v>
      </c>
      <c r="K106" s="7" t="s">
        <v>186</v>
      </c>
      <c r="L106" s="7" t="s">
        <v>187</v>
      </c>
      <c r="M106" s="7" t="n">
        <v>1</v>
      </c>
      <c r="N106" s="27" t="n">
        <v>3299</v>
      </c>
      <c r="O106" s="28" t="n">
        <v>0</v>
      </c>
      <c r="P106" s="27" t="n">
        <v>3299</v>
      </c>
      <c r="Q106" s="27" t="n">
        <v>1900</v>
      </c>
      <c r="R106" s="27" t="n">
        <v>1399</v>
      </c>
      <c r="S106" s="7" t="s">
        <v>60</v>
      </c>
      <c r="T106" s="7" t="str">
        <f aca="false">IF(O106=0,"No discount",IF(O106&lt;=0.2,"Up to 20%","Above 20%"))</f>
        <v>No discount</v>
      </c>
    </row>
    <row r="107" customFormat="false" ht="15" hidden="false" customHeight="true" outlineLevel="0" collapsed="false">
      <c r="A107" s="7" t="s">
        <v>516</v>
      </c>
      <c r="B107" s="26" t="n">
        <v>45700</v>
      </c>
      <c r="C107" s="26" t="n">
        <v>45703</v>
      </c>
      <c r="D107" s="7" t="s">
        <v>517</v>
      </c>
      <c r="E107" s="7" t="s">
        <v>518</v>
      </c>
      <c r="F107" s="7" t="s">
        <v>159</v>
      </c>
      <c r="G107" s="7" t="s">
        <v>206</v>
      </c>
      <c r="H107" s="7" t="s">
        <v>207</v>
      </c>
      <c r="I107" s="7" t="s">
        <v>171</v>
      </c>
      <c r="J107" s="7" t="s">
        <v>304</v>
      </c>
      <c r="K107" s="7" t="s">
        <v>305</v>
      </c>
      <c r="L107" s="7" t="s">
        <v>306</v>
      </c>
      <c r="M107" s="7" t="n">
        <v>1</v>
      </c>
      <c r="N107" s="27" t="n">
        <v>2999</v>
      </c>
      <c r="O107" s="28" t="n">
        <v>0</v>
      </c>
      <c r="P107" s="27" t="n">
        <v>2999</v>
      </c>
      <c r="Q107" s="27" t="n">
        <v>2000</v>
      </c>
      <c r="R107" s="27" t="n">
        <v>999</v>
      </c>
      <c r="S107" s="7" t="s">
        <v>60</v>
      </c>
      <c r="T107" s="7" t="str">
        <f aca="false">IF(O107=0,"No discount",IF(O107&lt;=0.2,"Up to 20%","Above 20%"))</f>
        <v>No discount</v>
      </c>
    </row>
    <row r="108" customFormat="false" ht="15" hidden="false" customHeight="true" outlineLevel="0" collapsed="false">
      <c r="A108" s="7" t="s">
        <v>519</v>
      </c>
      <c r="B108" s="26" t="n">
        <v>45700</v>
      </c>
      <c r="C108" s="26" t="n">
        <v>45702</v>
      </c>
      <c r="D108" s="7" t="s">
        <v>520</v>
      </c>
      <c r="E108" s="7" t="s">
        <v>521</v>
      </c>
      <c r="F108" s="7" t="s">
        <v>159</v>
      </c>
      <c r="G108" s="7" t="s">
        <v>169</v>
      </c>
      <c r="H108" s="7" t="s">
        <v>179</v>
      </c>
      <c r="I108" s="7" t="s">
        <v>282</v>
      </c>
      <c r="J108" s="7" t="s">
        <v>427</v>
      </c>
      <c r="K108" s="7" t="s">
        <v>428</v>
      </c>
      <c r="L108" s="7" t="s">
        <v>429</v>
      </c>
      <c r="M108" s="7" t="n">
        <v>4</v>
      </c>
      <c r="N108" s="27" t="n">
        <v>149</v>
      </c>
      <c r="O108" s="28" t="n">
        <v>0</v>
      </c>
      <c r="P108" s="27" t="n">
        <v>596</v>
      </c>
      <c r="Q108" s="27" t="n">
        <v>280</v>
      </c>
      <c r="R108" s="27" t="n">
        <v>316</v>
      </c>
      <c r="S108" s="7" t="s">
        <v>60</v>
      </c>
      <c r="T108" s="7" t="str">
        <f aca="false">IF(O108=0,"No discount",IF(O108&lt;=0.2,"Up to 20%","Above 20%"))</f>
        <v>No discount</v>
      </c>
    </row>
    <row r="109" customFormat="false" ht="15" hidden="false" customHeight="true" outlineLevel="0" collapsed="false">
      <c r="A109" s="7" t="s">
        <v>522</v>
      </c>
      <c r="B109" s="26" t="n">
        <v>45700</v>
      </c>
      <c r="C109" s="26" t="n">
        <v>45703</v>
      </c>
      <c r="D109" s="7" t="s">
        <v>227</v>
      </c>
      <c r="E109" s="7" t="s">
        <v>228</v>
      </c>
      <c r="F109" s="7" t="s">
        <v>159</v>
      </c>
      <c r="G109" s="7" t="s">
        <v>169</v>
      </c>
      <c r="H109" s="7" t="s">
        <v>179</v>
      </c>
      <c r="I109" s="7" t="s">
        <v>192</v>
      </c>
      <c r="J109" s="7" t="s">
        <v>213</v>
      </c>
      <c r="K109" s="7" t="s">
        <v>264</v>
      </c>
      <c r="L109" s="7" t="s">
        <v>265</v>
      </c>
      <c r="M109" s="7" t="n">
        <v>1</v>
      </c>
      <c r="N109" s="27" t="n">
        <v>2499</v>
      </c>
      <c r="O109" s="28" t="n">
        <v>0</v>
      </c>
      <c r="P109" s="27" t="n">
        <v>2499</v>
      </c>
      <c r="Q109" s="27" t="n">
        <v>1700</v>
      </c>
      <c r="R109" s="27" t="n">
        <v>799</v>
      </c>
      <c r="S109" s="7" t="s">
        <v>60</v>
      </c>
      <c r="T109" s="7" t="str">
        <f aca="false">IF(O109=0,"No discount",IF(O109&lt;=0.2,"Up to 20%","Above 20%"))</f>
        <v>No discount</v>
      </c>
    </row>
    <row r="110" customFormat="false" ht="15" hidden="false" customHeight="true" outlineLevel="0" collapsed="false">
      <c r="A110" s="7" t="s">
        <v>523</v>
      </c>
      <c r="B110" s="26" t="n">
        <v>45701</v>
      </c>
      <c r="C110" s="26" t="n">
        <v>45703</v>
      </c>
      <c r="D110" s="7" t="s">
        <v>524</v>
      </c>
      <c r="E110" s="7" t="s">
        <v>525</v>
      </c>
      <c r="F110" s="7" t="s">
        <v>159</v>
      </c>
      <c r="G110" s="7" t="s">
        <v>323</v>
      </c>
      <c r="H110" s="7" t="s">
        <v>324</v>
      </c>
      <c r="I110" s="7" t="s">
        <v>192</v>
      </c>
      <c r="J110" s="7" t="s">
        <v>502</v>
      </c>
      <c r="K110" s="7" t="s">
        <v>526</v>
      </c>
      <c r="L110" s="7" t="s">
        <v>527</v>
      </c>
      <c r="M110" s="7" t="n">
        <v>2</v>
      </c>
      <c r="N110" s="27" t="n">
        <v>6499</v>
      </c>
      <c r="O110" s="28" t="n">
        <v>0.1</v>
      </c>
      <c r="P110" s="27" t="n">
        <v>11698</v>
      </c>
      <c r="Q110" s="27" t="n">
        <v>10000</v>
      </c>
      <c r="R110" s="27" t="n">
        <v>1698</v>
      </c>
      <c r="S110" s="7" t="s">
        <v>60</v>
      </c>
      <c r="T110" s="7" t="str">
        <f aca="false">IF(O110=0,"No discount",IF(O110&lt;=0.2,"Up to 20%","Above 20%"))</f>
        <v>Up to 20%</v>
      </c>
    </row>
    <row r="111" customFormat="false" ht="15" hidden="false" customHeight="true" outlineLevel="0" collapsed="false">
      <c r="A111" s="7" t="s">
        <v>528</v>
      </c>
      <c r="B111" s="26" t="n">
        <v>45702</v>
      </c>
      <c r="C111" s="26" t="n">
        <v>45707</v>
      </c>
      <c r="D111" s="7" t="s">
        <v>488</v>
      </c>
      <c r="E111" s="7" t="s">
        <v>489</v>
      </c>
      <c r="F111" s="7" t="s">
        <v>159</v>
      </c>
      <c r="G111" s="7" t="s">
        <v>206</v>
      </c>
      <c r="H111" s="7" t="s">
        <v>207</v>
      </c>
      <c r="I111" s="7" t="s">
        <v>192</v>
      </c>
      <c r="J111" s="7" t="s">
        <v>502</v>
      </c>
      <c r="K111" s="7" t="s">
        <v>526</v>
      </c>
      <c r="L111" s="7" t="s">
        <v>527</v>
      </c>
      <c r="M111" s="7" t="n">
        <v>1</v>
      </c>
      <c r="N111" s="27" t="n">
        <v>6499</v>
      </c>
      <c r="O111" s="28" t="n">
        <v>0.4</v>
      </c>
      <c r="P111" s="27" t="n">
        <v>3899</v>
      </c>
      <c r="Q111" s="27" t="n">
        <v>5000</v>
      </c>
      <c r="R111" s="27" t="n">
        <v>-1101</v>
      </c>
      <c r="S111" s="7" t="s">
        <v>60</v>
      </c>
      <c r="T111" s="7" t="str">
        <f aca="false">IF(O111=0,"No discount",IF(O111&lt;=0.2,"Up to 20%","Above 20%"))</f>
        <v>Above 20%</v>
      </c>
    </row>
    <row r="112" customFormat="false" ht="15" hidden="false" customHeight="true" outlineLevel="0" collapsed="false">
      <c r="A112" s="7" t="s">
        <v>529</v>
      </c>
      <c r="B112" s="26" t="n">
        <v>45702</v>
      </c>
      <c r="C112" s="26" t="n">
        <v>45707</v>
      </c>
      <c r="D112" s="7" t="s">
        <v>530</v>
      </c>
      <c r="E112" s="7" t="s">
        <v>531</v>
      </c>
      <c r="F112" s="7" t="s">
        <v>159</v>
      </c>
      <c r="G112" s="7" t="s">
        <v>169</v>
      </c>
      <c r="H112" s="7" t="s">
        <v>179</v>
      </c>
      <c r="I112" s="7" t="s">
        <v>162</v>
      </c>
      <c r="J112" s="7" t="s">
        <v>185</v>
      </c>
      <c r="K112" s="7" t="s">
        <v>186</v>
      </c>
      <c r="L112" s="7" t="s">
        <v>187</v>
      </c>
      <c r="M112" s="7" t="n">
        <v>1</v>
      </c>
      <c r="N112" s="27" t="n">
        <v>3299</v>
      </c>
      <c r="O112" s="28" t="n">
        <v>0.4</v>
      </c>
      <c r="P112" s="27" t="n">
        <v>1979</v>
      </c>
      <c r="Q112" s="27" t="n">
        <v>1900</v>
      </c>
      <c r="R112" s="27" t="n">
        <v>79</v>
      </c>
      <c r="S112" s="7" t="s">
        <v>60</v>
      </c>
      <c r="T112" s="7" t="str">
        <f aca="false">IF(O112=0,"No discount",IF(O112&lt;=0.2,"Up to 20%","Above 20%"))</f>
        <v>Above 20%</v>
      </c>
    </row>
    <row r="113" customFormat="false" ht="15" hidden="false" customHeight="true" outlineLevel="0" collapsed="false">
      <c r="A113" s="7" t="s">
        <v>532</v>
      </c>
      <c r="B113" s="26" t="n">
        <v>45702</v>
      </c>
      <c r="C113" s="26" t="n">
        <v>45704</v>
      </c>
      <c r="D113" s="7" t="s">
        <v>244</v>
      </c>
      <c r="E113" s="7" t="s">
        <v>245</v>
      </c>
      <c r="F113" s="7" t="s">
        <v>178</v>
      </c>
      <c r="G113" s="7" t="s">
        <v>206</v>
      </c>
      <c r="H113" s="7" t="s">
        <v>207</v>
      </c>
      <c r="I113" s="7" t="s">
        <v>199</v>
      </c>
      <c r="J113" s="7" t="s">
        <v>292</v>
      </c>
      <c r="K113" s="7" t="s">
        <v>293</v>
      </c>
      <c r="L113" s="7" t="s">
        <v>294</v>
      </c>
      <c r="M113" s="7" t="n">
        <v>3</v>
      </c>
      <c r="N113" s="27" t="n">
        <v>1599</v>
      </c>
      <c r="O113" s="28" t="n">
        <v>0.15</v>
      </c>
      <c r="P113" s="27" t="n">
        <v>4077</v>
      </c>
      <c r="Q113" s="27" t="n">
        <v>2250</v>
      </c>
      <c r="R113" s="27" t="n">
        <v>1827</v>
      </c>
      <c r="S113" s="7" t="s">
        <v>60</v>
      </c>
      <c r="T113" s="7" t="str">
        <f aca="false">IF(O113=0,"No discount",IF(O113&lt;=0.2,"Up to 20%","Above 20%"))</f>
        <v>Up to 20%</v>
      </c>
    </row>
    <row r="114" customFormat="false" ht="15" hidden="false" customHeight="true" outlineLevel="0" collapsed="false">
      <c r="A114" s="7" t="s">
        <v>533</v>
      </c>
      <c r="B114" s="26" t="n">
        <v>45702</v>
      </c>
      <c r="C114" s="26" t="n">
        <v>45704</v>
      </c>
      <c r="D114" s="7" t="s">
        <v>241</v>
      </c>
      <c r="E114" s="7" t="s">
        <v>242</v>
      </c>
      <c r="F114" s="7" t="s">
        <v>159</v>
      </c>
      <c r="G114" s="7" t="s">
        <v>206</v>
      </c>
      <c r="H114" s="7" t="s">
        <v>207</v>
      </c>
      <c r="I114" s="7" t="s">
        <v>171</v>
      </c>
      <c r="J114" s="7" t="s">
        <v>172</v>
      </c>
      <c r="K114" s="7" t="s">
        <v>173</v>
      </c>
      <c r="L114" s="7" t="s">
        <v>174</v>
      </c>
      <c r="M114" s="7" t="n">
        <v>2</v>
      </c>
      <c r="N114" s="27" t="n">
        <v>699</v>
      </c>
      <c r="O114" s="28" t="n">
        <v>0.05</v>
      </c>
      <c r="P114" s="27" t="n">
        <v>1328</v>
      </c>
      <c r="Q114" s="27" t="n">
        <v>640</v>
      </c>
      <c r="R114" s="27" t="n">
        <v>688</v>
      </c>
      <c r="S114" s="7" t="s">
        <v>60</v>
      </c>
      <c r="T114" s="7" t="str">
        <f aca="false">IF(O114=0,"No discount",IF(O114&lt;=0.2,"Up to 20%","Above 20%"))</f>
        <v>Up to 20%</v>
      </c>
    </row>
    <row r="115" customFormat="false" ht="15" hidden="false" customHeight="true" outlineLevel="0" collapsed="false">
      <c r="A115" s="7" t="s">
        <v>534</v>
      </c>
      <c r="B115" s="26" t="n">
        <v>45702</v>
      </c>
      <c r="C115" s="26" t="n">
        <v>45708</v>
      </c>
      <c r="D115" s="7" t="s">
        <v>535</v>
      </c>
      <c r="E115" s="7" t="s">
        <v>536</v>
      </c>
      <c r="F115" s="7" t="s">
        <v>159</v>
      </c>
      <c r="G115" s="7" t="s">
        <v>206</v>
      </c>
      <c r="H115" s="7" t="s">
        <v>207</v>
      </c>
      <c r="I115" s="7" t="s">
        <v>171</v>
      </c>
      <c r="J115" s="7" t="s">
        <v>304</v>
      </c>
      <c r="K115" s="7" t="s">
        <v>305</v>
      </c>
      <c r="L115" s="7" t="s">
        <v>306</v>
      </c>
      <c r="M115" s="7" t="n">
        <v>1</v>
      </c>
      <c r="N115" s="27" t="n">
        <v>2999</v>
      </c>
      <c r="O115" s="28" t="n">
        <v>0.05</v>
      </c>
      <c r="P115" s="27" t="n">
        <v>2849</v>
      </c>
      <c r="Q115" s="27" t="n">
        <v>2000</v>
      </c>
      <c r="R115" s="27" t="n">
        <v>849</v>
      </c>
      <c r="S115" s="7" t="s">
        <v>60</v>
      </c>
      <c r="T115" s="7" t="str">
        <f aca="false">IF(O115=0,"No discount",IF(O115&lt;=0.2,"Up to 20%","Above 20%"))</f>
        <v>Up to 20%</v>
      </c>
    </row>
    <row r="116" customFormat="false" ht="15" hidden="false" customHeight="true" outlineLevel="0" collapsed="false">
      <c r="A116" s="7" t="s">
        <v>537</v>
      </c>
      <c r="B116" s="26" t="n">
        <v>45703</v>
      </c>
      <c r="C116" s="26" t="n">
        <v>45704</v>
      </c>
      <c r="D116" s="7" t="s">
        <v>538</v>
      </c>
      <c r="E116" s="7" t="s">
        <v>539</v>
      </c>
      <c r="F116" s="7" t="s">
        <v>159</v>
      </c>
      <c r="G116" s="7" t="s">
        <v>169</v>
      </c>
      <c r="H116" s="7" t="s">
        <v>191</v>
      </c>
      <c r="I116" s="7" t="s">
        <v>171</v>
      </c>
      <c r="J116" s="7" t="s">
        <v>172</v>
      </c>
      <c r="K116" s="7" t="s">
        <v>173</v>
      </c>
      <c r="L116" s="7" t="s">
        <v>174</v>
      </c>
      <c r="M116" s="7" t="n">
        <v>4</v>
      </c>
      <c r="N116" s="27" t="n">
        <v>699</v>
      </c>
      <c r="O116" s="28" t="n">
        <v>0</v>
      </c>
      <c r="P116" s="27" t="n">
        <v>2796</v>
      </c>
      <c r="Q116" s="27" t="n">
        <v>1280</v>
      </c>
      <c r="R116" s="27" t="n">
        <v>1516</v>
      </c>
      <c r="S116" s="7" t="s">
        <v>60</v>
      </c>
      <c r="T116" s="7" t="str">
        <f aca="false">IF(O116=0,"No discount",IF(O116&lt;=0.2,"Up to 20%","Above 20%"))</f>
        <v>No discount</v>
      </c>
    </row>
    <row r="117" customFormat="false" ht="15" hidden="false" customHeight="true" outlineLevel="0" collapsed="false">
      <c r="A117" s="7" t="s">
        <v>540</v>
      </c>
      <c r="B117" s="26" t="n">
        <v>45703</v>
      </c>
      <c r="C117" s="26" t="n">
        <v>45708</v>
      </c>
      <c r="D117" s="7" t="s">
        <v>485</v>
      </c>
      <c r="E117" s="7" t="s">
        <v>486</v>
      </c>
      <c r="F117" s="7" t="s">
        <v>159</v>
      </c>
      <c r="G117" s="7" t="s">
        <v>169</v>
      </c>
      <c r="H117" s="7" t="s">
        <v>179</v>
      </c>
      <c r="I117" s="7" t="s">
        <v>171</v>
      </c>
      <c r="J117" s="7" t="s">
        <v>304</v>
      </c>
      <c r="K117" s="7" t="s">
        <v>305</v>
      </c>
      <c r="L117" s="7" t="s">
        <v>306</v>
      </c>
      <c r="M117" s="7" t="n">
        <v>2</v>
      </c>
      <c r="N117" s="27" t="n">
        <v>2999</v>
      </c>
      <c r="O117" s="28" t="n">
        <v>0.05</v>
      </c>
      <c r="P117" s="27" t="n">
        <v>5698</v>
      </c>
      <c r="Q117" s="27" t="n">
        <v>4000</v>
      </c>
      <c r="R117" s="27" t="n">
        <v>1698</v>
      </c>
      <c r="S117" s="7" t="s">
        <v>60</v>
      </c>
      <c r="T117" s="7" t="str">
        <f aca="false">IF(O117=0,"No discount",IF(O117&lt;=0.2,"Up to 20%","Above 20%"))</f>
        <v>Up to 20%</v>
      </c>
    </row>
    <row r="118" customFormat="false" ht="15" hidden="false" customHeight="true" outlineLevel="0" collapsed="false">
      <c r="A118" s="7" t="s">
        <v>541</v>
      </c>
      <c r="B118" s="26" t="n">
        <v>45704</v>
      </c>
      <c r="C118" s="26" t="n">
        <v>45710</v>
      </c>
      <c r="D118" s="7" t="s">
        <v>542</v>
      </c>
      <c r="E118" s="7" t="s">
        <v>543</v>
      </c>
      <c r="F118" s="7" t="s">
        <v>159</v>
      </c>
      <c r="G118" s="7" t="s">
        <v>160</v>
      </c>
      <c r="H118" s="7" t="s">
        <v>269</v>
      </c>
      <c r="I118" s="7" t="s">
        <v>171</v>
      </c>
      <c r="J118" s="7" t="s">
        <v>172</v>
      </c>
      <c r="K118" s="7" t="s">
        <v>180</v>
      </c>
      <c r="L118" s="7" t="s">
        <v>181</v>
      </c>
      <c r="M118" s="7" t="n">
        <v>1</v>
      </c>
      <c r="N118" s="27" t="n">
        <v>999</v>
      </c>
      <c r="O118" s="28" t="n">
        <v>0.05</v>
      </c>
      <c r="P118" s="27" t="n">
        <v>949</v>
      </c>
      <c r="Q118" s="27" t="n">
        <v>520</v>
      </c>
      <c r="R118" s="27" t="n">
        <v>429</v>
      </c>
      <c r="S118" s="7" t="s">
        <v>60</v>
      </c>
      <c r="T118" s="7" t="str">
        <f aca="false">IF(O118=0,"No discount",IF(O118&lt;=0.2,"Up to 20%","Above 20%"))</f>
        <v>Up to 20%</v>
      </c>
    </row>
    <row r="119" customFormat="false" ht="15" hidden="false" customHeight="true" outlineLevel="0" collapsed="false">
      <c r="A119" s="7" t="s">
        <v>544</v>
      </c>
      <c r="B119" s="26" t="n">
        <v>45704</v>
      </c>
      <c r="C119" s="26" t="n">
        <v>45711</v>
      </c>
      <c r="D119" s="7" t="s">
        <v>545</v>
      </c>
      <c r="E119" s="7" t="s">
        <v>546</v>
      </c>
      <c r="F119" s="7" t="s">
        <v>219</v>
      </c>
      <c r="G119" s="7" t="s">
        <v>169</v>
      </c>
      <c r="H119" s="7" t="s">
        <v>179</v>
      </c>
      <c r="I119" s="7" t="s">
        <v>282</v>
      </c>
      <c r="J119" s="7" t="s">
        <v>387</v>
      </c>
      <c r="K119" s="7" t="s">
        <v>547</v>
      </c>
      <c r="L119" s="7" t="s">
        <v>548</v>
      </c>
      <c r="M119" s="7" t="n">
        <v>3</v>
      </c>
      <c r="N119" s="27" t="n">
        <v>249</v>
      </c>
      <c r="O119" s="28" t="n">
        <v>0</v>
      </c>
      <c r="P119" s="27" t="n">
        <v>747</v>
      </c>
      <c r="Q119" s="27" t="n">
        <v>360</v>
      </c>
      <c r="R119" s="27" t="n">
        <v>387</v>
      </c>
      <c r="S119" s="7" t="s">
        <v>60</v>
      </c>
      <c r="T119" s="7" t="str">
        <f aca="false">IF(O119=0,"No discount",IF(O119&lt;=0.2,"Up to 20%","Above 20%"))</f>
        <v>No discount</v>
      </c>
    </row>
    <row r="120" customFormat="false" ht="15" hidden="false" customHeight="true" outlineLevel="0" collapsed="false">
      <c r="A120" s="7" t="s">
        <v>549</v>
      </c>
      <c r="B120" s="26" t="n">
        <v>45704</v>
      </c>
      <c r="C120" s="26" t="n">
        <v>45710</v>
      </c>
      <c r="D120" s="7" t="s">
        <v>321</v>
      </c>
      <c r="E120" s="7" t="s">
        <v>322</v>
      </c>
      <c r="F120" s="7" t="s">
        <v>219</v>
      </c>
      <c r="G120" s="7" t="s">
        <v>323</v>
      </c>
      <c r="H120" s="7" t="s">
        <v>324</v>
      </c>
      <c r="I120" s="7" t="s">
        <v>171</v>
      </c>
      <c r="J120" s="7" t="s">
        <v>172</v>
      </c>
      <c r="K120" s="7" t="s">
        <v>173</v>
      </c>
      <c r="L120" s="7" t="s">
        <v>174</v>
      </c>
      <c r="M120" s="7" t="n">
        <v>1</v>
      </c>
      <c r="N120" s="27" t="n">
        <v>699</v>
      </c>
      <c r="O120" s="28" t="n">
        <v>0.3</v>
      </c>
      <c r="P120" s="27" t="n">
        <v>489</v>
      </c>
      <c r="Q120" s="27" t="n">
        <v>320</v>
      </c>
      <c r="R120" s="27" t="n">
        <v>169</v>
      </c>
      <c r="S120" s="7" t="s">
        <v>60</v>
      </c>
      <c r="T120" s="7" t="str">
        <f aca="false">IF(O120=0,"No discount",IF(O120&lt;=0.2,"Up to 20%","Above 20%"))</f>
        <v>Above 20%</v>
      </c>
    </row>
    <row r="121" customFormat="false" ht="15" hidden="false" customHeight="true" outlineLevel="0" collapsed="false">
      <c r="A121" s="7" t="s">
        <v>550</v>
      </c>
      <c r="B121" s="26" t="n">
        <v>45705</v>
      </c>
      <c r="C121" s="26" t="n">
        <v>45712</v>
      </c>
      <c r="D121" s="7" t="s">
        <v>308</v>
      </c>
      <c r="E121" s="7" t="s">
        <v>309</v>
      </c>
      <c r="F121" s="7" t="s">
        <v>159</v>
      </c>
      <c r="G121" s="7" t="s">
        <v>169</v>
      </c>
      <c r="H121" s="7" t="s">
        <v>179</v>
      </c>
      <c r="I121" s="7" t="s">
        <v>162</v>
      </c>
      <c r="J121" s="7" t="s">
        <v>163</v>
      </c>
      <c r="K121" s="7" t="s">
        <v>507</v>
      </c>
      <c r="L121" s="7" t="s">
        <v>508</v>
      </c>
      <c r="M121" s="7" t="n">
        <v>5</v>
      </c>
      <c r="N121" s="27" t="n">
        <v>1199</v>
      </c>
      <c r="O121" s="28" t="n">
        <v>0.1</v>
      </c>
      <c r="P121" s="27" t="n">
        <v>5396</v>
      </c>
      <c r="Q121" s="27" t="n">
        <v>3000</v>
      </c>
      <c r="R121" s="27" t="n">
        <v>2396</v>
      </c>
      <c r="S121" s="7" t="s">
        <v>60</v>
      </c>
      <c r="T121" s="7" t="str">
        <f aca="false">IF(O121=0,"No discount",IF(O121&lt;=0.2,"Up to 20%","Above 20%"))</f>
        <v>Up to 20%</v>
      </c>
    </row>
    <row r="122" customFormat="false" ht="15" hidden="false" customHeight="true" outlineLevel="0" collapsed="false">
      <c r="A122" s="7" t="s">
        <v>551</v>
      </c>
      <c r="B122" s="26" t="n">
        <v>45705</v>
      </c>
      <c r="C122" s="26" t="n">
        <v>45707</v>
      </c>
      <c r="D122" s="7" t="s">
        <v>552</v>
      </c>
      <c r="E122" s="7" t="s">
        <v>553</v>
      </c>
      <c r="F122" s="7" t="s">
        <v>159</v>
      </c>
      <c r="G122" s="7" t="s">
        <v>160</v>
      </c>
      <c r="H122" s="7" t="s">
        <v>161</v>
      </c>
      <c r="I122" s="7" t="s">
        <v>192</v>
      </c>
      <c r="J122" s="7" t="s">
        <v>502</v>
      </c>
      <c r="K122" s="7" t="s">
        <v>503</v>
      </c>
      <c r="L122" s="7" t="s">
        <v>504</v>
      </c>
      <c r="M122" s="7" t="n">
        <v>1</v>
      </c>
      <c r="N122" s="27" t="n">
        <v>3499</v>
      </c>
      <c r="O122" s="28" t="n">
        <v>0</v>
      </c>
      <c r="P122" s="27" t="n">
        <v>3499</v>
      </c>
      <c r="Q122" s="27" t="n">
        <v>2500</v>
      </c>
      <c r="R122" s="27" t="n">
        <v>999</v>
      </c>
      <c r="S122" s="7" t="s">
        <v>47</v>
      </c>
      <c r="T122" s="7" t="str">
        <f aca="false">IF(O122=0,"No discount",IF(O122&lt;=0.2,"Up to 20%","Above 20%"))</f>
        <v>No discount</v>
      </c>
    </row>
    <row r="123" customFormat="false" ht="15" hidden="false" customHeight="true" outlineLevel="0" collapsed="false">
      <c r="A123" s="7" t="s">
        <v>554</v>
      </c>
      <c r="B123" s="26" t="n">
        <v>45706</v>
      </c>
      <c r="C123" s="26" t="n">
        <v>45708</v>
      </c>
      <c r="D123" s="7" t="s">
        <v>555</v>
      </c>
      <c r="E123" s="7" t="s">
        <v>556</v>
      </c>
      <c r="F123" s="7" t="s">
        <v>178</v>
      </c>
      <c r="G123" s="7" t="s">
        <v>206</v>
      </c>
      <c r="H123" s="7" t="s">
        <v>207</v>
      </c>
      <c r="I123" s="7" t="s">
        <v>192</v>
      </c>
      <c r="J123" s="7" t="s">
        <v>193</v>
      </c>
      <c r="K123" s="7" t="s">
        <v>557</v>
      </c>
      <c r="L123" s="7" t="s">
        <v>558</v>
      </c>
      <c r="M123" s="7" t="n">
        <v>1</v>
      </c>
      <c r="N123" s="27" t="n">
        <v>12999</v>
      </c>
      <c r="O123" s="28" t="n">
        <v>0.1</v>
      </c>
      <c r="P123" s="27" t="n">
        <v>11699</v>
      </c>
      <c r="Q123" s="27" t="n">
        <v>10200</v>
      </c>
      <c r="R123" s="27" t="n">
        <v>1499</v>
      </c>
      <c r="S123" s="7" t="s">
        <v>60</v>
      </c>
      <c r="T123" s="7" t="str">
        <f aca="false">IF(O123=0,"No discount",IF(O123&lt;=0.2,"Up to 20%","Above 20%"))</f>
        <v>Up to 20%</v>
      </c>
    </row>
    <row r="124" customFormat="false" ht="15" hidden="false" customHeight="true" outlineLevel="0" collapsed="false">
      <c r="A124" s="7" t="s">
        <v>559</v>
      </c>
      <c r="B124" s="26" t="n">
        <v>45707</v>
      </c>
      <c r="C124" s="26" t="n">
        <v>45711</v>
      </c>
      <c r="D124" s="7" t="s">
        <v>560</v>
      </c>
      <c r="E124" s="7" t="s">
        <v>561</v>
      </c>
      <c r="F124" s="7" t="s">
        <v>219</v>
      </c>
      <c r="G124" s="7" t="s">
        <v>160</v>
      </c>
      <c r="H124" s="7" t="s">
        <v>269</v>
      </c>
      <c r="I124" s="7" t="s">
        <v>192</v>
      </c>
      <c r="J124" s="7" t="s">
        <v>502</v>
      </c>
      <c r="K124" s="7" t="s">
        <v>503</v>
      </c>
      <c r="L124" s="7" t="s">
        <v>504</v>
      </c>
      <c r="M124" s="7" t="n">
        <v>1</v>
      </c>
      <c r="N124" s="27" t="n">
        <v>3499</v>
      </c>
      <c r="O124" s="28" t="n">
        <v>0.1</v>
      </c>
      <c r="P124" s="27" t="n">
        <v>3149</v>
      </c>
      <c r="Q124" s="27" t="n">
        <v>2500</v>
      </c>
      <c r="R124" s="27" t="n">
        <v>649</v>
      </c>
      <c r="S124" s="7" t="s">
        <v>60</v>
      </c>
      <c r="T124" s="7" t="str">
        <f aca="false">IF(O124=0,"No discount",IF(O124&lt;=0.2,"Up to 20%","Above 20%"))</f>
        <v>Up to 20%</v>
      </c>
    </row>
    <row r="125" customFormat="false" ht="15" hidden="false" customHeight="true" outlineLevel="0" collapsed="false">
      <c r="A125" s="7" t="s">
        <v>562</v>
      </c>
      <c r="B125" s="26" t="n">
        <v>45707</v>
      </c>
      <c r="C125" s="26" t="n">
        <v>45712</v>
      </c>
      <c r="D125" s="7" t="s">
        <v>563</v>
      </c>
      <c r="E125" s="7" t="s">
        <v>564</v>
      </c>
      <c r="F125" s="7" t="s">
        <v>178</v>
      </c>
      <c r="G125" s="7" t="s">
        <v>160</v>
      </c>
      <c r="H125" s="7" t="s">
        <v>269</v>
      </c>
      <c r="I125" s="7" t="s">
        <v>282</v>
      </c>
      <c r="J125" s="7" t="s">
        <v>427</v>
      </c>
      <c r="K125" s="7" t="s">
        <v>428</v>
      </c>
      <c r="L125" s="7" t="s">
        <v>429</v>
      </c>
      <c r="M125" s="7" t="n">
        <v>1</v>
      </c>
      <c r="N125" s="27" t="n">
        <v>149</v>
      </c>
      <c r="O125" s="28" t="n">
        <v>0.05</v>
      </c>
      <c r="P125" s="27" t="n">
        <v>142</v>
      </c>
      <c r="Q125" s="27" t="n">
        <v>70</v>
      </c>
      <c r="R125" s="27" t="n">
        <v>72</v>
      </c>
      <c r="S125" s="7" t="s">
        <v>60</v>
      </c>
      <c r="T125" s="7" t="str">
        <f aca="false">IF(O125=0,"No discount",IF(O125&lt;=0.2,"Up to 20%","Above 20%"))</f>
        <v>Up to 20%</v>
      </c>
    </row>
    <row r="126" customFormat="false" ht="15" hidden="false" customHeight="true" outlineLevel="0" collapsed="false">
      <c r="A126" s="7" t="s">
        <v>565</v>
      </c>
      <c r="B126" s="26" t="n">
        <v>45708</v>
      </c>
      <c r="C126" s="26" t="n">
        <v>45713</v>
      </c>
      <c r="D126" s="7" t="s">
        <v>456</v>
      </c>
      <c r="E126" s="7" t="s">
        <v>457</v>
      </c>
      <c r="F126" s="7" t="s">
        <v>159</v>
      </c>
      <c r="G126" s="7" t="s">
        <v>169</v>
      </c>
      <c r="H126" s="7" t="s">
        <v>170</v>
      </c>
      <c r="I126" s="7" t="s">
        <v>192</v>
      </c>
      <c r="J126" s="7" t="s">
        <v>193</v>
      </c>
      <c r="K126" s="7" t="s">
        <v>194</v>
      </c>
      <c r="L126" s="7" t="s">
        <v>195</v>
      </c>
      <c r="M126" s="7" t="n">
        <v>2</v>
      </c>
      <c r="N126" s="27" t="n">
        <v>8999</v>
      </c>
      <c r="O126" s="28" t="n">
        <v>0.4</v>
      </c>
      <c r="P126" s="27" t="n">
        <v>10799</v>
      </c>
      <c r="Q126" s="27" t="n">
        <v>13600</v>
      </c>
      <c r="R126" s="27" t="n">
        <v>-2801</v>
      </c>
      <c r="S126" s="7" t="s">
        <v>60</v>
      </c>
      <c r="T126" s="7" t="str">
        <f aca="false">IF(O126=0,"No discount",IF(O126&lt;=0.2,"Up to 20%","Above 20%"))</f>
        <v>Above 20%</v>
      </c>
    </row>
    <row r="127" customFormat="false" ht="15" hidden="false" customHeight="true" outlineLevel="0" collapsed="false">
      <c r="A127" s="7" t="s">
        <v>566</v>
      </c>
      <c r="B127" s="26" t="n">
        <v>45708</v>
      </c>
      <c r="C127" s="26" t="n">
        <v>45714</v>
      </c>
      <c r="D127" s="7" t="s">
        <v>567</v>
      </c>
      <c r="E127" s="7" t="s">
        <v>568</v>
      </c>
      <c r="F127" s="7" t="s">
        <v>159</v>
      </c>
      <c r="G127" s="7" t="s">
        <v>169</v>
      </c>
      <c r="H127" s="7" t="s">
        <v>179</v>
      </c>
      <c r="I127" s="7" t="s">
        <v>208</v>
      </c>
      <c r="J127" s="7" t="s">
        <v>232</v>
      </c>
      <c r="K127" s="7" t="s">
        <v>233</v>
      </c>
      <c r="L127" s="7" t="s">
        <v>234</v>
      </c>
      <c r="M127" s="7" t="n">
        <v>1</v>
      </c>
      <c r="N127" s="27" t="n">
        <v>7999</v>
      </c>
      <c r="O127" s="28" t="n">
        <v>0</v>
      </c>
      <c r="P127" s="27" t="n">
        <v>7999</v>
      </c>
      <c r="Q127" s="27" t="n">
        <v>5600</v>
      </c>
      <c r="R127" s="27" t="n">
        <v>2399</v>
      </c>
      <c r="S127" s="7" t="s">
        <v>60</v>
      </c>
      <c r="T127" s="7" t="str">
        <f aca="false">IF(O127=0,"No discount",IF(O127&lt;=0.2,"Up to 20%","Above 20%"))</f>
        <v>No discount</v>
      </c>
    </row>
    <row r="128" customFormat="false" ht="15" hidden="false" customHeight="true" outlineLevel="0" collapsed="false">
      <c r="A128" s="7" t="s">
        <v>569</v>
      </c>
      <c r="B128" s="26" t="n">
        <v>45709</v>
      </c>
      <c r="C128" s="26" t="n">
        <v>45710</v>
      </c>
      <c r="D128" s="7" t="s">
        <v>396</v>
      </c>
      <c r="E128" s="7" t="s">
        <v>397</v>
      </c>
      <c r="F128" s="7" t="s">
        <v>178</v>
      </c>
      <c r="G128" s="7" t="s">
        <v>160</v>
      </c>
      <c r="H128" s="7" t="s">
        <v>269</v>
      </c>
      <c r="I128" s="7" t="s">
        <v>171</v>
      </c>
      <c r="J128" s="7" t="s">
        <v>172</v>
      </c>
      <c r="K128" s="7" t="s">
        <v>173</v>
      </c>
      <c r="L128" s="7" t="s">
        <v>174</v>
      </c>
      <c r="M128" s="7" t="n">
        <v>1</v>
      </c>
      <c r="N128" s="27" t="n">
        <v>699</v>
      </c>
      <c r="O128" s="28" t="n">
        <v>0.2</v>
      </c>
      <c r="P128" s="27" t="n">
        <v>559</v>
      </c>
      <c r="Q128" s="27" t="n">
        <v>320</v>
      </c>
      <c r="R128" s="27" t="n">
        <v>239</v>
      </c>
      <c r="S128" s="7" t="s">
        <v>60</v>
      </c>
      <c r="T128" s="7" t="str">
        <f aca="false">IF(O128=0,"No discount",IF(O128&lt;=0.2,"Up to 20%","Above 20%"))</f>
        <v>Up to 20%</v>
      </c>
    </row>
    <row r="129" customFormat="false" ht="15" hidden="false" customHeight="true" outlineLevel="0" collapsed="false">
      <c r="A129" s="7" t="s">
        <v>570</v>
      </c>
      <c r="B129" s="26" t="n">
        <v>45709</v>
      </c>
      <c r="C129" s="26" t="n">
        <v>45712</v>
      </c>
      <c r="D129" s="7" t="s">
        <v>571</v>
      </c>
      <c r="E129" s="7" t="s">
        <v>572</v>
      </c>
      <c r="F129" s="7" t="s">
        <v>159</v>
      </c>
      <c r="G129" s="7" t="s">
        <v>160</v>
      </c>
      <c r="H129" s="7" t="s">
        <v>269</v>
      </c>
      <c r="I129" s="7" t="s">
        <v>192</v>
      </c>
      <c r="J129" s="7" t="s">
        <v>213</v>
      </c>
      <c r="K129" s="7" t="s">
        <v>214</v>
      </c>
      <c r="L129" s="7" t="s">
        <v>215</v>
      </c>
      <c r="M129" s="7" t="n">
        <v>3</v>
      </c>
      <c r="N129" s="27" t="n">
        <v>5999</v>
      </c>
      <c r="O129" s="28" t="n">
        <v>0.3</v>
      </c>
      <c r="P129" s="27" t="n">
        <v>12598</v>
      </c>
      <c r="Q129" s="27" t="n">
        <v>13800</v>
      </c>
      <c r="R129" s="27" t="n">
        <v>-1202</v>
      </c>
      <c r="S129" s="7" t="s">
        <v>60</v>
      </c>
      <c r="T129" s="7" t="str">
        <f aca="false">IF(O129=0,"No discount",IF(O129&lt;=0.2,"Up to 20%","Above 20%"))</f>
        <v>Above 20%</v>
      </c>
    </row>
    <row r="130" customFormat="false" ht="15" hidden="false" customHeight="true" outlineLevel="0" collapsed="false">
      <c r="A130" s="7" t="s">
        <v>573</v>
      </c>
      <c r="B130" s="26" t="n">
        <v>45709</v>
      </c>
      <c r="C130" s="26" t="n">
        <v>45712</v>
      </c>
      <c r="D130" s="7" t="s">
        <v>574</v>
      </c>
      <c r="E130" s="7" t="s">
        <v>575</v>
      </c>
      <c r="F130" s="7" t="s">
        <v>178</v>
      </c>
      <c r="G130" s="7" t="s">
        <v>323</v>
      </c>
      <c r="H130" s="7" t="s">
        <v>324</v>
      </c>
      <c r="I130" s="7" t="s">
        <v>162</v>
      </c>
      <c r="J130" s="7" t="s">
        <v>325</v>
      </c>
      <c r="K130" s="7" t="s">
        <v>381</v>
      </c>
      <c r="L130" s="7" t="s">
        <v>382</v>
      </c>
      <c r="M130" s="7" t="n">
        <v>1</v>
      </c>
      <c r="N130" s="27" t="n">
        <v>1799</v>
      </c>
      <c r="O130" s="28" t="n">
        <v>0</v>
      </c>
      <c r="P130" s="27" t="n">
        <v>1799</v>
      </c>
      <c r="Q130" s="27" t="n">
        <v>950</v>
      </c>
      <c r="R130" s="27" t="n">
        <v>849</v>
      </c>
      <c r="S130" s="7" t="s">
        <v>60</v>
      </c>
      <c r="T130" s="7" t="str">
        <f aca="false">IF(O130=0,"No discount",IF(O130&lt;=0.2,"Up to 20%","Above 20%"))</f>
        <v>No discount</v>
      </c>
    </row>
    <row r="131" customFormat="false" ht="15" hidden="false" customHeight="true" outlineLevel="0" collapsed="false">
      <c r="A131" s="7" t="s">
        <v>576</v>
      </c>
      <c r="B131" s="26" t="n">
        <v>45710</v>
      </c>
      <c r="C131" s="26" t="n">
        <v>45711</v>
      </c>
      <c r="D131" s="7" t="s">
        <v>345</v>
      </c>
      <c r="E131" s="7" t="s">
        <v>346</v>
      </c>
      <c r="F131" s="7" t="s">
        <v>159</v>
      </c>
      <c r="G131" s="7" t="s">
        <v>160</v>
      </c>
      <c r="H131" s="7" t="s">
        <v>161</v>
      </c>
      <c r="I131" s="7" t="s">
        <v>282</v>
      </c>
      <c r="J131" s="7" t="s">
        <v>387</v>
      </c>
      <c r="K131" s="7" t="s">
        <v>388</v>
      </c>
      <c r="L131" s="7" t="s">
        <v>389</v>
      </c>
      <c r="M131" s="7" t="n">
        <v>5</v>
      </c>
      <c r="N131" s="27" t="n">
        <v>1299</v>
      </c>
      <c r="O131" s="28" t="n">
        <v>0</v>
      </c>
      <c r="P131" s="27" t="n">
        <v>6495</v>
      </c>
      <c r="Q131" s="27" t="n">
        <v>3900</v>
      </c>
      <c r="R131" s="27" t="n">
        <v>2595</v>
      </c>
      <c r="S131" s="7" t="s">
        <v>60</v>
      </c>
      <c r="T131" s="7" t="str">
        <f aca="false">IF(O131=0,"No discount",IF(O131&lt;=0.2,"Up to 20%","Above 20%"))</f>
        <v>No discount</v>
      </c>
    </row>
    <row r="132" customFormat="false" ht="15" hidden="false" customHeight="true" outlineLevel="0" collapsed="false">
      <c r="A132" s="7" t="s">
        <v>577</v>
      </c>
      <c r="B132" s="26" t="n">
        <v>45710</v>
      </c>
      <c r="C132" s="26" t="n">
        <v>45712</v>
      </c>
      <c r="D132" s="7" t="s">
        <v>391</v>
      </c>
      <c r="E132" s="7" t="s">
        <v>392</v>
      </c>
      <c r="F132" s="7" t="s">
        <v>159</v>
      </c>
      <c r="G132" s="7" t="s">
        <v>206</v>
      </c>
      <c r="H132" s="7" t="s">
        <v>207</v>
      </c>
      <c r="I132" s="7" t="s">
        <v>171</v>
      </c>
      <c r="J132" s="7" t="s">
        <v>314</v>
      </c>
      <c r="K132" s="7" t="s">
        <v>315</v>
      </c>
      <c r="L132" s="7" t="s">
        <v>316</v>
      </c>
      <c r="M132" s="7" t="n">
        <v>1</v>
      </c>
      <c r="N132" s="27" t="n">
        <v>1299</v>
      </c>
      <c r="O132" s="28" t="n">
        <v>0</v>
      </c>
      <c r="P132" s="27" t="n">
        <v>1299</v>
      </c>
      <c r="Q132" s="27" t="n">
        <v>700</v>
      </c>
      <c r="R132" s="27" t="n">
        <v>599</v>
      </c>
      <c r="S132" s="7" t="s">
        <v>60</v>
      </c>
      <c r="T132" s="7" t="str">
        <f aca="false">IF(O132=0,"No discount",IF(O132&lt;=0.2,"Up to 20%","Above 20%"))</f>
        <v>No discount</v>
      </c>
    </row>
    <row r="133" customFormat="false" ht="15" hidden="false" customHeight="true" outlineLevel="0" collapsed="false">
      <c r="A133" s="7" t="s">
        <v>578</v>
      </c>
      <c r="B133" s="26" t="n">
        <v>45710</v>
      </c>
      <c r="C133" s="26" t="n">
        <v>45714</v>
      </c>
      <c r="D133" s="7" t="s">
        <v>391</v>
      </c>
      <c r="E133" s="7" t="s">
        <v>392</v>
      </c>
      <c r="F133" s="7" t="s">
        <v>159</v>
      </c>
      <c r="G133" s="7" t="s">
        <v>206</v>
      </c>
      <c r="H133" s="7" t="s">
        <v>207</v>
      </c>
      <c r="I133" s="7" t="s">
        <v>192</v>
      </c>
      <c r="J133" s="7" t="s">
        <v>213</v>
      </c>
      <c r="K133" s="7" t="s">
        <v>214</v>
      </c>
      <c r="L133" s="7" t="s">
        <v>215</v>
      </c>
      <c r="M133" s="7" t="n">
        <v>2</v>
      </c>
      <c r="N133" s="27" t="n">
        <v>5999</v>
      </c>
      <c r="O133" s="28" t="n">
        <v>0.4</v>
      </c>
      <c r="P133" s="27" t="n">
        <v>7199</v>
      </c>
      <c r="Q133" s="27" t="n">
        <v>9200</v>
      </c>
      <c r="R133" s="27" t="n">
        <v>-2001</v>
      </c>
      <c r="S133" s="7" t="s">
        <v>60</v>
      </c>
      <c r="T133" s="7" t="str">
        <f aca="false">IF(O133=0,"No discount",IF(O133&lt;=0.2,"Up to 20%","Above 20%"))</f>
        <v>Above 20%</v>
      </c>
    </row>
    <row r="134" customFormat="false" ht="15" hidden="false" customHeight="true" outlineLevel="0" collapsed="false">
      <c r="A134" s="7" t="s">
        <v>579</v>
      </c>
      <c r="B134" s="26" t="n">
        <v>45711</v>
      </c>
      <c r="C134" s="26" t="n">
        <v>45714</v>
      </c>
      <c r="D134" s="7" t="s">
        <v>330</v>
      </c>
      <c r="E134" s="7" t="s">
        <v>331</v>
      </c>
      <c r="F134" s="7" t="s">
        <v>219</v>
      </c>
      <c r="G134" s="7" t="s">
        <v>206</v>
      </c>
      <c r="H134" s="7" t="s">
        <v>207</v>
      </c>
      <c r="I134" s="7" t="s">
        <v>192</v>
      </c>
      <c r="J134" s="7" t="s">
        <v>213</v>
      </c>
      <c r="K134" s="7" t="s">
        <v>214</v>
      </c>
      <c r="L134" s="7" t="s">
        <v>215</v>
      </c>
      <c r="M134" s="7" t="n">
        <v>3</v>
      </c>
      <c r="N134" s="27" t="n">
        <v>5999</v>
      </c>
      <c r="O134" s="28" t="n">
        <v>0.4</v>
      </c>
      <c r="P134" s="27" t="n">
        <v>10798</v>
      </c>
      <c r="Q134" s="27" t="n">
        <v>13800</v>
      </c>
      <c r="R134" s="27" t="n">
        <v>-3002</v>
      </c>
      <c r="S134" s="7" t="s">
        <v>60</v>
      </c>
      <c r="T134" s="7" t="str">
        <f aca="false">IF(O134=0,"No discount",IF(O134&lt;=0.2,"Up to 20%","Above 20%"))</f>
        <v>Above 20%</v>
      </c>
    </row>
    <row r="135" customFormat="false" ht="15" hidden="false" customHeight="true" outlineLevel="0" collapsed="false">
      <c r="A135" s="7" t="s">
        <v>580</v>
      </c>
      <c r="B135" s="26" t="n">
        <v>45711</v>
      </c>
      <c r="C135" s="26" t="n">
        <v>45716</v>
      </c>
      <c r="D135" s="7" t="s">
        <v>581</v>
      </c>
      <c r="E135" s="7" t="s">
        <v>582</v>
      </c>
      <c r="F135" s="7" t="s">
        <v>159</v>
      </c>
      <c r="G135" s="7" t="s">
        <v>323</v>
      </c>
      <c r="H135" s="7" t="s">
        <v>324</v>
      </c>
      <c r="I135" s="7" t="s">
        <v>162</v>
      </c>
      <c r="J135" s="7" t="s">
        <v>325</v>
      </c>
      <c r="K135" s="7" t="s">
        <v>583</v>
      </c>
      <c r="L135" s="7" t="s">
        <v>584</v>
      </c>
      <c r="M135" s="7" t="n">
        <v>3</v>
      </c>
      <c r="N135" s="27" t="n">
        <v>1499</v>
      </c>
      <c r="O135" s="28" t="n">
        <v>0.4</v>
      </c>
      <c r="P135" s="27" t="n">
        <v>2698</v>
      </c>
      <c r="Q135" s="27" t="n">
        <v>2250</v>
      </c>
      <c r="R135" s="27" t="n">
        <v>448</v>
      </c>
      <c r="S135" s="7" t="s">
        <v>60</v>
      </c>
      <c r="T135" s="7" t="str">
        <f aca="false">IF(O135=0,"No discount",IF(O135&lt;=0.2,"Up to 20%","Above 20%"))</f>
        <v>Above 20%</v>
      </c>
    </row>
    <row r="136" customFormat="false" ht="15" hidden="false" customHeight="true" outlineLevel="0" collapsed="false">
      <c r="A136" s="7" t="s">
        <v>585</v>
      </c>
      <c r="B136" s="26" t="n">
        <v>45711</v>
      </c>
      <c r="C136" s="26" t="n">
        <v>45714</v>
      </c>
      <c r="D136" s="7" t="s">
        <v>496</v>
      </c>
      <c r="E136" s="7" t="s">
        <v>497</v>
      </c>
      <c r="F136" s="7" t="s">
        <v>178</v>
      </c>
      <c r="G136" s="7" t="s">
        <v>169</v>
      </c>
      <c r="H136" s="7" t="s">
        <v>179</v>
      </c>
      <c r="I136" s="7" t="s">
        <v>199</v>
      </c>
      <c r="J136" s="7" t="s">
        <v>200</v>
      </c>
      <c r="K136" s="7" t="s">
        <v>201</v>
      </c>
      <c r="L136" s="7" t="s">
        <v>202</v>
      </c>
      <c r="M136" s="7" t="n">
        <v>1</v>
      </c>
      <c r="N136" s="27" t="n">
        <v>399</v>
      </c>
      <c r="O136" s="28" t="n">
        <v>0.2</v>
      </c>
      <c r="P136" s="27" t="n">
        <v>319</v>
      </c>
      <c r="Q136" s="27" t="n">
        <v>160</v>
      </c>
      <c r="R136" s="27" t="n">
        <v>159</v>
      </c>
      <c r="S136" s="7" t="s">
        <v>60</v>
      </c>
      <c r="T136" s="7" t="str">
        <f aca="false">IF(O136=0,"No discount",IF(O136&lt;=0.2,"Up to 20%","Above 20%"))</f>
        <v>Up to 20%</v>
      </c>
    </row>
    <row r="137" customFormat="false" ht="15" hidden="false" customHeight="true" outlineLevel="0" collapsed="false">
      <c r="A137" s="7" t="s">
        <v>586</v>
      </c>
      <c r="B137" s="26" t="n">
        <v>45713</v>
      </c>
      <c r="C137" s="26" t="n">
        <v>45715</v>
      </c>
      <c r="D137" s="7" t="s">
        <v>258</v>
      </c>
      <c r="E137" s="7" t="s">
        <v>259</v>
      </c>
      <c r="F137" s="7" t="s">
        <v>159</v>
      </c>
      <c r="G137" s="7" t="s">
        <v>206</v>
      </c>
      <c r="H137" s="7" t="s">
        <v>207</v>
      </c>
      <c r="I137" s="7" t="s">
        <v>171</v>
      </c>
      <c r="J137" s="7" t="s">
        <v>304</v>
      </c>
      <c r="K137" s="7" t="s">
        <v>305</v>
      </c>
      <c r="L137" s="7" t="s">
        <v>306</v>
      </c>
      <c r="M137" s="7" t="n">
        <v>2</v>
      </c>
      <c r="N137" s="27" t="n">
        <v>2999</v>
      </c>
      <c r="O137" s="28" t="n">
        <v>0.2</v>
      </c>
      <c r="P137" s="27" t="n">
        <v>4798</v>
      </c>
      <c r="Q137" s="27" t="n">
        <v>4000</v>
      </c>
      <c r="R137" s="27" t="n">
        <v>798</v>
      </c>
      <c r="S137" s="7" t="s">
        <v>60</v>
      </c>
      <c r="T137" s="7" t="str">
        <f aca="false">IF(O137=0,"No discount",IF(O137&lt;=0.2,"Up to 20%","Above 20%"))</f>
        <v>Up to 20%</v>
      </c>
    </row>
    <row r="138" customFormat="false" ht="15" hidden="false" customHeight="true" outlineLevel="0" collapsed="false">
      <c r="A138" s="7" t="s">
        <v>587</v>
      </c>
      <c r="B138" s="26" t="n">
        <v>45713</v>
      </c>
      <c r="C138" s="26" t="n">
        <v>45715</v>
      </c>
      <c r="D138" s="7" t="s">
        <v>588</v>
      </c>
      <c r="E138" s="7" t="s">
        <v>589</v>
      </c>
      <c r="F138" s="7" t="s">
        <v>219</v>
      </c>
      <c r="G138" s="7" t="s">
        <v>206</v>
      </c>
      <c r="H138" s="7" t="s">
        <v>207</v>
      </c>
      <c r="I138" s="7" t="s">
        <v>199</v>
      </c>
      <c r="J138" s="7" t="s">
        <v>292</v>
      </c>
      <c r="K138" s="7" t="s">
        <v>293</v>
      </c>
      <c r="L138" s="7" t="s">
        <v>294</v>
      </c>
      <c r="M138" s="7" t="n">
        <v>4</v>
      </c>
      <c r="N138" s="27" t="n">
        <v>1599</v>
      </c>
      <c r="O138" s="28" t="n">
        <v>0.15</v>
      </c>
      <c r="P138" s="27" t="n">
        <v>5437</v>
      </c>
      <c r="Q138" s="27" t="n">
        <v>3000</v>
      </c>
      <c r="R138" s="27" t="n">
        <v>2437</v>
      </c>
      <c r="S138" s="7" t="s">
        <v>60</v>
      </c>
      <c r="T138" s="7" t="str">
        <f aca="false">IF(O138=0,"No discount",IF(O138&lt;=0.2,"Up to 20%","Above 20%"))</f>
        <v>Up to 20%</v>
      </c>
    </row>
    <row r="139" customFormat="false" ht="15" hidden="false" customHeight="true" outlineLevel="0" collapsed="false">
      <c r="A139" s="7" t="s">
        <v>590</v>
      </c>
      <c r="B139" s="26" t="n">
        <v>45713</v>
      </c>
      <c r="C139" s="26" t="n">
        <v>45719</v>
      </c>
      <c r="D139" s="7" t="s">
        <v>591</v>
      </c>
      <c r="E139" s="7" t="s">
        <v>592</v>
      </c>
      <c r="F139" s="7" t="s">
        <v>159</v>
      </c>
      <c r="G139" s="7" t="s">
        <v>169</v>
      </c>
      <c r="H139" s="7" t="s">
        <v>179</v>
      </c>
      <c r="I139" s="7" t="s">
        <v>171</v>
      </c>
      <c r="J139" s="7" t="s">
        <v>172</v>
      </c>
      <c r="K139" s="7" t="s">
        <v>593</v>
      </c>
      <c r="L139" s="7" t="s">
        <v>594</v>
      </c>
      <c r="M139" s="7" t="n">
        <v>2</v>
      </c>
      <c r="N139" s="27" t="n">
        <v>1199</v>
      </c>
      <c r="O139" s="28" t="n">
        <v>0.2</v>
      </c>
      <c r="P139" s="27" t="n">
        <v>1918</v>
      </c>
      <c r="Q139" s="27" t="n">
        <v>1300</v>
      </c>
      <c r="R139" s="27" t="n">
        <v>618</v>
      </c>
      <c r="S139" s="7" t="s">
        <v>60</v>
      </c>
      <c r="T139" s="7" t="str">
        <f aca="false">IF(O139=0,"No discount",IF(O139&lt;=0.2,"Up to 20%","Above 20%"))</f>
        <v>Up to 20%</v>
      </c>
    </row>
    <row r="140" customFormat="false" ht="15" hidden="false" customHeight="true" outlineLevel="0" collapsed="false">
      <c r="A140" s="7" t="s">
        <v>595</v>
      </c>
      <c r="B140" s="26" t="n">
        <v>45714</v>
      </c>
      <c r="C140" s="26" t="n">
        <v>45721</v>
      </c>
      <c r="D140" s="7" t="s">
        <v>249</v>
      </c>
      <c r="E140" s="7" t="s">
        <v>250</v>
      </c>
      <c r="F140" s="7" t="s">
        <v>159</v>
      </c>
      <c r="G140" s="7" t="s">
        <v>169</v>
      </c>
      <c r="H140" s="7" t="s">
        <v>191</v>
      </c>
      <c r="I140" s="7" t="s">
        <v>171</v>
      </c>
      <c r="J140" s="7" t="s">
        <v>304</v>
      </c>
      <c r="K140" s="7" t="s">
        <v>499</v>
      </c>
      <c r="L140" s="7" t="s">
        <v>500</v>
      </c>
      <c r="M140" s="7" t="n">
        <v>1</v>
      </c>
      <c r="N140" s="27" t="n">
        <v>5499</v>
      </c>
      <c r="O140" s="28" t="n">
        <v>0</v>
      </c>
      <c r="P140" s="27" t="n">
        <v>5499</v>
      </c>
      <c r="Q140" s="27" t="n">
        <v>3900</v>
      </c>
      <c r="R140" s="27" t="n">
        <v>1599</v>
      </c>
      <c r="S140" s="7" t="s">
        <v>60</v>
      </c>
      <c r="T140" s="7" t="str">
        <f aca="false">IF(O140=0,"No discount",IF(O140&lt;=0.2,"Up to 20%","Above 20%"))</f>
        <v>No discount</v>
      </c>
    </row>
    <row r="141" customFormat="false" ht="15" hidden="false" customHeight="true" outlineLevel="0" collapsed="false">
      <c r="A141" s="7" t="s">
        <v>596</v>
      </c>
      <c r="B141" s="26" t="n">
        <v>45714</v>
      </c>
      <c r="C141" s="26" t="n">
        <v>45717</v>
      </c>
      <c r="D141" s="7" t="s">
        <v>597</v>
      </c>
      <c r="E141" s="7" t="s">
        <v>598</v>
      </c>
      <c r="F141" s="7" t="s">
        <v>159</v>
      </c>
      <c r="G141" s="7" t="s">
        <v>160</v>
      </c>
      <c r="H141" s="7" t="s">
        <v>269</v>
      </c>
      <c r="I141" s="7" t="s">
        <v>208</v>
      </c>
      <c r="J141" s="7" t="s">
        <v>421</v>
      </c>
      <c r="K141" s="7" t="s">
        <v>422</v>
      </c>
      <c r="L141" s="7" t="s">
        <v>423</v>
      </c>
      <c r="M141" s="7" t="n">
        <v>1</v>
      </c>
      <c r="N141" s="27" t="n">
        <v>5999</v>
      </c>
      <c r="O141" s="28" t="n">
        <v>0.15</v>
      </c>
      <c r="P141" s="27" t="n">
        <v>5099</v>
      </c>
      <c r="Q141" s="27" t="n">
        <v>4300</v>
      </c>
      <c r="R141" s="27" t="n">
        <v>799</v>
      </c>
      <c r="S141" s="7" t="s">
        <v>60</v>
      </c>
      <c r="T141" s="7" t="str">
        <f aca="false">IF(O141=0,"No discount",IF(O141&lt;=0.2,"Up to 20%","Above 20%"))</f>
        <v>Up to 20%</v>
      </c>
    </row>
    <row r="142" customFormat="false" ht="15" hidden="false" customHeight="true" outlineLevel="0" collapsed="false">
      <c r="A142" s="7" t="s">
        <v>599</v>
      </c>
      <c r="B142" s="26" t="n">
        <v>45714</v>
      </c>
      <c r="C142" s="26" t="n">
        <v>45715</v>
      </c>
      <c r="D142" s="7" t="s">
        <v>520</v>
      </c>
      <c r="E142" s="7" t="s">
        <v>521</v>
      </c>
      <c r="F142" s="7" t="s">
        <v>159</v>
      </c>
      <c r="G142" s="7" t="s">
        <v>169</v>
      </c>
      <c r="H142" s="7" t="s">
        <v>179</v>
      </c>
      <c r="I142" s="7" t="s">
        <v>282</v>
      </c>
      <c r="J142" s="7" t="s">
        <v>283</v>
      </c>
      <c r="K142" s="7" t="s">
        <v>284</v>
      </c>
      <c r="L142" s="7" t="s">
        <v>285</v>
      </c>
      <c r="M142" s="7" t="n">
        <v>3</v>
      </c>
      <c r="N142" s="27" t="n">
        <v>199</v>
      </c>
      <c r="O142" s="28" t="n">
        <v>0.05</v>
      </c>
      <c r="P142" s="27" t="n">
        <v>567</v>
      </c>
      <c r="Q142" s="27" t="n">
        <v>270</v>
      </c>
      <c r="R142" s="27" t="n">
        <v>297</v>
      </c>
      <c r="S142" s="7" t="s">
        <v>60</v>
      </c>
      <c r="T142" s="7" t="str">
        <f aca="false">IF(O142=0,"No discount",IF(O142&lt;=0.2,"Up to 20%","Above 20%"))</f>
        <v>Up to 20%</v>
      </c>
    </row>
    <row r="143" customFormat="false" ht="15" hidden="false" customHeight="true" outlineLevel="0" collapsed="false">
      <c r="A143" s="7" t="s">
        <v>600</v>
      </c>
      <c r="B143" s="26" t="n">
        <v>45714</v>
      </c>
      <c r="C143" s="26" t="n">
        <v>45718</v>
      </c>
      <c r="D143" s="7" t="s">
        <v>601</v>
      </c>
      <c r="E143" s="7" t="s">
        <v>602</v>
      </c>
      <c r="F143" s="7" t="s">
        <v>159</v>
      </c>
      <c r="G143" s="7" t="s">
        <v>160</v>
      </c>
      <c r="H143" s="7" t="s">
        <v>263</v>
      </c>
      <c r="I143" s="7" t="s">
        <v>171</v>
      </c>
      <c r="J143" s="7" t="s">
        <v>172</v>
      </c>
      <c r="K143" s="7" t="s">
        <v>173</v>
      </c>
      <c r="L143" s="7" t="s">
        <v>174</v>
      </c>
      <c r="M143" s="7" t="n">
        <v>1</v>
      </c>
      <c r="N143" s="27" t="n">
        <v>699</v>
      </c>
      <c r="O143" s="28" t="n">
        <v>0</v>
      </c>
      <c r="P143" s="27" t="n">
        <v>699</v>
      </c>
      <c r="Q143" s="27" t="n">
        <v>320</v>
      </c>
      <c r="R143" s="27" t="n">
        <v>379</v>
      </c>
      <c r="S143" s="7" t="s">
        <v>60</v>
      </c>
      <c r="T143" s="7" t="str">
        <f aca="false">IF(O143=0,"No discount",IF(O143&lt;=0.2,"Up to 20%","Above 20%"))</f>
        <v>No discount</v>
      </c>
    </row>
    <row r="144" customFormat="false" ht="15" hidden="false" customHeight="true" outlineLevel="0" collapsed="false">
      <c r="A144" s="7" t="s">
        <v>603</v>
      </c>
      <c r="B144" s="26" t="n">
        <v>45714</v>
      </c>
      <c r="C144" s="26" t="n">
        <v>45715</v>
      </c>
      <c r="D144" s="7" t="s">
        <v>604</v>
      </c>
      <c r="E144" s="7" t="s">
        <v>605</v>
      </c>
      <c r="F144" s="7" t="s">
        <v>159</v>
      </c>
      <c r="G144" s="7" t="s">
        <v>206</v>
      </c>
      <c r="H144" s="7" t="s">
        <v>207</v>
      </c>
      <c r="I144" s="7" t="s">
        <v>192</v>
      </c>
      <c r="J144" s="7" t="s">
        <v>213</v>
      </c>
      <c r="K144" s="7" t="s">
        <v>264</v>
      </c>
      <c r="L144" s="7" t="s">
        <v>265</v>
      </c>
      <c r="M144" s="7" t="n">
        <v>4</v>
      </c>
      <c r="N144" s="27" t="n">
        <v>2499</v>
      </c>
      <c r="O144" s="28" t="n">
        <v>0.4</v>
      </c>
      <c r="P144" s="27" t="n">
        <v>5998</v>
      </c>
      <c r="Q144" s="27" t="n">
        <v>6800</v>
      </c>
      <c r="R144" s="27" t="n">
        <v>-802</v>
      </c>
      <c r="S144" s="7" t="s">
        <v>60</v>
      </c>
      <c r="T144" s="7" t="str">
        <f aca="false">IF(O144=0,"No discount",IF(O144&lt;=0.2,"Up to 20%","Above 20%"))</f>
        <v>Above 20%</v>
      </c>
    </row>
    <row r="145" customFormat="false" ht="15" hidden="false" customHeight="true" outlineLevel="0" collapsed="false">
      <c r="A145" s="7" t="s">
        <v>606</v>
      </c>
      <c r="B145" s="26" t="n">
        <v>45715</v>
      </c>
      <c r="C145" s="26" t="n">
        <v>45717</v>
      </c>
      <c r="D145" s="7" t="s">
        <v>378</v>
      </c>
      <c r="E145" s="7" t="s">
        <v>379</v>
      </c>
      <c r="F145" s="7" t="s">
        <v>159</v>
      </c>
      <c r="G145" s="7" t="s">
        <v>160</v>
      </c>
      <c r="H145" s="7" t="s">
        <v>269</v>
      </c>
      <c r="I145" s="7" t="s">
        <v>192</v>
      </c>
      <c r="J145" s="7" t="s">
        <v>213</v>
      </c>
      <c r="K145" s="7" t="s">
        <v>214</v>
      </c>
      <c r="L145" s="7" t="s">
        <v>215</v>
      </c>
      <c r="M145" s="7" t="n">
        <v>2</v>
      </c>
      <c r="N145" s="27" t="n">
        <v>5999</v>
      </c>
      <c r="O145" s="28" t="n">
        <v>0.3</v>
      </c>
      <c r="P145" s="27" t="n">
        <v>8399</v>
      </c>
      <c r="Q145" s="27" t="n">
        <v>9200</v>
      </c>
      <c r="R145" s="27" t="n">
        <v>-801</v>
      </c>
      <c r="S145" s="7" t="s">
        <v>60</v>
      </c>
      <c r="T145" s="7" t="str">
        <f aca="false">IF(O145=0,"No discount",IF(O145&lt;=0.2,"Up to 20%","Above 20%"))</f>
        <v>Above 20%</v>
      </c>
    </row>
    <row r="146" customFormat="false" ht="15" hidden="false" customHeight="true" outlineLevel="0" collapsed="false">
      <c r="A146" s="7" t="s">
        <v>607</v>
      </c>
      <c r="B146" s="26" t="n">
        <v>45715</v>
      </c>
      <c r="C146" s="26" t="n">
        <v>45721</v>
      </c>
      <c r="D146" s="7" t="s">
        <v>447</v>
      </c>
      <c r="E146" s="7" t="s">
        <v>448</v>
      </c>
      <c r="F146" s="7" t="s">
        <v>159</v>
      </c>
      <c r="G146" s="7" t="s">
        <v>206</v>
      </c>
      <c r="H146" s="7" t="s">
        <v>207</v>
      </c>
      <c r="I146" s="7" t="s">
        <v>282</v>
      </c>
      <c r="J146" s="7" t="s">
        <v>387</v>
      </c>
      <c r="K146" s="7" t="s">
        <v>388</v>
      </c>
      <c r="L146" s="7" t="s">
        <v>389</v>
      </c>
      <c r="M146" s="7" t="n">
        <v>4</v>
      </c>
      <c r="N146" s="27" t="n">
        <v>1299</v>
      </c>
      <c r="O146" s="28" t="n">
        <v>0.1</v>
      </c>
      <c r="P146" s="27" t="n">
        <v>4676</v>
      </c>
      <c r="Q146" s="27" t="n">
        <v>3120</v>
      </c>
      <c r="R146" s="27" t="n">
        <v>1556</v>
      </c>
      <c r="S146" s="7" t="s">
        <v>60</v>
      </c>
      <c r="T146" s="7" t="str">
        <f aca="false">IF(O146=0,"No discount",IF(O146&lt;=0.2,"Up to 20%","Above 20%"))</f>
        <v>Up to 20%</v>
      </c>
    </row>
    <row r="147" customFormat="false" ht="15" hidden="false" customHeight="true" outlineLevel="0" collapsed="false">
      <c r="A147" s="7" t="s">
        <v>608</v>
      </c>
      <c r="B147" s="26" t="n">
        <v>45715</v>
      </c>
      <c r="C147" s="26" t="n">
        <v>45717</v>
      </c>
      <c r="D147" s="7" t="s">
        <v>450</v>
      </c>
      <c r="E147" s="7" t="s">
        <v>451</v>
      </c>
      <c r="F147" s="7" t="s">
        <v>159</v>
      </c>
      <c r="G147" s="7" t="s">
        <v>206</v>
      </c>
      <c r="H147" s="7" t="s">
        <v>207</v>
      </c>
      <c r="I147" s="7" t="s">
        <v>192</v>
      </c>
      <c r="J147" s="7" t="s">
        <v>213</v>
      </c>
      <c r="K147" s="7" t="s">
        <v>264</v>
      </c>
      <c r="L147" s="7" t="s">
        <v>265</v>
      </c>
      <c r="M147" s="7" t="n">
        <v>1</v>
      </c>
      <c r="N147" s="27" t="n">
        <v>2499</v>
      </c>
      <c r="O147" s="28" t="n">
        <v>0.4</v>
      </c>
      <c r="P147" s="27" t="n">
        <v>1499</v>
      </c>
      <c r="Q147" s="27" t="n">
        <v>1700</v>
      </c>
      <c r="R147" s="27" t="n">
        <v>-201</v>
      </c>
      <c r="S147" s="7" t="s">
        <v>60</v>
      </c>
      <c r="T147" s="7" t="str">
        <f aca="false">IF(O147=0,"No discount",IF(O147&lt;=0.2,"Up to 20%","Above 20%"))</f>
        <v>Above 20%</v>
      </c>
    </row>
    <row r="148" customFormat="false" ht="15" hidden="false" customHeight="true" outlineLevel="0" collapsed="false">
      <c r="A148" s="7" t="s">
        <v>609</v>
      </c>
      <c r="B148" s="26" t="n">
        <v>45715</v>
      </c>
      <c r="C148" s="26" t="n">
        <v>45721</v>
      </c>
      <c r="D148" s="7" t="s">
        <v>563</v>
      </c>
      <c r="E148" s="7" t="s">
        <v>564</v>
      </c>
      <c r="F148" s="7" t="s">
        <v>178</v>
      </c>
      <c r="G148" s="7" t="s">
        <v>160</v>
      </c>
      <c r="H148" s="7" t="s">
        <v>269</v>
      </c>
      <c r="I148" s="7" t="s">
        <v>208</v>
      </c>
      <c r="J148" s="7" t="s">
        <v>232</v>
      </c>
      <c r="K148" s="7" t="s">
        <v>233</v>
      </c>
      <c r="L148" s="7" t="s">
        <v>234</v>
      </c>
      <c r="M148" s="7" t="n">
        <v>1</v>
      </c>
      <c r="N148" s="27" t="n">
        <v>7999</v>
      </c>
      <c r="O148" s="28" t="n">
        <v>0.1</v>
      </c>
      <c r="P148" s="27" t="n">
        <v>7199</v>
      </c>
      <c r="Q148" s="27" t="n">
        <v>5600</v>
      </c>
      <c r="R148" s="27" t="n">
        <v>1599</v>
      </c>
      <c r="S148" s="7" t="s">
        <v>60</v>
      </c>
      <c r="T148" s="7" t="str">
        <f aca="false">IF(O148=0,"No discount",IF(O148&lt;=0.2,"Up to 20%","Above 20%"))</f>
        <v>Up to 20%</v>
      </c>
    </row>
    <row r="149" customFormat="false" ht="15" hidden="false" customHeight="true" outlineLevel="0" collapsed="false">
      <c r="A149" s="7" t="s">
        <v>610</v>
      </c>
      <c r="B149" s="26" t="n">
        <v>45716</v>
      </c>
      <c r="C149" s="26" t="n">
        <v>45723</v>
      </c>
      <c r="D149" s="7" t="s">
        <v>375</v>
      </c>
      <c r="E149" s="7" t="s">
        <v>376</v>
      </c>
      <c r="F149" s="7" t="s">
        <v>159</v>
      </c>
      <c r="G149" s="7" t="s">
        <v>160</v>
      </c>
      <c r="H149" s="7" t="s">
        <v>269</v>
      </c>
      <c r="I149" s="7" t="s">
        <v>199</v>
      </c>
      <c r="J149" s="7" t="s">
        <v>200</v>
      </c>
      <c r="K149" s="7" t="s">
        <v>201</v>
      </c>
      <c r="L149" s="7" t="s">
        <v>202</v>
      </c>
      <c r="M149" s="7" t="n">
        <v>2</v>
      </c>
      <c r="N149" s="27" t="n">
        <v>399</v>
      </c>
      <c r="O149" s="28" t="n">
        <v>0</v>
      </c>
      <c r="P149" s="27" t="n">
        <v>798</v>
      </c>
      <c r="Q149" s="27" t="n">
        <v>320</v>
      </c>
      <c r="R149" s="27" t="n">
        <v>478</v>
      </c>
      <c r="S149" s="7" t="s">
        <v>60</v>
      </c>
      <c r="T149" s="7" t="str">
        <f aca="false">IF(O149=0,"No discount",IF(O149&lt;=0.2,"Up to 20%","Above 20%"))</f>
        <v>No discount</v>
      </c>
    </row>
    <row r="150" customFormat="false" ht="15" hidden="false" customHeight="true" outlineLevel="0" collapsed="false">
      <c r="A150" s="7" t="s">
        <v>611</v>
      </c>
      <c r="B150" s="26" t="n">
        <v>45716</v>
      </c>
      <c r="C150" s="26" t="n">
        <v>45721</v>
      </c>
      <c r="D150" s="7" t="s">
        <v>597</v>
      </c>
      <c r="E150" s="7" t="s">
        <v>598</v>
      </c>
      <c r="F150" s="7" t="s">
        <v>159</v>
      </c>
      <c r="G150" s="7" t="s">
        <v>160</v>
      </c>
      <c r="H150" s="7" t="s">
        <v>269</v>
      </c>
      <c r="I150" s="7" t="s">
        <v>192</v>
      </c>
      <c r="J150" s="7" t="s">
        <v>213</v>
      </c>
      <c r="K150" s="7" t="s">
        <v>264</v>
      </c>
      <c r="L150" s="7" t="s">
        <v>265</v>
      </c>
      <c r="M150" s="7" t="n">
        <v>3</v>
      </c>
      <c r="N150" s="27" t="n">
        <v>2499</v>
      </c>
      <c r="O150" s="28" t="n">
        <v>0.2</v>
      </c>
      <c r="P150" s="27" t="n">
        <v>5998</v>
      </c>
      <c r="Q150" s="27" t="n">
        <v>5100</v>
      </c>
      <c r="R150" s="27" t="n">
        <v>898</v>
      </c>
      <c r="S150" s="7" t="s">
        <v>60</v>
      </c>
      <c r="T150" s="7" t="str">
        <f aca="false">IF(O150=0,"No discount",IF(O150&lt;=0.2,"Up to 20%","Above 20%"))</f>
        <v>Up to 20%</v>
      </c>
    </row>
    <row r="151" customFormat="false" ht="15" hidden="false" customHeight="true" outlineLevel="0" collapsed="false">
      <c r="A151" s="7" t="s">
        <v>612</v>
      </c>
      <c r="B151" s="26" t="n">
        <v>45717</v>
      </c>
      <c r="C151" s="26" t="n">
        <v>45719</v>
      </c>
      <c r="D151" s="7" t="s">
        <v>613</v>
      </c>
      <c r="E151" s="7" t="s">
        <v>614</v>
      </c>
      <c r="F151" s="7" t="s">
        <v>219</v>
      </c>
      <c r="G151" s="7" t="s">
        <v>169</v>
      </c>
      <c r="H151" s="7" t="s">
        <v>191</v>
      </c>
      <c r="I151" s="7" t="s">
        <v>162</v>
      </c>
      <c r="J151" s="7" t="s">
        <v>163</v>
      </c>
      <c r="K151" s="7" t="s">
        <v>507</v>
      </c>
      <c r="L151" s="7" t="s">
        <v>508</v>
      </c>
      <c r="M151" s="7" t="n">
        <v>2</v>
      </c>
      <c r="N151" s="27" t="n">
        <v>1199</v>
      </c>
      <c r="O151" s="28" t="n">
        <v>0.4</v>
      </c>
      <c r="P151" s="27" t="n">
        <v>1439</v>
      </c>
      <c r="Q151" s="27" t="n">
        <v>1200</v>
      </c>
      <c r="R151" s="27" t="n">
        <v>239</v>
      </c>
      <c r="S151" s="7" t="s">
        <v>60</v>
      </c>
      <c r="T151" s="7" t="str">
        <f aca="false">IF(O151=0,"No discount",IF(O151&lt;=0.2,"Up to 20%","Above 20%"))</f>
        <v>Above 20%</v>
      </c>
    </row>
    <row r="152" customFormat="false" ht="15" hidden="false" customHeight="true" outlineLevel="0" collapsed="false">
      <c r="A152" s="7" t="s">
        <v>615</v>
      </c>
      <c r="B152" s="26" t="n">
        <v>45717</v>
      </c>
      <c r="C152" s="26" t="n">
        <v>45720</v>
      </c>
      <c r="D152" s="7" t="s">
        <v>375</v>
      </c>
      <c r="E152" s="7" t="s">
        <v>376</v>
      </c>
      <c r="F152" s="7" t="s">
        <v>159</v>
      </c>
      <c r="G152" s="7" t="s">
        <v>160</v>
      </c>
      <c r="H152" s="7" t="s">
        <v>269</v>
      </c>
      <c r="I152" s="7" t="s">
        <v>208</v>
      </c>
      <c r="J152" s="7" t="s">
        <v>421</v>
      </c>
      <c r="K152" s="7" t="s">
        <v>422</v>
      </c>
      <c r="L152" s="7" t="s">
        <v>423</v>
      </c>
      <c r="M152" s="7" t="n">
        <v>1</v>
      </c>
      <c r="N152" s="27" t="n">
        <v>5999</v>
      </c>
      <c r="O152" s="28" t="n">
        <v>0</v>
      </c>
      <c r="P152" s="27" t="n">
        <v>5999</v>
      </c>
      <c r="Q152" s="27" t="n">
        <v>4300</v>
      </c>
      <c r="R152" s="27" t="n">
        <v>1699</v>
      </c>
      <c r="S152" s="7" t="s">
        <v>60</v>
      </c>
      <c r="T152" s="7" t="str">
        <f aca="false">IF(O152=0,"No discount",IF(O152&lt;=0.2,"Up to 20%","Above 20%"))</f>
        <v>No discount</v>
      </c>
    </row>
    <row r="153" customFormat="false" ht="15" hidden="false" customHeight="true" outlineLevel="0" collapsed="false">
      <c r="A153" s="7" t="s">
        <v>616</v>
      </c>
      <c r="B153" s="26" t="n">
        <v>45718</v>
      </c>
      <c r="C153" s="26" t="n">
        <v>45721</v>
      </c>
      <c r="D153" s="7" t="s">
        <v>241</v>
      </c>
      <c r="E153" s="7" t="s">
        <v>242</v>
      </c>
      <c r="F153" s="7" t="s">
        <v>159</v>
      </c>
      <c r="G153" s="7" t="s">
        <v>206</v>
      </c>
      <c r="H153" s="7" t="s">
        <v>207</v>
      </c>
      <c r="I153" s="7" t="s">
        <v>199</v>
      </c>
      <c r="J153" s="7" t="s">
        <v>200</v>
      </c>
      <c r="K153" s="7" t="s">
        <v>201</v>
      </c>
      <c r="L153" s="7" t="s">
        <v>202</v>
      </c>
      <c r="M153" s="7" t="n">
        <v>1</v>
      </c>
      <c r="N153" s="27" t="n">
        <v>399</v>
      </c>
      <c r="O153" s="28" t="n">
        <v>0.1</v>
      </c>
      <c r="P153" s="27" t="n">
        <v>359</v>
      </c>
      <c r="Q153" s="27" t="n">
        <v>160</v>
      </c>
      <c r="R153" s="27" t="n">
        <v>199</v>
      </c>
      <c r="S153" s="7" t="s">
        <v>60</v>
      </c>
      <c r="T153" s="7" t="str">
        <f aca="false">IF(O153=0,"No discount",IF(O153&lt;=0.2,"Up to 20%","Above 20%"))</f>
        <v>Up to 20%</v>
      </c>
    </row>
    <row r="154" customFormat="false" ht="15" hidden="false" customHeight="true" outlineLevel="0" collapsed="false">
      <c r="A154" s="7" t="s">
        <v>617</v>
      </c>
      <c r="B154" s="26" t="n">
        <v>45718</v>
      </c>
      <c r="C154" s="26" t="n">
        <v>45723</v>
      </c>
      <c r="D154" s="7" t="s">
        <v>618</v>
      </c>
      <c r="E154" s="7" t="s">
        <v>619</v>
      </c>
      <c r="F154" s="7" t="s">
        <v>219</v>
      </c>
      <c r="G154" s="7" t="s">
        <v>169</v>
      </c>
      <c r="H154" s="7" t="s">
        <v>191</v>
      </c>
      <c r="I154" s="7" t="s">
        <v>171</v>
      </c>
      <c r="J154" s="7" t="s">
        <v>172</v>
      </c>
      <c r="K154" s="7" t="s">
        <v>173</v>
      </c>
      <c r="L154" s="7" t="s">
        <v>174</v>
      </c>
      <c r="M154" s="7" t="n">
        <v>1</v>
      </c>
      <c r="N154" s="27" t="n">
        <v>699</v>
      </c>
      <c r="O154" s="28" t="n">
        <v>0.1</v>
      </c>
      <c r="P154" s="27" t="n">
        <v>629</v>
      </c>
      <c r="Q154" s="27" t="n">
        <v>320</v>
      </c>
      <c r="R154" s="27" t="n">
        <v>309</v>
      </c>
      <c r="S154" s="7" t="s">
        <v>60</v>
      </c>
      <c r="T154" s="7" t="str">
        <f aca="false">IF(O154=0,"No discount",IF(O154&lt;=0.2,"Up to 20%","Above 20%"))</f>
        <v>Up to 20%</v>
      </c>
    </row>
    <row r="155" customFormat="false" ht="15" hidden="false" customHeight="true" outlineLevel="0" collapsed="false">
      <c r="A155" s="7" t="s">
        <v>620</v>
      </c>
      <c r="B155" s="26" t="n">
        <v>45719</v>
      </c>
      <c r="C155" s="26" t="n">
        <v>45722</v>
      </c>
      <c r="D155" s="7" t="s">
        <v>621</v>
      </c>
      <c r="E155" s="7" t="s">
        <v>622</v>
      </c>
      <c r="F155" s="7" t="s">
        <v>219</v>
      </c>
      <c r="G155" s="7" t="s">
        <v>323</v>
      </c>
      <c r="H155" s="7" t="s">
        <v>324</v>
      </c>
      <c r="I155" s="7" t="s">
        <v>171</v>
      </c>
      <c r="J155" s="7" t="s">
        <v>304</v>
      </c>
      <c r="K155" s="7" t="s">
        <v>305</v>
      </c>
      <c r="L155" s="7" t="s">
        <v>306</v>
      </c>
      <c r="M155" s="7" t="n">
        <v>3</v>
      </c>
      <c r="N155" s="27" t="n">
        <v>2999</v>
      </c>
      <c r="O155" s="28" t="n">
        <v>0</v>
      </c>
      <c r="P155" s="27" t="n">
        <v>8997</v>
      </c>
      <c r="Q155" s="27" t="n">
        <v>6000</v>
      </c>
      <c r="R155" s="27" t="n">
        <v>2997</v>
      </c>
      <c r="S155" s="7" t="s">
        <v>60</v>
      </c>
      <c r="T155" s="7" t="str">
        <f aca="false">IF(O155=0,"No discount",IF(O155&lt;=0.2,"Up to 20%","Above 20%"))</f>
        <v>No discount</v>
      </c>
    </row>
    <row r="156" customFormat="false" ht="15" hidden="false" customHeight="true" outlineLevel="0" collapsed="false">
      <c r="A156" s="7" t="s">
        <v>623</v>
      </c>
      <c r="B156" s="26" t="n">
        <v>45719</v>
      </c>
      <c r="C156" s="26" t="n">
        <v>45720</v>
      </c>
      <c r="D156" s="7" t="s">
        <v>441</v>
      </c>
      <c r="E156" s="7" t="s">
        <v>442</v>
      </c>
      <c r="F156" s="7" t="s">
        <v>159</v>
      </c>
      <c r="G156" s="7" t="s">
        <v>169</v>
      </c>
      <c r="H156" s="7" t="s">
        <v>191</v>
      </c>
      <c r="I156" s="7" t="s">
        <v>192</v>
      </c>
      <c r="J156" s="7" t="s">
        <v>213</v>
      </c>
      <c r="K156" s="7" t="s">
        <v>214</v>
      </c>
      <c r="L156" s="7" t="s">
        <v>215</v>
      </c>
      <c r="M156" s="7" t="n">
        <v>3</v>
      </c>
      <c r="N156" s="27" t="n">
        <v>5999</v>
      </c>
      <c r="O156" s="28" t="n">
        <v>0.4</v>
      </c>
      <c r="P156" s="27" t="n">
        <v>10798</v>
      </c>
      <c r="Q156" s="27" t="n">
        <v>13800</v>
      </c>
      <c r="R156" s="27" t="n">
        <v>-3002</v>
      </c>
      <c r="S156" s="7" t="s">
        <v>60</v>
      </c>
      <c r="T156" s="7" t="str">
        <f aca="false">IF(O156=0,"No discount",IF(O156&lt;=0.2,"Up to 20%","Above 20%"))</f>
        <v>Above 20%</v>
      </c>
    </row>
    <row r="157" customFormat="false" ht="15" hidden="false" customHeight="true" outlineLevel="0" collapsed="false">
      <c r="A157" s="7" t="s">
        <v>624</v>
      </c>
      <c r="B157" s="26" t="n">
        <v>45720</v>
      </c>
      <c r="C157" s="26" t="n">
        <v>45724</v>
      </c>
      <c r="D157" s="7" t="s">
        <v>333</v>
      </c>
      <c r="E157" s="7" t="s">
        <v>334</v>
      </c>
      <c r="F157" s="7" t="s">
        <v>159</v>
      </c>
      <c r="G157" s="7" t="s">
        <v>160</v>
      </c>
      <c r="H157" s="7" t="s">
        <v>263</v>
      </c>
      <c r="I157" s="7" t="s">
        <v>282</v>
      </c>
      <c r="J157" s="7" t="s">
        <v>427</v>
      </c>
      <c r="K157" s="7" t="s">
        <v>428</v>
      </c>
      <c r="L157" s="7" t="s">
        <v>429</v>
      </c>
      <c r="M157" s="7" t="n">
        <v>1</v>
      </c>
      <c r="N157" s="27" t="n">
        <v>149</v>
      </c>
      <c r="O157" s="28" t="n">
        <v>0</v>
      </c>
      <c r="P157" s="27" t="n">
        <v>149</v>
      </c>
      <c r="Q157" s="27" t="n">
        <v>70</v>
      </c>
      <c r="R157" s="27" t="n">
        <v>79</v>
      </c>
      <c r="S157" s="7" t="s">
        <v>60</v>
      </c>
      <c r="T157" s="7" t="str">
        <f aca="false">IF(O157=0,"No discount",IF(O157&lt;=0.2,"Up to 20%","Above 20%"))</f>
        <v>No discount</v>
      </c>
    </row>
    <row r="158" customFormat="false" ht="15" hidden="false" customHeight="true" outlineLevel="0" collapsed="false">
      <c r="A158" s="7" t="s">
        <v>625</v>
      </c>
      <c r="B158" s="26" t="n">
        <v>45721</v>
      </c>
      <c r="C158" s="26" t="n">
        <v>45726</v>
      </c>
      <c r="D158" s="7" t="s">
        <v>560</v>
      </c>
      <c r="E158" s="7" t="s">
        <v>561</v>
      </c>
      <c r="F158" s="7" t="s">
        <v>219</v>
      </c>
      <c r="G158" s="7" t="s">
        <v>160</v>
      </c>
      <c r="H158" s="7" t="s">
        <v>269</v>
      </c>
      <c r="I158" s="7" t="s">
        <v>192</v>
      </c>
      <c r="J158" s="7" t="s">
        <v>502</v>
      </c>
      <c r="K158" s="7" t="s">
        <v>526</v>
      </c>
      <c r="L158" s="7" t="s">
        <v>527</v>
      </c>
      <c r="M158" s="7" t="n">
        <v>1</v>
      </c>
      <c r="N158" s="27" t="n">
        <v>6499</v>
      </c>
      <c r="O158" s="28" t="n">
        <v>0.2</v>
      </c>
      <c r="P158" s="27" t="n">
        <v>5199</v>
      </c>
      <c r="Q158" s="27" t="n">
        <v>5000</v>
      </c>
      <c r="R158" s="27" t="n">
        <v>199</v>
      </c>
      <c r="S158" s="7" t="s">
        <v>60</v>
      </c>
      <c r="T158" s="7" t="str">
        <f aca="false">IF(O158=0,"No discount",IF(O158&lt;=0.2,"Up to 20%","Above 20%"))</f>
        <v>Up to 20%</v>
      </c>
    </row>
    <row r="159" customFormat="false" ht="15" hidden="false" customHeight="true" outlineLevel="0" collapsed="false">
      <c r="A159" s="7" t="s">
        <v>626</v>
      </c>
      <c r="B159" s="26" t="n">
        <v>45721</v>
      </c>
      <c r="C159" s="26" t="n">
        <v>45727</v>
      </c>
      <c r="D159" s="7" t="s">
        <v>627</v>
      </c>
      <c r="E159" s="7" t="s">
        <v>628</v>
      </c>
      <c r="F159" s="7" t="s">
        <v>219</v>
      </c>
      <c r="G159" s="7" t="s">
        <v>206</v>
      </c>
      <c r="H159" s="7" t="s">
        <v>207</v>
      </c>
      <c r="I159" s="7" t="s">
        <v>162</v>
      </c>
      <c r="J159" s="7" t="s">
        <v>325</v>
      </c>
      <c r="K159" s="7" t="s">
        <v>381</v>
      </c>
      <c r="L159" s="7" t="s">
        <v>382</v>
      </c>
      <c r="M159" s="7" t="n">
        <v>1</v>
      </c>
      <c r="N159" s="27" t="n">
        <v>1799</v>
      </c>
      <c r="O159" s="28" t="n">
        <v>0.4</v>
      </c>
      <c r="P159" s="27" t="n">
        <v>1079</v>
      </c>
      <c r="Q159" s="27" t="n">
        <v>950</v>
      </c>
      <c r="R159" s="27" t="n">
        <v>129</v>
      </c>
      <c r="S159" s="7" t="s">
        <v>60</v>
      </c>
      <c r="T159" s="7" t="str">
        <f aca="false">IF(O159=0,"No discount",IF(O159&lt;=0.2,"Up to 20%","Above 20%"))</f>
        <v>Above 20%</v>
      </c>
    </row>
    <row r="160" customFormat="false" ht="15" hidden="false" customHeight="true" outlineLevel="0" collapsed="false">
      <c r="A160" s="7" t="s">
        <v>629</v>
      </c>
      <c r="B160" s="26" t="n">
        <v>45722</v>
      </c>
      <c r="C160" s="26" t="n">
        <v>45727</v>
      </c>
      <c r="D160" s="7" t="s">
        <v>244</v>
      </c>
      <c r="E160" s="7" t="s">
        <v>245</v>
      </c>
      <c r="F160" s="7" t="s">
        <v>178</v>
      </c>
      <c r="G160" s="7" t="s">
        <v>206</v>
      </c>
      <c r="H160" s="7" t="s">
        <v>207</v>
      </c>
      <c r="I160" s="7" t="s">
        <v>192</v>
      </c>
      <c r="J160" s="7" t="s">
        <v>193</v>
      </c>
      <c r="K160" s="7" t="s">
        <v>194</v>
      </c>
      <c r="L160" s="7" t="s">
        <v>195</v>
      </c>
      <c r="M160" s="7" t="n">
        <v>2</v>
      </c>
      <c r="N160" s="27" t="n">
        <v>8999</v>
      </c>
      <c r="O160" s="28" t="n">
        <v>0</v>
      </c>
      <c r="P160" s="27" t="n">
        <v>17998</v>
      </c>
      <c r="Q160" s="27" t="n">
        <v>13600</v>
      </c>
      <c r="R160" s="27" t="n">
        <v>4398</v>
      </c>
      <c r="S160" s="7" t="s">
        <v>60</v>
      </c>
      <c r="T160" s="7" t="str">
        <f aca="false">IF(O160=0,"No discount",IF(O160&lt;=0.2,"Up to 20%","Above 20%"))</f>
        <v>No discount</v>
      </c>
    </row>
    <row r="161" customFormat="false" ht="15" hidden="false" customHeight="true" outlineLevel="0" collapsed="false">
      <c r="A161" s="7" t="s">
        <v>630</v>
      </c>
      <c r="B161" s="26" t="n">
        <v>45722</v>
      </c>
      <c r="C161" s="26" t="n">
        <v>45728</v>
      </c>
      <c r="D161" s="7" t="s">
        <v>345</v>
      </c>
      <c r="E161" s="7" t="s">
        <v>346</v>
      </c>
      <c r="F161" s="7" t="s">
        <v>159</v>
      </c>
      <c r="G161" s="7" t="s">
        <v>160</v>
      </c>
      <c r="H161" s="7" t="s">
        <v>161</v>
      </c>
      <c r="I161" s="7" t="s">
        <v>162</v>
      </c>
      <c r="J161" s="7" t="s">
        <v>185</v>
      </c>
      <c r="K161" s="7" t="s">
        <v>186</v>
      </c>
      <c r="L161" s="7" t="s">
        <v>187</v>
      </c>
      <c r="M161" s="7" t="n">
        <v>1</v>
      </c>
      <c r="N161" s="27" t="n">
        <v>3299</v>
      </c>
      <c r="O161" s="28" t="n">
        <v>0.3</v>
      </c>
      <c r="P161" s="27" t="n">
        <v>2309</v>
      </c>
      <c r="Q161" s="27" t="n">
        <v>1900</v>
      </c>
      <c r="R161" s="27" t="n">
        <v>409</v>
      </c>
      <c r="S161" s="7" t="s">
        <v>60</v>
      </c>
      <c r="T161" s="7" t="str">
        <f aca="false">IF(O161=0,"No discount",IF(O161&lt;=0.2,"Up to 20%","Above 20%"))</f>
        <v>Above 20%</v>
      </c>
    </row>
    <row r="162" customFormat="false" ht="15" hidden="false" customHeight="true" outlineLevel="0" collapsed="false">
      <c r="A162" s="7" t="s">
        <v>631</v>
      </c>
      <c r="B162" s="26" t="n">
        <v>45723</v>
      </c>
      <c r="C162" s="26" t="n">
        <v>45724</v>
      </c>
      <c r="D162" s="7" t="s">
        <v>277</v>
      </c>
      <c r="E162" s="7" t="s">
        <v>278</v>
      </c>
      <c r="F162" s="7" t="s">
        <v>159</v>
      </c>
      <c r="G162" s="7" t="s">
        <v>206</v>
      </c>
      <c r="H162" s="7" t="s">
        <v>207</v>
      </c>
      <c r="I162" s="7" t="s">
        <v>192</v>
      </c>
      <c r="J162" s="7" t="s">
        <v>193</v>
      </c>
      <c r="K162" s="7" t="s">
        <v>194</v>
      </c>
      <c r="L162" s="7" t="s">
        <v>195</v>
      </c>
      <c r="M162" s="7" t="n">
        <v>2</v>
      </c>
      <c r="N162" s="27" t="n">
        <v>8999</v>
      </c>
      <c r="O162" s="28" t="n">
        <v>0.3</v>
      </c>
      <c r="P162" s="27" t="n">
        <v>12599</v>
      </c>
      <c r="Q162" s="27" t="n">
        <v>13600</v>
      </c>
      <c r="R162" s="27" t="n">
        <v>-1001</v>
      </c>
      <c r="S162" s="7" t="s">
        <v>60</v>
      </c>
      <c r="T162" s="7" t="str">
        <f aca="false">IF(O162=0,"No discount",IF(O162&lt;=0.2,"Up to 20%","Above 20%"))</f>
        <v>Above 20%</v>
      </c>
    </row>
    <row r="163" customFormat="false" ht="15" hidden="false" customHeight="true" outlineLevel="0" collapsed="false">
      <c r="A163" s="7" t="s">
        <v>632</v>
      </c>
      <c r="B163" s="26" t="n">
        <v>45723</v>
      </c>
      <c r="C163" s="26" t="n">
        <v>45730</v>
      </c>
      <c r="D163" s="7" t="s">
        <v>271</v>
      </c>
      <c r="E163" s="7" t="s">
        <v>272</v>
      </c>
      <c r="F163" s="7" t="s">
        <v>159</v>
      </c>
      <c r="G163" s="7" t="s">
        <v>169</v>
      </c>
      <c r="H163" s="7" t="s">
        <v>179</v>
      </c>
      <c r="I163" s="7" t="s">
        <v>171</v>
      </c>
      <c r="J163" s="7" t="s">
        <v>172</v>
      </c>
      <c r="K163" s="7" t="s">
        <v>173</v>
      </c>
      <c r="L163" s="7" t="s">
        <v>174</v>
      </c>
      <c r="M163" s="7" t="n">
        <v>1</v>
      </c>
      <c r="N163" s="27" t="n">
        <v>699</v>
      </c>
      <c r="O163" s="28" t="n">
        <v>0</v>
      </c>
      <c r="P163" s="27" t="n">
        <v>699</v>
      </c>
      <c r="Q163" s="27" t="n">
        <v>320</v>
      </c>
      <c r="R163" s="27" t="n">
        <v>379</v>
      </c>
      <c r="S163" s="7" t="s">
        <v>60</v>
      </c>
      <c r="T163" s="7" t="str">
        <f aca="false">IF(O163=0,"No discount",IF(O163&lt;=0.2,"Up to 20%","Above 20%"))</f>
        <v>No discount</v>
      </c>
    </row>
    <row r="164" customFormat="false" ht="15" hidden="false" customHeight="true" outlineLevel="0" collapsed="false">
      <c r="A164" s="7" t="s">
        <v>633</v>
      </c>
      <c r="B164" s="26" t="n">
        <v>45723</v>
      </c>
      <c r="C164" s="26" t="n">
        <v>45725</v>
      </c>
      <c r="D164" s="7" t="s">
        <v>462</v>
      </c>
      <c r="E164" s="7" t="s">
        <v>463</v>
      </c>
      <c r="F164" s="7" t="s">
        <v>159</v>
      </c>
      <c r="G164" s="7" t="s">
        <v>169</v>
      </c>
      <c r="H164" s="7" t="s">
        <v>191</v>
      </c>
      <c r="I164" s="7" t="s">
        <v>162</v>
      </c>
      <c r="J164" s="7" t="s">
        <v>185</v>
      </c>
      <c r="K164" s="7" t="s">
        <v>186</v>
      </c>
      <c r="L164" s="7" t="s">
        <v>187</v>
      </c>
      <c r="M164" s="7" t="n">
        <v>2</v>
      </c>
      <c r="N164" s="27" t="n">
        <v>3299</v>
      </c>
      <c r="O164" s="28" t="n">
        <v>0.5</v>
      </c>
      <c r="P164" s="27" t="n">
        <v>3299</v>
      </c>
      <c r="Q164" s="27" t="n">
        <v>3800</v>
      </c>
      <c r="R164" s="27" t="n">
        <v>-501</v>
      </c>
      <c r="S164" s="7" t="s">
        <v>60</v>
      </c>
      <c r="T164" s="7" t="str">
        <f aca="false">IF(O164=0,"No discount",IF(O164&lt;=0.2,"Up to 20%","Above 20%"))</f>
        <v>Above 20%</v>
      </c>
    </row>
    <row r="165" customFormat="false" ht="15" hidden="false" customHeight="true" outlineLevel="0" collapsed="false">
      <c r="A165" s="7" t="s">
        <v>634</v>
      </c>
      <c r="B165" s="26" t="n">
        <v>45723</v>
      </c>
      <c r="C165" s="26" t="n">
        <v>45725</v>
      </c>
      <c r="D165" s="7" t="s">
        <v>635</v>
      </c>
      <c r="E165" s="7" t="s">
        <v>636</v>
      </c>
      <c r="F165" s="7" t="s">
        <v>159</v>
      </c>
      <c r="G165" s="7" t="s">
        <v>323</v>
      </c>
      <c r="H165" s="7" t="s">
        <v>324</v>
      </c>
      <c r="I165" s="7" t="s">
        <v>208</v>
      </c>
      <c r="J165" s="7" t="s">
        <v>209</v>
      </c>
      <c r="K165" s="7" t="s">
        <v>637</v>
      </c>
      <c r="L165" s="7" t="s">
        <v>638</v>
      </c>
      <c r="M165" s="7" t="n">
        <v>1</v>
      </c>
      <c r="N165" s="27" t="n">
        <v>899</v>
      </c>
      <c r="O165" s="28" t="n">
        <v>0.15</v>
      </c>
      <c r="P165" s="27" t="n">
        <v>764</v>
      </c>
      <c r="Q165" s="27" t="n">
        <v>480</v>
      </c>
      <c r="R165" s="27" t="n">
        <v>284</v>
      </c>
      <c r="S165" s="7" t="s">
        <v>60</v>
      </c>
      <c r="T165" s="7" t="str">
        <f aca="false">IF(O165=0,"No discount",IF(O165&lt;=0.2,"Up to 20%","Above 20%"))</f>
        <v>Up to 20%</v>
      </c>
    </row>
    <row r="166" customFormat="false" ht="15" hidden="false" customHeight="true" outlineLevel="0" collapsed="false">
      <c r="A166" s="7" t="s">
        <v>639</v>
      </c>
      <c r="B166" s="26" t="n">
        <v>45723</v>
      </c>
      <c r="C166" s="26" t="n">
        <v>45725</v>
      </c>
      <c r="D166" s="7" t="s">
        <v>475</v>
      </c>
      <c r="E166" s="7" t="s">
        <v>476</v>
      </c>
      <c r="F166" s="7" t="s">
        <v>159</v>
      </c>
      <c r="G166" s="7" t="s">
        <v>169</v>
      </c>
      <c r="H166" s="7" t="s">
        <v>170</v>
      </c>
      <c r="I166" s="7" t="s">
        <v>171</v>
      </c>
      <c r="J166" s="7" t="s">
        <v>172</v>
      </c>
      <c r="K166" s="7" t="s">
        <v>173</v>
      </c>
      <c r="L166" s="7" t="s">
        <v>174</v>
      </c>
      <c r="M166" s="7" t="n">
        <v>1</v>
      </c>
      <c r="N166" s="27" t="n">
        <v>699</v>
      </c>
      <c r="O166" s="28" t="n">
        <v>0</v>
      </c>
      <c r="P166" s="27" t="n">
        <v>699</v>
      </c>
      <c r="Q166" s="27" t="n">
        <v>320</v>
      </c>
      <c r="R166" s="27" t="n">
        <v>379</v>
      </c>
      <c r="S166" s="7" t="s">
        <v>60</v>
      </c>
      <c r="T166" s="7" t="str">
        <f aca="false">IF(O166=0,"No discount",IF(O166&lt;=0.2,"Up to 20%","Above 20%"))</f>
        <v>No discount</v>
      </c>
    </row>
    <row r="167" customFormat="false" ht="15" hidden="false" customHeight="true" outlineLevel="0" collapsed="false">
      <c r="A167" s="7" t="s">
        <v>640</v>
      </c>
      <c r="B167" s="26" t="n">
        <v>45723</v>
      </c>
      <c r="C167" s="26" t="n">
        <v>45725</v>
      </c>
      <c r="D167" s="7" t="s">
        <v>520</v>
      </c>
      <c r="E167" s="7" t="s">
        <v>521</v>
      </c>
      <c r="F167" s="7" t="s">
        <v>159</v>
      </c>
      <c r="G167" s="7" t="s">
        <v>169</v>
      </c>
      <c r="H167" s="7" t="s">
        <v>179</v>
      </c>
      <c r="I167" s="7" t="s">
        <v>208</v>
      </c>
      <c r="J167" s="7" t="s">
        <v>209</v>
      </c>
      <c r="K167" s="7" t="s">
        <v>641</v>
      </c>
      <c r="L167" s="7" t="s">
        <v>642</v>
      </c>
      <c r="M167" s="7" t="n">
        <v>1</v>
      </c>
      <c r="N167" s="27" t="n">
        <v>1499</v>
      </c>
      <c r="O167" s="28" t="n">
        <v>0.15</v>
      </c>
      <c r="P167" s="27" t="n">
        <v>1274</v>
      </c>
      <c r="Q167" s="27" t="n">
        <v>900</v>
      </c>
      <c r="R167" s="27" t="n">
        <v>374</v>
      </c>
      <c r="S167" s="7" t="s">
        <v>60</v>
      </c>
      <c r="T167" s="7" t="str">
        <f aca="false">IF(O167=0,"No discount",IF(O167&lt;=0.2,"Up to 20%","Above 20%"))</f>
        <v>Up to 20%</v>
      </c>
    </row>
    <row r="168" customFormat="false" ht="15" hidden="false" customHeight="true" outlineLevel="0" collapsed="false">
      <c r="A168" s="7" t="s">
        <v>643</v>
      </c>
      <c r="B168" s="26" t="n">
        <v>45725</v>
      </c>
      <c r="C168" s="26" t="n">
        <v>45727</v>
      </c>
      <c r="D168" s="7" t="s">
        <v>627</v>
      </c>
      <c r="E168" s="7" t="s">
        <v>628</v>
      </c>
      <c r="F168" s="7" t="s">
        <v>219</v>
      </c>
      <c r="G168" s="7" t="s">
        <v>206</v>
      </c>
      <c r="H168" s="7" t="s">
        <v>207</v>
      </c>
      <c r="I168" s="7" t="s">
        <v>282</v>
      </c>
      <c r="J168" s="7" t="s">
        <v>283</v>
      </c>
      <c r="K168" s="7" t="s">
        <v>284</v>
      </c>
      <c r="L168" s="7" t="s">
        <v>285</v>
      </c>
      <c r="M168" s="7" t="n">
        <v>2</v>
      </c>
      <c r="N168" s="27" t="n">
        <v>199</v>
      </c>
      <c r="O168" s="28" t="n">
        <v>0.05</v>
      </c>
      <c r="P168" s="27" t="n">
        <v>378</v>
      </c>
      <c r="Q168" s="27" t="n">
        <v>180</v>
      </c>
      <c r="R168" s="27" t="n">
        <v>198</v>
      </c>
      <c r="S168" s="7" t="s">
        <v>60</v>
      </c>
      <c r="T168" s="7" t="str">
        <f aca="false">IF(O168=0,"No discount",IF(O168&lt;=0.2,"Up to 20%","Above 20%"))</f>
        <v>Up to 20%</v>
      </c>
    </row>
    <row r="169" customFormat="false" ht="15" hidden="false" customHeight="true" outlineLevel="0" collapsed="false">
      <c r="A169" s="7" t="s">
        <v>644</v>
      </c>
      <c r="B169" s="26" t="n">
        <v>45725</v>
      </c>
      <c r="C169" s="26" t="n">
        <v>45729</v>
      </c>
      <c r="D169" s="7" t="s">
        <v>645</v>
      </c>
      <c r="E169" s="7" t="s">
        <v>646</v>
      </c>
      <c r="F169" s="7" t="s">
        <v>178</v>
      </c>
      <c r="G169" s="7" t="s">
        <v>160</v>
      </c>
      <c r="H169" s="7" t="s">
        <v>161</v>
      </c>
      <c r="I169" s="7" t="s">
        <v>162</v>
      </c>
      <c r="J169" s="7" t="s">
        <v>163</v>
      </c>
      <c r="K169" s="7" t="s">
        <v>164</v>
      </c>
      <c r="L169" s="7" t="s">
        <v>165</v>
      </c>
      <c r="M169" s="7" t="n">
        <v>2</v>
      </c>
      <c r="N169" s="27" t="n">
        <v>1999</v>
      </c>
      <c r="O169" s="28" t="n">
        <v>0.2</v>
      </c>
      <c r="P169" s="27" t="n">
        <v>3198</v>
      </c>
      <c r="Q169" s="27" t="n">
        <v>2100</v>
      </c>
      <c r="R169" s="27" t="n">
        <v>1098</v>
      </c>
      <c r="S169" s="7" t="s">
        <v>60</v>
      </c>
      <c r="T169" s="7" t="str">
        <f aca="false">IF(O169=0,"No discount",IF(O169&lt;=0.2,"Up to 20%","Above 20%"))</f>
        <v>Up to 20%</v>
      </c>
    </row>
    <row r="170" customFormat="false" ht="15" hidden="false" customHeight="true" outlineLevel="0" collapsed="false">
      <c r="A170" s="7" t="s">
        <v>647</v>
      </c>
      <c r="B170" s="26" t="n">
        <v>45725</v>
      </c>
      <c r="C170" s="26" t="n">
        <v>45727</v>
      </c>
      <c r="D170" s="7" t="s">
        <v>648</v>
      </c>
      <c r="E170" s="7" t="s">
        <v>649</v>
      </c>
      <c r="F170" s="7" t="s">
        <v>159</v>
      </c>
      <c r="G170" s="7" t="s">
        <v>160</v>
      </c>
      <c r="H170" s="7" t="s">
        <v>161</v>
      </c>
      <c r="I170" s="7" t="s">
        <v>199</v>
      </c>
      <c r="J170" s="7" t="s">
        <v>292</v>
      </c>
      <c r="K170" s="7" t="s">
        <v>293</v>
      </c>
      <c r="L170" s="7" t="s">
        <v>294</v>
      </c>
      <c r="M170" s="7" t="n">
        <v>3</v>
      </c>
      <c r="N170" s="27" t="n">
        <v>1599</v>
      </c>
      <c r="O170" s="28" t="n">
        <v>0.1</v>
      </c>
      <c r="P170" s="27" t="n">
        <v>4317</v>
      </c>
      <c r="Q170" s="27" t="n">
        <v>2250</v>
      </c>
      <c r="R170" s="27" t="n">
        <v>2067</v>
      </c>
      <c r="S170" s="7" t="s">
        <v>60</v>
      </c>
      <c r="T170" s="7" t="str">
        <f aca="false">IF(O170=0,"No discount",IF(O170&lt;=0.2,"Up to 20%","Above 20%"))</f>
        <v>Up to 20%</v>
      </c>
    </row>
    <row r="171" customFormat="false" ht="15" hidden="false" customHeight="true" outlineLevel="0" collapsed="false">
      <c r="A171" s="7" t="s">
        <v>650</v>
      </c>
      <c r="B171" s="26" t="n">
        <v>45725</v>
      </c>
      <c r="C171" s="26" t="n">
        <v>45727</v>
      </c>
      <c r="D171" s="7" t="s">
        <v>651</v>
      </c>
      <c r="E171" s="7" t="s">
        <v>652</v>
      </c>
      <c r="F171" s="7" t="s">
        <v>219</v>
      </c>
      <c r="G171" s="7" t="s">
        <v>206</v>
      </c>
      <c r="H171" s="7" t="s">
        <v>207</v>
      </c>
      <c r="I171" s="7" t="s">
        <v>162</v>
      </c>
      <c r="J171" s="7" t="s">
        <v>163</v>
      </c>
      <c r="K171" s="7" t="s">
        <v>164</v>
      </c>
      <c r="L171" s="7" t="s">
        <v>165</v>
      </c>
      <c r="M171" s="7" t="n">
        <v>1</v>
      </c>
      <c r="N171" s="27" t="n">
        <v>1999</v>
      </c>
      <c r="O171" s="28" t="n">
        <v>0.4</v>
      </c>
      <c r="P171" s="27" t="n">
        <v>1199</v>
      </c>
      <c r="Q171" s="27" t="n">
        <v>1050</v>
      </c>
      <c r="R171" s="27" t="n">
        <v>149</v>
      </c>
      <c r="S171" s="7" t="s">
        <v>60</v>
      </c>
      <c r="T171" s="7" t="str">
        <f aca="false">IF(O171=0,"No discount",IF(O171&lt;=0.2,"Up to 20%","Above 20%"))</f>
        <v>Above 20%</v>
      </c>
    </row>
    <row r="172" customFormat="false" ht="15" hidden="false" customHeight="true" outlineLevel="0" collapsed="false">
      <c r="A172" s="7" t="s">
        <v>653</v>
      </c>
      <c r="B172" s="26" t="n">
        <v>45725</v>
      </c>
      <c r="C172" s="26" t="n">
        <v>45728</v>
      </c>
      <c r="D172" s="7" t="s">
        <v>560</v>
      </c>
      <c r="E172" s="7" t="s">
        <v>561</v>
      </c>
      <c r="F172" s="7" t="s">
        <v>219</v>
      </c>
      <c r="G172" s="7" t="s">
        <v>160</v>
      </c>
      <c r="H172" s="7" t="s">
        <v>269</v>
      </c>
      <c r="I172" s="7" t="s">
        <v>282</v>
      </c>
      <c r="J172" s="7" t="s">
        <v>387</v>
      </c>
      <c r="K172" s="7" t="s">
        <v>547</v>
      </c>
      <c r="L172" s="7" t="s">
        <v>548</v>
      </c>
      <c r="M172" s="7" t="n">
        <v>5</v>
      </c>
      <c r="N172" s="27" t="n">
        <v>249</v>
      </c>
      <c r="O172" s="28" t="n">
        <v>0</v>
      </c>
      <c r="P172" s="27" t="n">
        <v>1245</v>
      </c>
      <c r="Q172" s="27" t="n">
        <v>600</v>
      </c>
      <c r="R172" s="27" t="n">
        <v>645</v>
      </c>
      <c r="S172" s="7" t="s">
        <v>60</v>
      </c>
      <c r="T172" s="7" t="str">
        <f aca="false">IF(O172=0,"No discount",IF(O172&lt;=0.2,"Up to 20%","Above 20%"))</f>
        <v>No discount</v>
      </c>
    </row>
    <row r="173" customFormat="false" ht="15" hidden="false" customHeight="true" outlineLevel="0" collapsed="false">
      <c r="A173" s="7" t="s">
        <v>654</v>
      </c>
      <c r="B173" s="26" t="n">
        <v>45725</v>
      </c>
      <c r="C173" s="26" t="n">
        <v>45730</v>
      </c>
      <c r="D173" s="7" t="s">
        <v>432</v>
      </c>
      <c r="E173" s="7" t="s">
        <v>433</v>
      </c>
      <c r="F173" s="7" t="s">
        <v>219</v>
      </c>
      <c r="G173" s="7" t="s">
        <v>169</v>
      </c>
      <c r="H173" s="7" t="s">
        <v>170</v>
      </c>
      <c r="I173" s="7" t="s">
        <v>199</v>
      </c>
      <c r="J173" s="7" t="s">
        <v>200</v>
      </c>
      <c r="K173" s="7" t="s">
        <v>201</v>
      </c>
      <c r="L173" s="7" t="s">
        <v>202</v>
      </c>
      <c r="M173" s="7" t="n">
        <v>1</v>
      </c>
      <c r="N173" s="27" t="n">
        <v>399</v>
      </c>
      <c r="O173" s="28" t="n">
        <v>0</v>
      </c>
      <c r="P173" s="27" t="n">
        <v>399</v>
      </c>
      <c r="Q173" s="27" t="n">
        <v>160</v>
      </c>
      <c r="R173" s="27" t="n">
        <v>239</v>
      </c>
      <c r="S173" s="7" t="s">
        <v>60</v>
      </c>
      <c r="T173" s="7" t="str">
        <f aca="false">IF(O173=0,"No discount",IF(O173&lt;=0.2,"Up to 20%","Above 20%"))</f>
        <v>No discount</v>
      </c>
    </row>
    <row r="174" customFormat="false" ht="15" hidden="false" customHeight="true" outlineLevel="0" collapsed="false">
      <c r="A174" s="7" t="s">
        <v>655</v>
      </c>
      <c r="B174" s="26" t="n">
        <v>45726</v>
      </c>
      <c r="C174" s="26" t="n">
        <v>45731</v>
      </c>
      <c r="D174" s="7" t="s">
        <v>656</v>
      </c>
      <c r="E174" s="7" t="s">
        <v>657</v>
      </c>
      <c r="F174" s="7" t="s">
        <v>219</v>
      </c>
      <c r="G174" s="7" t="s">
        <v>169</v>
      </c>
      <c r="H174" s="7" t="s">
        <v>170</v>
      </c>
      <c r="I174" s="7" t="s">
        <v>162</v>
      </c>
      <c r="J174" s="7" t="s">
        <v>163</v>
      </c>
      <c r="K174" s="7" t="s">
        <v>164</v>
      </c>
      <c r="L174" s="7" t="s">
        <v>165</v>
      </c>
      <c r="M174" s="7" t="n">
        <v>3</v>
      </c>
      <c r="N174" s="27" t="n">
        <v>1999</v>
      </c>
      <c r="O174" s="28" t="n">
        <v>0.5</v>
      </c>
      <c r="P174" s="27" t="n">
        <v>2998</v>
      </c>
      <c r="Q174" s="27" t="n">
        <v>3150</v>
      </c>
      <c r="R174" s="27" t="n">
        <v>-152</v>
      </c>
      <c r="S174" s="7" t="s">
        <v>60</v>
      </c>
      <c r="T174" s="7" t="str">
        <f aca="false">IF(O174=0,"No discount",IF(O174&lt;=0.2,"Up to 20%","Above 20%"))</f>
        <v>Above 20%</v>
      </c>
    </row>
    <row r="175" customFormat="false" ht="15" hidden="false" customHeight="true" outlineLevel="0" collapsed="false">
      <c r="A175" s="7" t="s">
        <v>658</v>
      </c>
      <c r="B175" s="26" t="n">
        <v>45726</v>
      </c>
      <c r="C175" s="26" t="n">
        <v>45733</v>
      </c>
      <c r="D175" s="7" t="s">
        <v>659</v>
      </c>
      <c r="E175" s="7" t="s">
        <v>660</v>
      </c>
      <c r="F175" s="7" t="s">
        <v>159</v>
      </c>
      <c r="G175" s="7" t="s">
        <v>160</v>
      </c>
      <c r="H175" s="7" t="s">
        <v>161</v>
      </c>
      <c r="I175" s="7" t="s">
        <v>192</v>
      </c>
      <c r="J175" s="7" t="s">
        <v>502</v>
      </c>
      <c r="K175" s="7" t="s">
        <v>526</v>
      </c>
      <c r="L175" s="7" t="s">
        <v>527</v>
      </c>
      <c r="M175" s="7" t="n">
        <v>4</v>
      </c>
      <c r="N175" s="27" t="n">
        <v>6499</v>
      </c>
      <c r="O175" s="28" t="n">
        <v>0.2</v>
      </c>
      <c r="P175" s="27" t="n">
        <v>20797</v>
      </c>
      <c r="Q175" s="27" t="n">
        <v>20000</v>
      </c>
      <c r="R175" s="27" t="n">
        <v>797</v>
      </c>
      <c r="S175" s="7" t="s">
        <v>60</v>
      </c>
      <c r="T175" s="7" t="str">
        <f aca="false">IF(O175=0,"No discount",IF(O175&lt;=0.2,"Up to 20%","Above 20%"))</f>
        <v>Up to 20%</v>
      </c>
    </row>
    <row r="176" customFormat="false" ht="15" hidden="false" customHeight="true" outlineLevel="0" collapsed="false">
      <c r="A176" s="7" t="s">
        <v>661</v>
      </c>
      <c r="B176" s="26" t="n">
        <v>45726</v>
      </c>
      <c r="C176" s="26" t="n">
        <v>45727</v>
      </c>
      <c r="D176" s="7" t="s">
        <v>662</v>
      </c>
      <c r="E176" s="7" t="s">
        <v>663</v>
      </c>
      <c r="F176" s="7" t="s">
        <v>159</v>
      </c>
      <c r="G176" s="7" t="s">
        <v>160</v>
      </c>
      <c r="H176" s="7" t="s">
        <v>161</v>
      </c>
      <c r="I176" s="7" t="s">
        <v>199</v>
      </c>
      <c r="J176" s="7" t="s">
        <v>200</v>
      </c>
      <c r="K176" s="7" t="s">
        <v>201</v>
      </c>
      <c r="L176" s="7" t="s">
        <v>202</v>
      </c>
      <c r="M176" s="7" t="n">
        <v>5</v>
      </c>
      <c r="N176" s="27" t="n">
        <v>399</v>
      </c>
      <c r="O176" s="28" t="n">
        <v>0</v>
      </c>
      <c r="P176" s="27" t="n">
        <v>1995</v>
      </c>
      <c r="Q176" s="27" t="n">
        <v>800</v>
      </c>
      <c r="R176" s="27" t="n">
        <v>1195</v>
      </c>
      <c r="S176" s="7" t="s">
        <v>60</v>
      </c>
      <c r="T176" s="7" t="str">
        <f aca="false">IF(O176=0,"No discount",IF(O176&lt;=0.2,"Up to 20%","Above 20%"))</f>
        <v>No discount</v>
      </c>
    </row>
    <row r="177" customFormat="false" ht="15" hidden="false" customHeight="true" outlineLevel="0" collapsed="false">
      <c r="A177" s="7" t="s">
        <v>664</v>
      </c>
      <c r="B177" s="26" t="n">
        <v>45726</v>
      </c>
      <c r="C177" s="26" t="n">
        <v>45729</v>
      </c>
      <c r="D177" s="7" t="s">
        <v>236</v>
      </c>
      <c r="E177" s="7" t="s">
        <v>237</v>
      </c>
      <c r="F177" s="7" t="s">
        <v>219</v>
      </c>
      <c r="G177" s="7" t="s">
        <v>169</v>
      </c>
      <c r="H177" s="7" t="s">
        <v>170</v>
      </c>
      <c r="I177" s="7" t="s">
        <v>199</v>
      </c>
      <c r="J177" s="7" t="s">
        <v>200</v>
      </c>
      <c r="K177" s="7" t="s">
        <v>201</v>
      </c>
      <c r="L177" s="7" t="s">
        <v>202</v>
      </c>
      <c r="M177" s="7" t="n">
        <v>4</v>
      </c>
      <c r="N177" s="27" t="n">
        <v>399</v>
      </c>
      <c r="O177" s="28" t="n">
        <v>0.1</v>
      </c>
      <c r="P177" s="27" t="n">
        <v>1436</v>
      </c>
      <c r="Q177" s="27" t="n">
        <v>640</v>
      </c>
      <c r="R177" s="27" t="n">
        <v>796</v>
      </c>
      <c r="S177" s="7" t="s">
        <v>60</v>
      </c>
      <c r="T177" s="7" t="str">
        <f aca="false">IF(O177=0,"No discount",IF(O177&lt;=0.2,"Up to 20%","Above 20%"))</f>
        <v>Up to 20%</v>
      </c>
    </row>
    <row r="178" customFormat="false" ht="15" hidden="false" customHeight="true" outlineLevel="0" collapsed="false">
      <c r="A178" s="7" t="s">
        <v>665</v>
      </c>
      <c r="B178" s="26" t="n">
        <v>45726</v>
      </c>
      <c r="C178" s="26" t="n">
        <v>45730</v>
      </c>
      <c r="D178" s="7" t="s">
        <v>197</v>
      </c>
      <c r="E178" s="7" t="s">
        <v>198</v>
      </c>
      <c r="F178" s="7" t="s">
        <v>178</v>
      </c>
      <c r="G178" s="7" t="s">
        <v>169</v>
      </c>
      <c r="H178" s="7" t="s">
        <v>191</v>
      </c>
      <c r="I178" s="7" t="s">
        <v>199</v>
      </c>
      <c r="J178" s="7" t="s">
        <v>223</v>
      </c>
      <c r="K178" s="7" t="s">
        <v>224</v>
      </c>
      <c r="L178" s="7" t="s">
        <v>225</v>
      </c>
      <c r="M178" s="7" t="n">
        <v>2</v>
      </c>
      <c r="N178" s="27" t="n">
        <v>899</v>
      </c>
      <c r="O178" s="28" t="n">
        <v>0.1</v>
      </c>
      <c r="P178" s="27" t="n">
        <v>1618</v>
      </c>
      <c r="Q178" s="27" t="n">
        <v>760</v>
      </c>
      <c r="R178" s="27" t="n">
        <v>858</v>
      </c>
      <c r="S178" s="7" t="s">
        <v>60</v>
      </c>
      <c r="T178" s="7" t="str">
        <f aca="false">IF(O178=0,"No discount",IF(O178&lt;=0.2,"Up to 20%","Above 20%"))</f>
        <v>Up to 20%</v>
      </c>
    </row>
    <row r="179" customFormat="false" ht="15" hidden="false" customHeight="true" outlineLevel="0" collapsed="false">
      <c r="A179" s="7" t="s">
        <v>666</v>
      </c>
      <c r="B179" s="26" t="n">
        <v>45728</v>
      </c>
      <c r="C179" s="26" t="n">
        <v>45732</v>
      </c>
      <c r="D179" s="7" t="s">
        <v>560</v>
      </c>
      <c r="E179" s="7" t="s">
        <v>561</v>
      </c>
      <c r="F179" s="7" t="s">
        <v>219</v>
      </c>
      <c r="G179" s="7" t="s">
        <v>160</v>
      </c>
      <c r="H179" s="7" t="s">
        <v>269</v>
      </c>
      <c r="I179" s="7" t="s">
        <v>192</v>
      </c>
      <c r="J179" s="7" t="s">
        <v>502</v>
      </c>
      <c r="K179" s="7" t="s">
        <v>503</v>
      </c>
      <c r="L179" s="7" t="s">
        <v>504</v>
      </c>
      <c r="M179" s="7" t="n">
        <v>2</v>
      </c>
      <c r="N179" s="27" t="n">
        <v>3499</v>
      </c>
      <c r="O179" s="28" t="n">
        <v>0.2</v>
      </c>
      <c r="P179" s="27" t="n">
        <v>5598</v>
      </c>
      <c r="Q179" s="27" t="n">
        <v>5000</v>
      </c>
      <c r="R179" s="27" t="n">
        <v>598</v>
      </c>
      <c r="S179" s="7" t="s">
        <v>60</v>
      </c>
      <c r="T179" s="7" t="str">
        <f aca="false">IF(O179=0,"No discount",IF(O179&lt;=0.2,"Up to 20%","Above 20%"))</f>
        <v>Up to 20%</v>
      </c>
    </row>
    <row r="180" customFormat="false" ht="15" hidden="false" customHeight="true" outlineLevel="0" collapsed="false">
      <c r="A180" s="7" t="s">
        <v>667</v>
      </c>
      <c r="B180" s="26" t="n">
        <v>45728</v>
      </c>
      <c r="C180" s="26" t="n">
        <v>45733</v>
      </c>
      <c r="D180" s="7" t="s">
        <v>488</v>
      </c>
      <c r="E180" s="7" t="s">
        <v>489</v>
      </c>
      <c r="F180" s="7" t="s">
        <v>159</v>
      </c>
      <c r="G180" s="7" t="s">
        <v>206</v>
      </c>
      <c r="H180" s="7" t="s">
        <v>207</v>
      </c>
      <c r="I180" s="7" t="s">
        <v>199</v>
      </c>
      <c r="J180" s="7" t="s">
        <v>223</v>
      </c>
      <c r="K180" s="7" t="s">
        <v>224</v>
      </c>
      <c r="L180" s="7" t="s">
        <v>225</v>
      </c>
      <c r="M180" s="7" t="n">
        <v>1</v>
      </c>
      <c r="N180" s="27" t="n">
        <v>899</v>
      </c>
      <c r="O180" s="28" t="n">
        <v>0.1</v>
      </c>
      <c r="P180" s="27" t="n">
        <v>809</v>
      </c>
      <c r="Q180" s="27" t="n">
        <v>380</v>
      </c>
      <c r="R180" s="27" t="n">
        <v>429</v>
      </c>
      <c r="S180" s="7" t="s">
        <v>60</v>
      </c>
      <c r="T180" s="7" t="str">
        <f aca="false">IF(O180=0,"No discount",IF(O180&lt;=0.2,"Up to 20%","Above 20%"))</f>
        <v>Up to 20%</v>
      </c>
    </row>
    <row r="181" customFormat="false" ht="15" hidden="false" customHeight="true" outlineLevel="0" collapsed="false">
      <c r="A181" s="7" t="s">
        <v>668</v>
      </c>
      <c r="B181" s="26" t="n">
        <v>45728</v>
      </c>
      <c r="C181" s="26" t="n">
        <v>45730</v>
      </c>
      <c r="D181" s="7" t="s">
        <v>441</v>
      </c>
      <c r="E181" s="7" t="s">
        <v>442</v>
      </c>
      <c r="F181" s="7" t="s">
        <v>159</v>
      </c>
      <c r="G181" s="7" t="s">
        <v>169</v>
      </c>
      <c r="H181" s="7" t="s">
        <v>191</v>
      </c>
      <c r="I181" s="7" t="s">
        <v>199</v>
      </c>
      <c r="J181" s="7" t="s">
        <v>200</v>
      </c>
      <c r="K181" s="7" t="s">
        <v>201</v>
      </c>
      <c r="L181" s="7" t="s">
        <v>202</v>
      </c>
      <c r="M181" s="7" t="n">
        <v>3</v>
      </c>
      <c r="N181" s="27" t="n">
        <v>399</v>
      </c>
      <c r="O181" s="28" t="n">
        <v>0.15</v>
      </c>
      <c r="P181" s="27" t="n">
        <v>1017</v>
      </c>
      <c r="Q181" s="27" t="n">
        <v>480</v>
      </c>
      <c r="R181" s="27" t="n">
        <v>537</v>
      </c>
      <c r="S181" s="7" t="s">
        <v>60</v>
      </c>
      <c r="T181" s="7" t="str">
        <f aca="false">IF(O181=0,"No discount",IF(O181&lt;=0.2,"Up to 20%","Above 20%"))</f>
        <v>Up to 20%</v>
      </c>
    </row>
    <row r="182" customFormat="false" ht="15" hidden="false" customHeight="true" outlineLevel="0" collapsed="false">
      <c r="A182" s="7" t="s">
        <v>669</v>
      </c>
      <c r="B182" s="26" t="n">
        <v>45728</v>
      </c>
      <c r="C182" s="26" t="n">
        <v>45734</v>
      </c>
      <c r="D182" s="7" t="s">
        <v>659</v>
      </c>
      <c r="E182" s="7" t="s">
        <v>660</v>
      </c>
      <c r="F182" s="7" t="s">
        <v>159</v>
      </c>
      <c r="G182" s="7" t="s">
        <v>160</v>
      </c>
      <c r="H182" s="7" t="s">
        <v>161</v>
      </c>
      <c r="I182" s="7" t="s">
        <v>282</v>
      </c>
      <c r="J182" s="7" t="s">
        <v>283</v>
      </c>
      <c r="K182" s="7" t="s">
        <v>284</v>
      </c>
      <c r="L182" s="7" t="s">
        <v>285</v>
      </c>
      <c r="M182" s="7" t="n">
        <v>2</v>
      </c>
      <c r="N182" s="27" t="n">
        <v>199</v>
      </c>
      <c r="O182" s="28" t="n">
        <v>0</v>
      </c>
      <c r="P182" s="27" t="n">
        <v>398</v>
      </c>
      <c r="Q182" s="27" t="n">
        <v>180</v>
      </c>
      <c r="R182" s="27" t="n">
        <v>218</v>
      </c>
      <c r="S182" s="7" t="s">
        <v>60</v>
      </c>
      <c r="T182" s="7" t="str">
        <f aca="false">IF(O182=0,"No discount",IF(O182&lt;=0.2,"Up to 20%","Above 20%"))</f>
        <v>No discount</v>
      </c>
    </row>
    <row r="183" customFormat="false" ht="15" hidden="false" customHeight="true" outlineLevel="0" collapsed="false">
      <c r="A183" s="7" t="s">
        <v>670</v>
      </c>
      <c r="B183" s="26" t="n">
        <v>45728</v>
      </c>
      <c r="C183" s="26" t="n">
        <v>45729</v>
      </c>
      <c r="D183" s="7" t="s">
        <v>456</v>
      </c>
      <c r="E183" s="7" t="s">
        <v>457</v>
      </c>
      <c r="F183" s="7" t="s">
        <v>159</v>
      </c>
      <c r="G183" s="7" t="s">
        <v>169</v>
      </c>
      <c r="H183" s="7" t="s">
        <v>170</v>
      </c>
      <c r="I183" s="7" t="s">
        <v>208</v>
      </c>
      <c r="J183" s="7" t="s">
        <v>232</v>
      </c>
      <c r="K183" s="7" t="s">
        <v>671</v>
      </c>
      <c r="L183" s="7" t="s">
        <v>672</v>
      </c>
      <c r="M183" s="7" t="n">
        <v>1</v>
      </c>
      <c r="N183" s="27" t="n">
        <v>3299</v>
      </c>
      <c r="O183" s="28" t="n">
        <v>0.2</v>
      </c>
      <c r="P183" s="27" t="n">
        <v>2639</v>
      </c>
      <c r="Q183" s="27" t="n">
        <v>2100</v>
      </c>
      <c r="R183" s="27" t="n">
        <v>539</v>
      </c>
      <c r="S183" s="7" t="s">
        <v>60</v>
      </c>
      <c r="T183" s="7" t="str">
        <f aca="false">IF(O183=0,"No discount",IF(O183&lt;=0.2,"Up to 20%","Above 20%"))</f>
        <v>Up to 20%</v>
      </c>
    </row>
    <row r="184" customFormat="false" ht="15" hidden="false" customHeight="true" outlineLevel="0" collapsed="false">
      <c r="A184" s="7" t="s">
        <v>673</v>
      </c>
      <c r="B184" s="26" t="n">
        <v>45729</v>
      </c>
      <c r="C184" s="26" t="n">
        <v>45732</v>
      </c>
      <c r="D184" s="7" t="s">
        <v>157</v>
      </c>
      <c r="E184" s="7" t="s">
        <v>158</v>
      </c>
      <c r="F184" s="7" t="s">
        <v>159</v>
      </c>
      <c r="G184" s="7" t="s">
        <v>160</v>
      </c>
      <c r="H184" s="7" t="s">
        <v>161</v>
      </c>
      <c r="I184" s="7" t="s">
        <v>171</v>
      </c>
      <c r="J184" s="7" t="s">
        <v>304</v>
      </c>
      <c r="K184" s="7" t="s">
        <v>499</v>
      </c>
      <c r="L184" s="7" t="s">
        <v>500</v>
      </c>
      <c r="M184" s="7" t="n">
        <v>1</v>
      </c>
      <c r="N184" s="27" t="n">
        <v>5499</v>
      </c>
      <c r="O184" s="28" t="n">
        <v>0.05</v>
      </c>
      <c r="P184" s="27" t="n">
        <v>5224</v>
      </c>
      <c r="Q184" s="27" t="n">
        <v>3900</v>
      </c>
      <c r="R184" s="27" t="n">
        <v>1324</v>
      </c>
      <c r="S184" s="7" t="s">
        <v>60</v>
      </c>
      <c r="T184" s="7" t="str">
        <f aca="false">IF(O184=0,"No discount",IF(O184&lt;=0.2,"Up to 20%","Above 20%"))</f>
        <v>Up to 20%</v>
      </c>
    </row>
    <row r="185" customFormat="false" ht="15" hidden="false" customHeight="true" outlineLevel="0" collapsed="false">
      <c r="A185" s="7" t="s">
        <v>674</v>
      </c>
      <c r="B185" s="26" t="n">
        <v>45729</v>
      </c>
      <c r="C185" s="26" t="n">
        <v>45734</v>
      </c>
      <c r="D185" s="7" t="s">
        <v>675</v>
      </c>
      <c r="E185" s="7" t="s">
        <v>676</v>
      </c>
      <c r="F185" s="7" t="s">
        <v>159</v>
      </c>
      <c r="G185" s="7" t="s">
        <v>169</v>
      </c>
      <c r="H185" s="7" t="s">
        <v>170</v>
      </c>
      <c r="I185" s="7" t="s">
        <v>282</v>
      </c>
      <c r="J185" s="7" t="s">
        <v>283</v>
      </c>
      <c r="K185" s="7" t="s">
        <v>284</v>
      </c>
      <c r="L185" s="7" t="s">
        <v>285</v>
      </c>
      <c r="M185" s="7" t="n">
        <v>1</v>
      </c>
      <c r="N185" s="27" t="n">
        <v>199</v>
      </c>
      <c r="O185" s="28" t="n">
        <v>0</v>
      </c>
      <c r="P185" s="27" t="n">
        <v>199</v>
      </c>
      <c r="Q185" s="27" t="n">
        <v>90</v>
      </c>
      <c r="R185" s="27" t="n">
        <v>109</v>
      </c>
      <c r="S185" s="7" t="s">
        <v>60</v>
      </c>
      <c r="T185" s="7" t="str">
        <f aca="false">IF(O185=0,"No discount",IF(O185&lt;=0.2,"Up to 20%","Above 20%"))</f>
        <v>No discount</v>
      </c>
    </row>
    <row r="186" customFormat="false" ht="15" hidden="false" customHeight="true" outlineLevel="0" collapsed="false">
      <c r="A186" s="7" t="s">
        <v>677</v>
      </c>
      <c r="B186" s="26" t="n">
        <v>45729</v>
      </c>
      <c r="C186" s="26" t="n">
        <v>45732</v>
      </c>
      <c r="D186" s="7" t="s">
        <v>465</v>
      </c>
      <c r="E186" s="7" t="s">
        <v>466</v>
      </c>
      <c r="F186" s="7" t="s">
        <v>219</v>
      </c>
      <c r="G186" s="7" t="s">
        <v>323</v>
      </c>
      <c r="H186" s="7" t="s">
        <v>324</v>
      </c>
      <c r="I186" s="7" t="s">
        <v>199</v>
      </c>
      <c r="J186" s="7" t="s">
        <v>398</v>
      </c>
      <c r="K186" s="7" t="s">
        <v>399</v>
      </c>
      <c r="L186" s="7" t="s">
        <v>400</v>
      </c>
      <c r="M186" s="7" t="n">
        <v>1</v>
      </c>
      <c r="N186" s="27" t="n">
        <v>749</v>
      </c>
      <c r="O186" s="28" t="n">
        <v>0.2</v>
      </c>
      <c r="P186" s="27" t="n">
        <v>599</v>
      </c>
      <c r="Q186" s="27" t="n">
        <v>350</v>
      </c>
      <c r="R186" s="27" t="n">
        <v>249</v>
      </c>
      <c r="S186" s="7" t="s">
        <v>60</v>
      </c>
      <c r="T186" s="7" t="str">
        <f aca="false">IF(O186=0,"No discount",IF(O186&lt;=0.2,"Up to 20%","Above 20%"))</f>
        <v>Up to 20%</v>
      </c>
    </row>
    <row r="187" customFormat="false" ht="15" hidden="false" customHeight="true" outlineLevel="0" collapsed="false">
      <c r="A187" s="7" t="s">
        <v>678</v>
      </c>
      <c r="B187" s="26" t="n">
        <v>45730</v>
      </c>
      <c r="C187" s="26" t="n">
        <v>45737</v>
      </c>
      <c r="D187" s="7" t="s">
        <v>679</v>
      </c>
      <c r="E187" s="7" t="s">
        <v>680</v>
      </c>
      <c r="F187" s="7" t="s">
        <v>159</v>
      </c>
      <c r="G187" s="7" t="s">
        <v>169</v>
      </c>
      <c r="H187" s="7" t="s">
        <v>170</v>
      </c>
      <c r="I187" s="7" t="s">
        <v>208</v>
      </c>
      <c r="J187" s="7" t="s">
        <v>209</v>
      </c>
      <c r="K187" s="7" t="s">
        <v>238</v>
      </c>
      <c r="L187" s="7" t="s">
        <v>239</v>
      </c>
      <c r="M187" s="7" t="n">
        <v>2</v>
      </c>
      <c r="N187" s="27" t="n">
        <v>2199</v>
      </c>
      <c r="O187" s="28" t="n">
        <v>0</v>
      </c>
      <c r="P187" s="27" t="n">
        <v>4398</v>
      </c>
      <c r="Q187" s="27" t="n">
        <v>2800</v>
      </c>
      <c r="R187" s="27" t="n">
        <v>1598</v>
      </c>
      <c r="S187" s="7" t="s">
        <v>60</v>
      </c>
      <c r="T187" s="7" t="str">
        <f aca="false">IF(O187=0,"No discount",IF(O187&lt;=0.2,"Up to 20%","Above 20%"))</f>
        <v>No discount</v>
      </c>
    </row>
    <row r="188" customFormat="false" ht="15" hidden="false" customHeight="true" outlineLevel="0" collapsed="false">
      <c r="A188" s="7" t="s">
        <v>681</v>
      </c>
      <c r="B188" s="26" t="n">
        <v>45731</v>
      </c>
      <c r="C188" s="26" t="n">
        <v>45738</v>
      </c>
      <c r="D188" s="7" t="s">
        <v>563</v>
      </c>
      <c r="E188" s="7" t="s">
        <v>564</v>
      </c>
      <c r="F188" s="7" t="s">
        <v>178</v>
      </c>
      <c r="G188" s="7" t="s">
        <v>160</v>
      </c>
      <c r="H188" s="7" t="s">
        <v>269</v>
      </c>
      <c r="I188" s="7" t="s">
        <v>199</v>
      </c>
      <c r="J188" s="7" t="s">
        <v>292</v>
      </c>
      <c r="K188" s="7" t="s">
        <v>293</v>
      </c>
      <c r="L188" s="7" t="s">
        <v>294</v>
      </c>
      <c r="M188" s="7" t="n">
        <v>1</v>
      </c>
      <c r="N188" s="27" t="n">
        <v>1599</v>
      </c>
      <c r="O188" s="28" t="n">
        <v>0.1</v>
      </c>
      <c r="P188" s="27" t="n">
        <v>1439</v>
      </c>
      <c r="Q188" s="27" t="n">
        <v>750</v>
      </c>
      <c r="R188" s="27" t="n">
        <v>689</v>
      </c>
      <c r="S188" s="7" t="s">
        <v>60</v>
      </c>
      <c r="T188" s="7" t="str">
        <f aca="false">IF(O188=0,"No discount",IF(O188&lt;=0.2,"Up to 20%","Above 20%"))</f>
        <v>Up to 20%</v>
      </c>
    </row>
    <row r="189" customFormat="false" ht="15" hidden="false" customHeight="true" outlineLevel="0" collapsed="false">
      <c r="A189" s="7" t="s">
        <v>682</v>
      </c>
      <c r="B189" s="26" t="n">
        <v>45732</v>
      </c>
      <c r="C189" s="26" t="n">
        <v>45735</v>
      </c>
      <c r="D189" s="7" t="s">
        <v>372</v>
      </c>
      <c r="E189" s="7" t="s">
        <v>373</v>
      </c>
      <c r="F189" s="7" t="s">
        <v>219</v>
      </c>
      <c r="G189" s="7" t="s">
        <v>160</v>
      </c>
      <c r="H189" s="7" t="s">
        <v>269</v>
      </c>
      <c r="I189" s="7" t="s">
        <v>208</v>
      </c>
      <c r="J189" s="7" t="s">
        <v>232</v>
      </c>
      <c r="K189" s="7" t="s">
        <v>233</v>
      </c>
      <c r="L189" s="7" t="s">
        <v>234</v>
      </c>
      <c r="M189" s="7" t="n">
        <v>1</v>
      </c>
      <c r="N189" s="27" t="n">
        <v>7999</v>
      </c>
      <c r="O189" s="28" t="n">
        <v>0</v>
      </c>
      <c r="P189" s="27" t="n">
        <v>7999</v>
      </c>
      <c r="Q189" s="27" t="n">
        <v>5600</v>
      </c>
      <c r="R189" s="27" t="n">
        <v>2399</v>
      </c>
      <c r="S189" s="7" t="s">
        <v>60</v>
      </c>
      <c r="T189" s="7" t="str">
        <f aca="false">IF(O189=0,"No discount",IF(O189&lt;=0.2,"Up to 20%","Above 20%"))</f>
        <v>No discount</v>
      </c>
    </row>
    <row r="190" customFormat="false" ht="15" hidden="false" customHeight="true" outlineLevel="0" collapsed="false">
      <c r="A190" s="7" t="s">
        <v>683</v>
      </c>
      <c r="B190" s="26" t="n">
        <v>45732</v>
      </c>
      <c r="C190" s="26" t="n">
        <v>45735</v>
      </c>
      <c r="D190" s="7" t="s">
        <v>336</v>
      </c>
      <c r="E190" s="7" t="s">
        <v>337</v>
      </c>
      <c r="F190" s="7" t="s">
        <v>219</v>
      </c>
      <c r="G190" s="7" t="s">
        <v>206</v>
      </c>
      <c r="H190" s="7" t="s">
        <v>207</v>
      </c>
      <c r="I190" s="7" t="s">
        <v>171</v>
      </c>
      <c r="J190" s="7" t="s">
        <v>314</v>
      </c>
      <c r="K190" s="7" t="s">
        <v>315</v>
      </c>
      <c r="L190" s="7" t="s">
        <v>316</v>
      </c>
      <c r="M190" s="7" t="n">
        <v>1</v>
      </c>
      <c r="N190" s="27" t="n">
        <v>1299</v>
      </c>
      <c r="O190" s="28" t="n">
        <v>0.2</v>
      </c>
      <c r="P190" s="27" t="n">
        <v>1039</v>
      </c>
      <c r="Q190" s="27" t="n">
        <v>700</v>
      </c>
      <c r="R190" s="27" t="n">
        <v>339</v>
      </c>
      <c r="S190" s="7" t="s">
        <v>60</v>
      </c>
      <c r="T190" s="7" t="str">
        <f aca="false">IF(O190=0,"No discount",IF(O190&lt;=0.2,"Up to 20%","Above 20%"))</f>
        <v>Up to 20%</v>
      </c>
    </row>
    <row r="191" customFormat="false" ht="15" hidden="false" customHeight="true" outlineLevel="0" collapsed="false">
      <c r="A191" s="7" t="s">
        <v>684</v>
      </c>
      <c r="B191" s="26" t="n">
        <v>45732</v>
      </c>
      <c r="C191" s="26" t="n">
        <v>45737</v>
      </c>
      <c r="D191" s="7" t="s">
        <v>491</v>
      </c>
      <c r="E191" s="7" t="s">
        <v>492</v>
      </c>
      <c r="F191" s="7" t="s">
        <v>159</v>
      </c>
      <c r="G191" s="7" t="s">
        <v>169</v>
      </c>
      <c r="H191" s="7" t="s">
        <v>179</v>
      </c>
      <c r="I191" s="7" t="s">
        <v>199</v>
      </c>
      <c r="J191" s="7" t="s">
        <v>398</v>
      </c>
      <c r="K191" s="7" t="s">
        <v>399</v>
      </c>
      <c r="L191" s="7" t="s">
        <v>400</v>
      </c>
      <c r="M191" s="7" t="n">
        <v>2</v>
      </c>
      <c r="N191" s="27" t="n">
        <v>749</v>
      </c>
      <c r="O191" s="28" t="n">
        <v>0.15</v>
      </c>
      <c r="P191" s="27" t="n">
        <v>1273</v>
      </c>
      <c r="Q191" s="27" t="n">
        <v>700</v>
      </c>
      <c r="R191" s="27" t="n">
        <v>573</v>
      </c>
      <c r="S191" s="7" t="s">
        <v>60</v>
      </c>
      <c r="T191" s="7" t="str">
        <f aca="false">IF(O191=0,"No discount",IF(O191&lt;=0.2,"Up to 20%","Above 20%"))</f>
        <v>Up to 20%</v>
      </c>
    </row>
    <row r="192" customFormat="false" ht="15" hidden="false" customHeight="true" outlineLevel="0" collapsed="false">
      <c r="A192" s="7" t="s">
        <v>685</v>
      </c>
      <c r="B192" s="26" t="n">
        <v>45732</v>
      </c>
      <c r="C192" s="26" t="n">
        <v>45733</v>
      </c>
      <c r="D192" s="7" t="s">
        <v>491</v>
      </c>
      <c r="E192" s="7" t="s">
        <v>492</v>
      </c>
      <c r="F192" s="7" t="s">
        <v>159</v>
      </c>
      <c r="G192" s="7" t="s">
        <v>169</v>
      </c>
      <c r="H192" s="7" t="s">
        <v>179</v>
      </c>
      <c r="I192" s="7" t="s">
        <v>282</v>
      </c>
      <c r="J192" s="7" t="s">
        <v>283</v>
      </c>
      <c r="K192" s="7" t="s">
        <v>284</v>
      </c>
      <c r="L192" s="7" t="s">
        <v>285</v>
      </c>
      <c r="M192" s="7" t="n">
        <v>1</v>
      </c>
      <c r="N192" s="27" t="n">
        <v>199</v>
      </c>
      <c r="O192" s="28" t="n">
        <v>0.05</v>
      </c>
      <c r="P192" s="27" t="n">
        <v>189</v>
      </c>
      <c r="Q192" s="27" t="n">
        <v>90</v>
      </c>
      <c r="R192" s="27" t="n">
        <v>99</v>
      </c>
      <c r="S192" s="7" t="s">
        <v>60</v>
      </c>
      <c r="T192" s="7" t="str">
        <f aca="false">IF(O192=0,"No discount",IF(O192&lt;=0.2,"Up to 20%","Above 20%"))</f>
        <v>Up to 20%</v>
      </c>
    </row>
    <row r="193" customFormat="false" ht="15" hidden="false" customHeight="true" outlineLevel="0" collapsed="false">
      <c r="A193" s="7" t="s">
        <v>686</v>
      </c>
      <c r="B193" s="26" t="n">
        <v>45733</v>
      </c>
      <c r="C193" s="26" t="n">
        <v>45736</v>
      </c>
      <c r="D193" s="7" t="s">
        <v>197</v>
      </c>
      <c r="E193" s="7" t="s">
        <v>198</v>
      </c>
      <c r="F193" s="7" t="s">
        <v>178</v>
      </c>
      <c r="G193" s="7" t="s">
        <v>169</v>
      </c>
      <c r="H193" s="7" t="s">
        <v>191</v>
      </c>
      <c r="I193" s="7" t="s">
        <v>199</v>
      </c>
      <c r="J193" s="7" t="s">
        <v>398</v>
      </c>
      <c r="K193" s="7" t="s">
        <v>399</v>
      </c>
      <c r="L193" s="7" t="s">
        <v>400</v>
      </c>
      <c r="M193" s="7" t="n">
        <v>4</v>
      </c>
      <c r="N193" s="27" t="n">
        <v>749</v>
      </c>
      <c r="O193" s="28" t="n">
        <v>0.2</v>
      </c>
      <c r="P193" s="27" t="n">
        <v>2397</v>
      </c>
      <c r="Q193" s="27" t="n">
        <v>1400</v>
      </c>
      <c r="R193" s="27" t="n">
        <v>997</v>
      </c>
      <c r="S193" s="7" t="s">
        <v>60</v>
      </c>
      <c r="T193" s="7" t="str">
        <f aca="false">IF(O193=0,"No discount",IF(O193&lt;=0.2,"Up to 20%","Above 20%"))</f>
        <v>Up to 20%</v>
      </c>
    </row>
    <row r="194" customFormat="false" ht="15" hidden="false" customHeight="true" outlineLevel="0" collapsed="false">
      <c r="A194" s="7" t="s">
        <v>687</v>
      </c>
      <c r="B194" s="26" t="n">
        <v>45733</v>
      </c>
      <c r="C194" s="26" t="n">
        <v>45740</v>
      </c>
      <c r="D194" s="7" t="s">
        <v>545</v>
      </c>
      <c r="E194" s="7" t="s">
        <v>546</v>
      </c>
      <c r="F194" s="7" t="s">
        <v>219</v>
      </c>
      <c r="G194" s="7" t="s">
        <v>169</v>
      </c>
      <c r="H194" s="7" t="s">
        <v>179</v>
      </c>
      <c r="I194" s="7" t="s">
        <v>282</v>
      </c>
      <c r="J194" s="7" t="s">
        <v>283</v>
      </c>
      <c r="K194" s="7" t="s">
        <v>284</v>
      </c>
      <c r="L194" s="7" t="s">
        <v>285</v>
      </c>
      <c r="M194" s="7" t="n">
        <v>2</v>
      </c>
      <c r="N194" s="27" t="n">
        <v>199</v>
      </c>
      <c r="O194" s="28" t="n">
        <v>0</v>
      </c>
      <c r="P194" s="27" t="n">
        <v>398</v>
      </c>
      <c r="Q194" s="27" t="n">
        <v>180</v>
      </c>
      <c r="R194" s="27" t="n">
        <v>218</v>
      </c>
      <c r="S194" s="7" t="s">
        <v>60</v>
      </c>
      <c r="T194" s="7" t="str">
        <f aca="false">IF(O194=0,"No discount",IF(O194&lt;=0.2,"Up to 20%","Above 20%"))</f>
        <v>No discount</v>
      </c>
    </row>
    <row r="195" customFormat="false" ht="15" hidden="false" customHeight="true" outlineLevel="0" collapsed="false">
      <c r="A195" s="7" t="s">
        <v>688</v>
      </c>
      <c r="B195" s="26" t="n">
        <v>45733</v>
      </c>
      <c r="C195" s="26" t="n">
        <v>45734</v>
      </c>
      <c r="D195" s="7" t="s">
        <v>689</v>
      </c>
      <c r="E195" s="7" t="s">
        <v>690</v>
      </c>
      <c r="F195" s="7" t="s">
        <v>219</v>
      </c>
      <c r="G195" s="7" t="s">
        <v>206</v>
      </c>
      <c r="H195" s="7" t="s">
        <v>207</v>
      </c>
      <c r="I195" s="7" t="s">
        <v>282</v>
      </c>
      <c r="J195" s="7" t="s">
        <v>387</v>
      </c>
      <c r="K195" s="7" t="s">
        <v>691</v>
      </c>
      <c r="L195" s="7" t="s">
        <v>692</v>
      </c>
      <c r="M195" s="7" t="n">
        <v>3</v>
      </c>
      <c r="N195" s="27" t="n">
        <v>499</v>
      </c>
      <c r="O195" s="28" t="n">
        <v>0</v>
      </c>
      <c r="P195" s="27" t="n">
        <v>1497</v>
      </c>
      <c r="Q195" s="27" t="n">
        <v>780</v>
      </c>
      <c r="R195" s="27" t="n">
        <v>717</v>
      </c>
      <c r="S195" s="7" t="s">
        <v>60</v>
      </c>
      <c r="T195" s="7" t="str">
        <f aca="false">IF(O195=0,"No discount",IF(O195&lt;=0.2,"Up to 20%","Above 20%"))</f>
        <v>No discount</v>
      </c>
    </row>
    <row r="196" customFormat="false" ht="15" hidden="false" customHeight="true" outlineLevel="0" collapsed="false">
      <c r="A196" s="7" t="s">
        <v>693</v>
      </c>
      <c r="B196" s="26" t="n">
        <v>45733</v>
      </c>
      <c r="C196" s="26" t="n">
        <v>45740</v>
      </c>
      <c r="D196" s="7" t="s">
        <v>249</v>
      </c>
      <c r="E196" s="7" t="s">
        <v>250</v>
      </c>
      <c r="F196" s="7" t="s">
        <v>159</v>
      </c>
      <c r="G196" s="7" t="s">
        <v>169</v>
      </c>
      <c r="H196" s="7" t="s">
        <v>191</v>
      </c>
      <c r="I196" s="7" t="s">
        <v>162</v>
      </c>
      <c r="J196" s="7" t="s">
        <v>185</v>
      </c>
      <c r="K196" s="7" t="s">
        <v>186</v>
      </c>
      <c r="L196" s="7" t="s">
        <v>187</v>
      </c>
      <c r="M196" s="7" t="n">
        <v>1</v>
      </c>
      <c r="N196" s="27" t="n">
        <v>3299</v>
      </c>
      <c r="O196" s="28" t="n">
        <v>0.4</v>
      </c>
      <c r="P196" s="27" t="n">
        <v>1979</v>
      </c>
      <c r="Q196" s="27" t="n">
        <v>1900</v>
      </c>
      <c r="R196" s="27" t="n">
        <v>79</v>
      </c>
      <c r="S196" s="7" t="s">
        <v>60</v>
      </c>
      <c r="T196" s="7" t="str">
        <f aca="false">IF(O196=0,"No discount",IF(O196&lt;=0.2,"Up to 20%","Above 20%"))</f>
        <v>Above 20%</v>
      </c>
    </row>
    <row r="197" customFormat="false" ht="15" hidden="false" customHeight="true" outlineLevel="0" collapsed="false">
      <c r="A197" s="7" t="s">
        <v>694</v>
      </c>
      <c r="B197" s="26" t="n">
        <v>45734</v>
      </c>
      <c r="C197" s="26" t="n">
        <v>45741</v>
      </c>
      <c r="D197" s="7" t="s">
        <v>591</v>
      </c>
      <c r="E197" s="7" t="s">
        <v>592</v>
      </c>
      <c r="F197" s="7" t="s">
        <v>159</v>
      </c>
      <c r="G197" s="7" t="s">
        <v>169</v>
      </c>
      <c r="H197" s="7" t="s">
        <v>179</v>
      </c>
      <c r="I197" s="7" t="s">
        <v>199</v>
      </c>
      <c r="J197" s="7" t="s">
        <v>200</v>
      </c>
      <c r="K197" s="7" t="s">
        <v>201</v>
      </c>
      <c r="L197" s="7" t="s">
        <v>202</v>
      </c>
      <c r="M197" s="7" t="n">
        <v>3</v>
      </c>
      <c r="N197" s="27" t="n">
        <v>399</v>
      </c>
      <c r="O197" s="28" t="n">
        <v>0.15</v>
      </c>
      <c r="P197" s="27" t="n">
        <v>1017</v>
      </c>
      <c r="Q197" s="27" t="n">
        <v>480</v>
      </c>
      <c r="R197" s="27" t="n">
        <v>537</v>
      </c>
      <c r="S197" s="7" t="s">
        <v>47</v>
      </c>
      <c r="T197" s="7" t="str">
        <f aca="false">IF(O197=0,"No discount",IF(O197&lt;=0.2,"Up to 20%","Above 20%"))</f>
        <v>Up to 20%</v>
      </c>
    </row>
    <row r="198" customFormat="false" ht="15" hidden="false" customHeight="true" outlineLevel="0" collapsed="false">
      <c r="A198" s="7" t="s">
        <v>695</v>
      </c>
      <c r="B198" s="26" t="n">
        <v>45734</v>
      </c>
      <c r="C198" s="26" t="n">
        <v>45737</v>
      </c>
      <c r="D198" s="7" t="s">
        <v>267</v>
      </c>
      <c r="E198" s="7" t="s">
        <v>268</v>
      </c>
      <c r="F198" s="7" t="s">
        <v>159</v>
      </c>
      <c r="G198" s="7" t="s">
        <v>160</v>
      </c>
      <c r="H198" s="7" t="s">
        <v>269</v>
      </c>
      <c r="I198" s="7" t="s">
        <v>171</v>
      </c>
      <c r="J198" s="7" t="s">
        <v>304</v>
      </c>
      <c r="K198" s="7" t="s">
        <v>305</v>
      </c>
      <c r="L198" s="7" t="s">
        <v>306</v>
      </c>
      <c r="M198" s="7" t="n">
        <v>1</v>
      </c>
      <c r="N198" s="27" t="n">
        <v>2999</v>
      </c>
      <c r="O198" s="28" t="n">
        <v>0.3</v>
      </c>
      <c r="P198" s="27" t="n">
        <v>2099</v>
      </c>
      <c r="Q198" s="27" t="n">
        <v>2000</v>
      </c>
      <c r="R198" s="27" t="n">
        <v>99</v>
      </c>
      <c r="S198" s="7" t="s">
        <v>60</v>
      </c>
      <c r="T198" s="7" t="str">
        <f aca="false">IF(O198=0,"No discount",IF(O198&lt;=0.2,"Up to 20%","Above 20%"))</f>
        <v>Above 20%</v>
      </c>
    </row>
    <row r="199" customFormat="false" ht="15" hidden="false" customHeight="true" outlineLevel="0" collapsed="false">
      <c r="A199" s="7" t="s">
        <v>696</v>
      </c>
      <c r="B199" s="26" t="n">
        <v>45734</v>
      </c>
      <c r="C199" s="26" t="n">
        <v>45740</v>
      </c>
      <c r="D199" s="7" t="s">
        <v>697</v>
      </c>
      <c r="E199" s="7" t="s">
        <v>698</v>
      </c>
      <c r="F199" s="7" t="s">
        <v>219</v>
      </c>
      <c r="G199" s="7" t="s">
        <v>160</v>
      </c>
      <c r="H199" s="7" t="s">
        <v>269</v>
      </c>
      <c r="I199" s="7" t="s">
        <v>192</v>
      </c>
      <c r="J199" s="7" t="s">
        <v>502</v>
      </c>
      <c r="K199" s="7" t="s">
        <v>526</v>
      </c>
      <c r="L199" s="7" t="s">
        <v>527</v>
      </c>
      <c r="M199" s="7" t="n">
        <v>2</v>
      </c>
      <c r="N199" s="27" t="n">
        <v>6499</v>
      </c>
      <c r="O199" s="28" t="n">
        <v>0.2</v>
      </c>
      <c r="P199" s="27" t="n">
        <v>10398</v>
      </c>
      <c r="Q199" s="27" t="n">
        <v>10000</v>
      </c>
      <c r="R199" s="27" t="n">
        <v>398</v>
      </c>
      <c r="S199" s="7" t="s">
        <v>60</v>
      </c>
      <c r="T199" s="7" t="str">
        <f aca="false">IF(O199=0,"No discount",IF(O199&lt;=0.2,"Up to 20%","Above 20%"))</f>
        <v>Up to 20%</v>
      </c>
    </row>
    <row r="200" customFormat="false" ht="15" hidden="false" customHeight="true" outlineLevel="0" collapsed="false">
      <c r="A200" s="7" t="s">
        <v>699</v>
      </c>
      <c r="B200" s="26" t="n">
        <v>45735</v>
      </c>
      <c r="C200" s="26" t="n">
        <v>45740</v>
      </c>
      <c r="D200" s="7" t="s">
        <v>700</v>
      </c>
      <c r="E200" s="7" t="s">
        <v>701</v>
      </c>
      <c r="F200" s="7" t="s">
        <v>159</v>
      </c>
      <c r="G200" s="7" t="s">
        <v>160</v>
      </c>
      <c r="H200" s="7" t="s">
        <v>269</v>
      </c>
      <c r="I200" s="7" t="s">
        <v>199</v>
      </c>
      <c r="J200" s="7" t="s">
        <v>223</v>
      </c>
      <c r="K200" s="7" t="s">
        <v>246</v>
      </c>
      <c r="L200" s="7" t="s">
        <v>247</v>
      </c>
      <c r="M200" s="7" t="n">
        <v>1</v>
      </c>
      <c r="N200" s="27" t="n">
        <v>599</v>
      </c>
      <c r="O200" s="28" t="n">
        <v>0.3</v>
      </c>
      <c r="P200" s="27" t="n">
        <v>419</v>
      </c>
      <c r="Q200" s="27" t="n">
        <v>270</v>
      </c>
      <c r="R200" s="27" t="n">
        <v>149</v>
      </c>
      <c r="S200" s="7" t="s">
        <v>60</v>
      </c>
      <c r="T200" s="7" t="str">
        <f aca="false">IF(O200=0,"No discount",IF(O200&lt;=0.2,"Up to 20%","Above 20%"))</f>
        <v>Above 20%</v>
      </c>
    </row>
    <row r="201" customFormat="false" ht="15" hidden="false" customHeight="true" outlineLevel="0" collapsed="false">
      <c r="A201" s="7" t="s">
        <v>702</v>
      </c>
      <c r="B201" s="26" t="n">
        <v>45736</v>
      </c>
      <c r="C201" s="26" t="n">
        <v>45740</v>
      </c>
      <c r="D201" s="7" t="s">
        <v>563</v>
      </c>
      <c r="E201" s="7" t="s">
        <v>564</v>
      </c>
      <c r="F201" s="7" t="s">
        <v>178</v>
      </c>
      <c r="G201" s="7" t="s">
        <v>160</v>
      </c>
      <c r="H201" s="7" t="s">
        <v>269</v>
      </c>
      <c r="I201" s="7" t="s">
        <v>171</v>
      </c>
      <c r="J201" s="7" t="s">
        <v>314</v>
      </c>
      <c r="K201" s="7" t="s">
        <v>315</v>
      </c>
      <c r="L201" s="7" t="s">
        <v>316</v>
      </c>
      <c r="M201" s="7" t="n">
        <v>4</v>
      </c>
      <c r="N201" s="27" t="n">
        <v>1299</v>
      </c>
      <c r="O201" s="28" t="n">
        <v>0.05</v>
      </c>
      <c r="P201" s="27" t="n">
        <v>4936</v>
      </c>
      <c r="Q201" s="27" t="n">
        <v>2800</v>
      </c>
      <c r="R201" s="27" t="n">
        <v>2136</v>
      </c>
      <c r="S201" s="7" t="s">
        <v>60</v>
      </c>
      <c r="T201" s="7" t="str">
        <f aca="false">IF(O201=0,"No discount",IF(O201&lt;=0.2,"Up to 20%","Above 20%"))</f>
        <v>Up to 20%</v>
      </c>
    </row>
    <row r="202" customFormat="false" ht="15" hidden="false" customHeight="true" outlineLevel="0" collapsed="false">
      <c r="A202" s="7" t="s">
        <v>703</v>
      </c>
      <c r="B202" s="26" t="n">
        <v>45737</v>
      </c>
      <c r="C202" s="26" t="n">
        <v>45738</v>
      </c>
      <c r="D202" s="7" t="s">
        <v>221</v>
      </c>
      <c r="E202" s="7" t="s">
        <v>222</v>
      </c>
      <c r="F202" s="7" t="s">
        <v>219</v>
      </c>
      <c r="G202" s="7" t="s">
        <v>160</v>
      </c>
      <c r="H202" s="7" t="s">
        <v>161</v>
      </c>
      <c r="I202" s="7" t="s">
        <v>208</v>
      </c>
      <c r="J202" s="7" t="s">
        <v>209</v>
      </c>
      <c r="K202" s="7" t="s">
        <v>641</v>
      </c>
      <c r="L202" s="7" t="s">
        <v>642</v>
      </c>
      <c r="M202" s="7" t="n">
        <v>1</v>
      </c>
      <c r="N202" s="27" t="n">
        <v>1499</v>
      </c>
      <c r="O202" s="28" t="n">
        <v>0</v>
      </c>
      <c r="P202" s="27" t="n">
        <v>1499</v>
      </c>
      <c r="Q202" s="27" t="n">
        <v>900</v>
      </c>
      <c r="R202" s="27" t="n">
        <v>599</v>
      </c>
      <c r="S202" s="7" t="s">
        <v>60</v>
      </c>
      <c r="T202" s="7" t="str">
        <f aca="false">IF(O202=0,"No discount",IF(O202&lt;=0.2,"Up to 20%","Above 20%"))</f>
        <v>No discount</v>
      </c>
    </row>
    <row r="203" customFormat="false" ht="15" hidden="false" customHeight="true" outlineLevel="0" collapsed="false">
      <c r="A203" s="7" t="s">
        <v>704</v>
      </c>
      <c r="B203" s="26" t="n">
        <v>45737</v>
      </c>
      <c r="C203" s="26" t="n">
        <v>45744</v>
      </c>
      <c r="D203" s="7" t="s">
        <v>425</v>
      </c>
      <c r="E203" s="7" t="s">
        <v>426</v>
      </c>
      <c r="F203" s="7" t="s">
        <v>159</v>
      </c>
      <c r="G203" s="7" t="s">
        <v>206</v>
      </c>
      <c r="H203" s="7" t="s">
        <v>207</v>
      </c>
      <c r="I203" s="7" t="s">
        <v>192</v>
      </c>
      <c r="J203" s="7" t="s">
        <v>502</v>
      </c>
      <c r="K203" s="7" t="s">
        <v>503</v>
      </c>
      <c r="L203" s="7" t="s">
        <v>504</v>
      </c>
      <c r="M203" s="7" t="n">
        <v>1</v>
      </c>
      <c r="N203" s="27" t="n">
        <v>3499</v>
      </c>
      <c r="O203" s="28" t="n">
        <v>0.1</v>
      </c>
      <c r="P203" s="27" t="n">
        <v>3149</v>
      </c>
      <c r="Q203" s="27" t="n">
        <v>2500</v>
      </c>
      <c r="R203" s="27" t="n">
        <v>649</v>
      </c>
      <c r="S203" s="7" t="s">
        <v>60</v>
      </c>
      <c r="T203" s="7" t="str">
        <f aca="false">IF(O203=0,"No discount",IF(O203&lt;=0.2,"Up to 20%","Above 20%"))</f>
        <v>Up to 20%</v>
      </c>
    </row>
    <row r="204" customFormat="false" ht="15" hidden="false" customHeight="true" outlineLevel="0" collapsed="false">
      <c r="A204" s="7" t="s">
        <v>705</v>
      </c>
      <c r="B204" s="26" t="n">
        <v>45737</v>
      </c>
      <c r="C204" s="26" t="n">
        <v>45739</v>
      </c>
      <c r="D204" s="7" t="s">
        <v>659</v>
      </c>
      <c r="E204" s="7" t="s">
        <v>660</v>
      </c>
      <c r="F204" s="7" t="s">
        <v>159</v>
      </c>
      <c r="G204" s="7" t="s">
        <v>160</v>
      </c>
      <c r="H204" s="7" t="s">
        <v>161</v>
      </c>
      <c r="I204" s="7" t="s">
        <v>192</v>
      </c>
      <c r="J204" s="7" t="s">
        <v>502</v>
      </c>
      <c r="K204" s="7" t="s">
        <v>503</v>
      </c>
      <c r="L204" s="7" t="s">
        <v>504</v>
      </c>
      <c r="M204" s="7" t="n">
        <v>2</v>
      </c>
      <c r="N204" s="27" t="n">
        <v>3499</v>
      </c>
      <c r="O204" s="28" t="n">
        <v>0.1</v>
      </c>
      <c r="P204" s="27" t="n">
        <v>6298</v>
      </c>
      <c r="Q204" s="27" t="n">
        <v>5000</v>
      </c>
      <c r="R204" s="27" t="n">
        <v>1298</v>
      </c>
      <c r="S204" s="7" t="s">
        <v>60</v>
      </c>
      <c r="T204" s="7" t="str">
        <f aca="false">IF(O204=0,"No discount",IF(O204&lt;=0.2,"Up to 20%","Above 20%"))</f>
        <v>Up to 20%</v>
      </c>
    </row>
    <row r="205" customFormat="false" ht="15" hidden="false" customHeight="true" outlineLevel="0" collapsed="false">
      <c r="A205" s="7" t="s">
        <v>706</v>
      </c>
      <c r="B205" s="26" t="n">
        <v>45738</v>
      </c>
      <c r="C205" s="26" t="n">
        <v>45741</v>
      </c>
      <c r="D205" s="7" t="s">
        <v>274</v>
      </c>
      <c r="E205" s="7" t="s">
        <v>275</v>
      </c>
      <c r="F205" s="7" t="s">
        <v>159</v>
      </c>
      <c r="G205" s="7" t="s">
        <v>206</v>
      </c>
      <c r="H205" s="7" t="s">
        <v>207</v>
      </c>
      <c r="I205" s="7" t="s">
        <v>192</v>
      </c>
      <c r="J205" s="7" t="s">
        <v>502</v>
      </c>
      <c r="K205" s="7" t="s">
        <v>526</v>
      </c>
      <c r="L205" s="7" t="s">
        <v>527</v>
      </c>
      <c r="M205" s="7" t="n">
        <v>2</v>
      </c>
      <c r="N205" s="27" t="n">
        <v>6499</v>
      </c>
      <c r="O205" s="28" t="n">
        <v>0.2</v>
      </c>
      <c r="P205" s="27" t="n">
        <v>10398</v>
      </c>
      <c r="Q205" s="27" t="n">
        <v>10000</v>
      </c>
      <c r="R205" s="27" t="n">
        <v>398</v>
      </c>
      <c r="S205" s="7" t="s">
        <v>60</v>
      </c>
      <c r="T205" s="7" t="str">
        <f aca="false">IF(O205=0,"No discount",IF(O205&lt;=0.2,"Up to 20%","Above 20%"))</f>
        <v>Up to 20%</v>
      </c>
    </row>
    <row r="206" customFormat="false" ht="15" hidden="false" customHeight="true" outlineLevel="0" collapsed="false">
      <c r="A206" s="7" t="s">
        <v>707</v>
      </c>
      <c r="B206" s="26" t="n">
        <v>45738</v>
      </c>
      <c r="C206" s="26" t="n">
        <v>45740</v>
      </c>
      <c r="D206" s="7" t="s">
        <v>708</v>
      </c>
      <c r="E206" s="7" t="s">
        <v>709</v>
      </c>
      <c r="F206" s="7" t="s">
        <v>219</v>
      </c>
      <c r="G206" s="7" t="s">
        <v>169</v>
      </c>
      <c r="H206" s="7" t="s">
        <v>191</v>
      </c>
      <c r="I206" s="7" t="s">
        <v>208</v>
      </c>
      <c r="J206" s="7" t="s">
        <v>232</v>
      </c>
      <c r="K206" s="7" t="s">
        <v>233</v>
      </c>
      <c r="L206" s="7" t="s">
        <v>234</v>
      </c>
      <c r="M206" s="7" t="n">
        <v>3</v>
      </c>
      <c r="N206" s="27" t="n">
        <v>7999</v>
      </c>
      <c r="O206" s="28" t="n">
        <v>0</v>
      </c>
      <c r="P206" s="27" t="n">
        <v>23997</v>
      </c>
      <c r="Q206" s="27" t="n">
        <v>16800</v>
      </c>
      <c r="R206" s="27" t="n">
        <v>7197</v>
      </c>
      <c r="S206" s="7" t="s">
        <v>60</v>
      </c>
      <c r="T206" s="7" t="str">
        <f aca="false">IF(O206=0,"No discount",IF(O206&lt;=0.2,"Up to 20%","Above 20%"))</f>
        <v>No discount</v>
      </c>
    </row>
    <row r="207" customFormat="false" ht="15" hidden="false" customHeight="true" outlineLevel="0" collapsed="false">
      <c r="A207" s="7" t="s">
        <v>710</v>
      </c>
      <c r="B207" s="26" t="n">
        <v>45738</v>
      </c>
      <c r="C207" s="26" t="n">
        <v>45740</v>
      </c>
      <c r="D207" s="7" t="s">
        <v>336</v>
      </c>
      <c r="E207" s="7" t="s">
        <v>337</v>
      </c>
      <c r="F207" s="7" t="s">
        <v>219</v>
      </c>
      <c r="G207" s="7" t="s">
        <v>206</v>
      </c>
      <c r="H207" s="7" t="s">
        <v>207</v>
      </c>
      <c r="I207" s="7" t="s">
        <v>199</v>
      </c>
      <c r="J207" s="7" t="s">
        <v>223</v>
      </c>
      <c r="K207" s="7" t="s">
        <v>246</v>
      </c>
      <c r="L207" s="7" t="s">
        <v>247</v>
      </c>
      <c r="M207" s="7" t="n">
        <v>1</v>
      </c>
      <c r="N207" s="27" t="n">
        <v>599</v>
      </c>
      <c r="O207" s="28" t="n">
        <v>0.1</v>
      </c>
      <c r="P207" s="27" t="n">
        <v>539</v>
      </c>
      <c r="Q207" s="27" t="n">
        <v>270</v>
      </c>
      <c r="R207" s="27" t="n">
        <v>269</v>
      </c>
      <c r="S207" s="7" t="s">
        <v>60</v>
      </c>
      <c r="T207" s="7" t="str">
        <f aca="false">IF(O207=0,"No discount",IF(O207&lt;=0.2,"Up to 20%","Above 20%"))</f>
        <v>Up to 20%</v>
      </c>
    </row>
    <row r="208" customFormat="false" ht="15" hidden="false" customHeight="true" outlineLevel="0" collapsed="false">
      <c r="A208" s="7" t="s">
        <v>711</v>
      </c>
      <c r="B208" s="26" t="n">
        <v>45738</v>
      </c>
      <c r="C208" s="26" t="n">
        <v>45744</v>
      </c>
      <c r="D208" s="7" t="s">
        <v>318</v>
      </c>
      <c r="E208" s="7" t="s">
        <v>319</v>
      </c>
      <c r="F208" s="7" t="s">
        <v>219</v>
      </c>
      <c r="G208" s="7" t="s">
        <v>160</v>
      </c>
      <c r="H208" s="7" t="s">
        <v>263</v>
      </c>
      <c r="I208" s="7" t="s">
        <v>199</v>
      </c>
      <c r="J208" s="7" t="s">
        <v>398</v>
      </c>
      <c r="K208" s="7" t="s">
        <v>399</v>
      </c>
      <c r="L208" s="7" t="s">
        <v>400</v>
      </c>
      <c r="M208" s="7" t="n">
        <v>3</v>
      </c>
      <c r="N208" s="27" t="n">
        <v>749</v>
      </c>
      <c r="O208" s="28" t="n">
        <v>0.2</v>
      </c>
      <c r="P208" s="27" t="n">
        <v>1798</v>
      </c>
      <c r="Q208" s="27" t="n">
        <v>1050</v>
      </c>
      <c r="R208" s="27" t="n">
        <v>748</v>
      </c>
      <c r="S208" s="7" t="s">
        <v>60</v>
      </c>
      <c r="T208" s="7" t="str">
        <f aca="false">IF(O208=0,"No discount",IF(O208&lt;=0.2,"Up to 20%","Above 20%"))</f>
        <v>Up to 20%</v>
      </c>
    </row>
    <row r="209" customFormat="false" ht="15" hidden="false" customHeight="true" outlineLevel="0" collapsed="false">
      <c r="A209" s="7" t="s">
        <v>712</v>
      </c>
      <c r="B209" s="26" t="n">
        <v>45738</v>
      </c>
      <c r="C209" s="26" t="n">
        <v>45742</v>
      </c>
      <c r="D209" s="7" t="s">
        <v>290</v>
      </c>
      <c r="E209" s="7" t="s">
        <v>291</v>
      </c>
      <c r="F209" s="7" t="s">
        <v>219</v>
      </c>
      <c r="G209" s="7" t="s">
        <v>169</v>
      </c>
      <c r="H209" s="7" t="s">
        <v>179</v>
      </c>
      <c r="I209" s="7" t="s">
        <v>282</v>
      </c>
      <c r="J209" s="7" t="s">
        <v>387</v>
      </c>
      <c r="K209" s="7" t="s">
        <v>547</v>
      </c>
      <c r="L209" s="7" t="s">
        <v>548</v>
      </c>
      <c r="M209" s="7" t="n">
        <v>10</v>
      </c>
      <c r="N209" s="27" t="n">
        <v>249</v>
      </c>
      <c r="O209" s="28" t="n">
        <v>0.05</v>
      </c>
      <c r="P209" s="27" t="n">
        <v>2366</v>
      </c>
      <c r="Q209" s="27" t="n">
        <v>1200</v>
      </c>
      <c r="R209" s="27" t="n">
        <v>1166</v>
      </c>
      <c r="S209" s="7" t="s">
        <v>60</v>
      </c>
      <c r="T209" s="7" t="str">
        <f aca="false">IF(O209=0,"No discount",IF(O209&lt;=0.2,"Up to 20%","Above 20%"))</f>
        <v>Up to 20%</v>
      </c>
    </row>
    <row r="210" customFormat="false" ht="15" hidden="false" customHeight="true" outlineLevel="0" collapsed="false">
      <c r="A210" s="7" t="s">
        <v>713</v>
      </c>
      <c r="B210" s="26" t="n">
        <v>45738</v>
      </c>
      <c r="C210" s="26" t="n">
        <v>45740</v>
      </c>
      <c r="D210" s="7" t="s">
        <v>447</v>
      </c>
      <c r="E210" s="7" t="s">
        <v>448</v>
      </c>
      <c r="F210" s="7" t="s">
        <v>159</v>
      </c>
      <c r="G210" s="7" t="s">
        <v>206</v>
      </c>
      <c r="H210" s="7" t="s">
        <v>207</v>
      </c>
      <c r="I210" s="7" t="s">
        <v>192</v>
      </c>
      <c r="J210" s="7" t="s">
        <v>213</v>
      </c>
      <c r="K210" s="7" t="s">
        <v>214</v>
      </c>
      <c r="L210" s="7" t="s">
        <v>215</v>
      </c>
      <c r="M210" s="7" t="n">
        <v>1</v>
      </c>
      <c r="N210" s="27" t="n">
        <v>5999</v>
      </c>
      <c r="O210" s="28" t="n">
        <v>0.3</v>
      </c>
      <c r="P210" s="27" t="n">
        <v>4199</v>
      </c>
      <c r="Q210" s="27" t="n">
        <v>4600</v>
      </c>
      <c r="R210" s="27" t="n">
        <v>-401</v>
      </c>
      <c r="S210" s="7" t="s">
        <v>60</v>
      </c>
      <c r="T210" s="7" t="str">
        <f aca="false">IF(O210=0,"No discount",IF(O210&lt;=0.2,"Up to 20%","Above 20%"))</f>
        <v>Above 20%</v>
      </c>
    </row>
    <row r="211" customFormat="false" ht="15" hidden="false" customHeight="true" outlineLevel="0" collapsed="false">
      <c r="A211" s="7" t="s">
        <v>714</v>
      </c>
      <c r="B211" s="26" t="n">
        <v>45739</v>
      </c>
      <c r="C211" s="26" t="n">
        <v>45742</v>
      </c>
      <c r="D211" s="7" t="s">
        <v>597</v>
      </c>
      <c r="E211" s="7" t="s">
        <v>598</v>
      </c>
      <c r="F211" s="7" t="s">
        <v>159</v>
      </c>
      <c r="G211" s="7" t="s">
        <v>160</v>
      </c>
      <c r="H211" s="7" t="s">
        <v>269</v>
      </c>
      <c r="I211" s="7" t="s">
        <v>171</v>
      </c>
      <c r="J211" s="7" t="s">
        <v>314</v>
      </c>
      <c r="K211" s="7" t="s">
        <v>315</v>
      </c>
      <c r="L211" s="7" t="s">
        <v>316</v>
      </c>
      <c r="M211" s="7" t="n">
        <v>3</v>
      </c>
      <c r="N211" s="27" t="n">
        <v>1299</v>
      </c>
      <c r="O211" s="28" t="n">
        <v>0</v>
      </c>
      <c r="P211" s="27" t="n">
        <v>3897</v>
      </c>
      <c r="Q211" s="27" t="n">
        <v>2100</v>
      </c>
      <c r="R211" s="27" t="n">
        <v>1797</v>
      </c>
      <c r="S211" s="7" t="s">
        <v>60</v>
      </c>
      <c r="T211" s="7" t="str">
        <f aca="false">IF(O211=0,"No discount",IF(O211&lt;=0.2,"Up to 20%","Above 20%"))</f>
        <v>No discount</v>
      </c>
    </row>
    <row r="212" customFormat="false" ht="15" hidden="false" customHeight="true" outlineLevel="0" collapsed="false">
      <c r="A212" s="7" t="s">
        <v>715</v>
      </c>
      <c r="B212" s="26" t="n">
        <v>45740</v>
      </c>
      <c r="C212" s="26" t="n">
        <v>45746</v>
      </c>
      <c r="D212" s="7" t="s">
        <v>513</v>
      </c>
      <c r="E212" s="7" t="s">
        <v>514</v>
      </c>
      <c r="F212" s="7" t="s">
        <v>159</v>
      </c>
      <c r="G212" s="7" t="s">
        <v>169</v>
      </c>
      <c r="H212" s="7" t="s">
        <v>170</v>
      </c>
      <c r="I212" s="7" t="s">
        <v>282</v>
      </c>
      <c r="J212" s="7" t="s">
        <v>427</v>
      </c>
      <c r="K212" s="7" t="s">
        <v>428</v>
      </c>
      <c r="L212" s="7" t="s">
        <v>429</v>
      </c>
      <c r="M212" s="7" t="n">
        <v>3</v>
      </c>
      <c r="N212" s="27" t="n">
        <v>149</v>
      </c>
      <c r="O212" s="28" t="n">
        <v>0.05</v>
      </c>
      <c r="P212" s="27" t="n">
        <v>425</v>
      </c>
      <c r="Q212" s="27" t="n">
        <v>210</v>
      </c>
      <c r="R212" s="27" t="n">
        <v>215</v>
      </c>
      <c r="S212" s="7" t="s">
        <v>60</v>
      </c>
      <c r="T212" s="7" t="str">
        <f aca="false">IF(O212=0,"No discount",IF(O212&lt;=0.2,"Up to 20%","Above 20%"))</f>
        <v>Up to 20%</v>
      </c>
    </row>
    <row r="213" customFormat="false" ht="15" hidden="false" customHeight="true" outlineLevel="0" collapsed="false">
      <c r="A213" s="7" t="s">
        <v>716</v>
      </c>
      <c r="B213" s="26" t="n">
        <v>45740</v>
      </c>
      <c r="C213" s="26" t="n">
        <v>45745</v>
      </c>
      <c r="D213" s="7" t="s">
        <v>485</v>
      </c>
      <c r="E213" s="7" t="s">
        <v>486</v>
      </c>
      <c r="F213" s="7" t="s">
        <v>159</v>
      </c>
      <c r="G213" s="7" t="s">
        <v>169</v>
      </c>
      <c r="H213" s="7" t="s">
        <v>179</v>
      </c>
      <c r="I213" s="7" t="s">
        <v>199</v>
      </c>
      <c r="J213" s="7" t="s">
        <v>223</v>
      </c>
      <c r="K213" s="7" t="s">
        <v>246</v>
      </c>
      <c r="L213" s="7" t="s">
        <v>247</v>
      </c>
      <c r="M213" s="7" t="n">
        <v>1</v>
      </c>
      <c r="N213" s="27" t="n">
        <v>599</v>
      </c>
      <c r="O213" s="28" t="n">
        <v>0.3</v>
      </c>
      <c r="P213" s="27" t="n">
        <v>419</v>
      </c>
      <c r="Q213" s="27" t="n">
        <v>270</v>
      </c>
      <c r="R213" s="27" t="n">
        <v>149</v>
      </c>
      <c r="S213" s="7" t="s">
        <v>60</v>
      </c>
      <c r="T213" s="7" t="str">
        <f aca="false">IF(O213=0,"No discount",IF(O213&lt;=0.2,"Up to 20%","Above 20%"))</f>
        <v>Above 20%</v>
      </c>
    </row>
    <row r="214" customFormat="false" ht="15" hidden="false" customHeight="true" outlineLevel="0" collapsed="false">
      <c r="A214" s="7" t="s">
        <v>717</v>
      </c>
      <c r="B214" s="26" t="n">
        <v>45741</v>
      </c>
      <c r="C214" s="26" t="n">
        <v>45743</v>
      </c>
      <c r="D214" s="7" t="s">
        <v>412</v>
      </c>
      <c r="E214" s="7" t="s">
        <v>413</v>
      </c>
      <c r="F214" s="7" t="s">
        <v>178</v>
      </c>
      <c r="G214" s="7" t="s">
        <v>206</v>
      </c>
      <c r="H214" s="7" t="s">
        <v>207</v>
      </c>
      <c r="I214" s="7" t="s">
        <v>162</v>
      </c>
      <c r="J214" s="7" t="s">
        <v>251</v>
      </c>
      <c r="K214" s="7" t="s">
        <v>252</v>
      </c>
      <c r="L214" s="7" t="s">
        <v>253</v>
      </c>
      <c r="M214" s="7" t="n">
        <v>2</v>
      </c>
      <c r="N214" s="27" t="n">
        <v>3999</v>
      </c>
      <c r="O214" s="28" t="n">
        <v>0.3</v>
      </c>
      <c r="P214" s="27" t="n">
        <v>5599</v>
      </c>
      <c r="Q214" s="27" t="n">
        <v>4800</v>
      </c>
      <c r="R214" s="27" t="n">
        <v>799</v>
      </c>
      <c r="S214" s="7" t="s">
        <v>60</v>
      </c>
      <c r="T214" s="7" t="str">
        <f aca="false">IF(O214=0,"No discount",IF(O214&lt;=0.2,"Up to 20%","Above 20%"))</f>
        <v>Above 20%</v>
      </c>
    </row>
    <row r="215" customFormat="false" ht="15" hidden="false" customHeight="true" outlineLevel="0" collapsed="false">
      <c r="A215" s="7" t="s">
        <v>718</v>
      </c>
      <c r="B215" s="26" t="n">
        <v>45742</v>
      </c>
      <c r="C215" s="26" t="n">
        <v>45744</v>
      </c>
      <c r="D215" s="7" t="s">
        <v>719</v>
      </c>
      <c r="E215" s="7" t="s">
        <v>720</v>
      </c>
      <c r="F215" s="7" t="s">
        <v>159</v>
      </c>
      <c r="G215" s="7" t="s">
        <v>323</v>
      </c>
      <c r="H215" s="7" t="s">
        <v>324</v>
      </c>
      <c r="I215" s="7" t="s">
        <v>208</v>
      </c>
      <c r="J215" s="7" t="s">
        <v>209</v>
      </c>
      <c r="K215" s="7" t="s">
        <v>210</v>
      </c>
      <c r="L215" s="7" t="s">
        <v>211</v>
      </c>
      <c r="M215" s="7" t="n">
        <v>1</v>
      </c>
      <c r="N215" s="27" t="n">
        <v>3499</v>
      </c>
      <c r="O215" s="28" t="n">
        <v>0.15</v>
      </c>
      <c r="P215" s="27" t="n">
        <v>2974</v>
      </c>
      <c r="Q215" s="27" t="n">
        <v>2200</v>
      </c>
      <c r="R215" s="27" t="n">
        <v>774</v>
      </c>
      <c r="S215" s="7" t="s">
        <v>60</v>
      </c>
      <c r="T215" s="7" t="str">
        <f aca="false">IF(O215=0,"No discount",IF(O215&lt;=0.2,"Up to 20%","Above 20%"))</f>
        <v>Up to 20%</v>
      </c>
    </row>
    <row r="216" customFormat="false" ht="15" hidden="false" customHeight="true" outlineLevel="0" collapsed="false">
      <c r="A216" s="7" t="s">
        <v>721</v>
      </c>
      <c r="B216" s="26" t="n">
        <v>45743</v>
      </c>
      <c r="C216" s="26" t="n">
        <v>45747</v>
      </c>
      <c r="D216" s="7" t="s">
        <v>722</v>
      </c>
      <c r="E216" s="7" t="s">
        <v>723</v>
      </c>
      <c r="F216" s="7" t="s">
        <v>159</v>
      </c>
      <c r="G216" s="7" t="s">
        <v>160</v>
      </c>
      <c r="H216" s="7" t="s">
        <v>161</v>
      </c>
      <c r="I216" s="7" t="s">
        <v>162</v>
      </c>
      <c r="J216" s="7" t="s">
        <v>251</v>
      </c>
      <c r="K216" s="7" t="s">
        <v>252</v>
      </c>
      <c r="L216" s="7" t="s">
        <v>253</v>
      </c>
      <c r="M216" s="7" t="n">
        <v>1</v>
      </c>
      <c r="N216" s="27" t="n">
        <v>3999</v>
      </c>
      <c r="O216" s="28" t="n">
        <v>0.3</v>
      </c>
      <c r="P216" s="27" t="n">
        <v>2799</v>
      </c>
      <c r="Q216" s="27" t="n">
        <v>2400</v>
      </c>
      <c r="R216" s="27" t="n">
        <v>399</v>
      </c>
      <c r="S216" s="7" t="s">
        <v>60</v>
      </c>
      <c r="T216" s="7" t="str">
        <f aca="false">IF(O216=0,"No discount",IF(O216&lt;=0.2,"Up to 20%","Above 20%"))</f>
        <v>Above 20%</v>
      </c>
    </row>
    <row r="217" customFormat="false" ht="15" hidden="false" customHeight="true" outlineLevel="0" collapsed="false">
      <c r="A217" s="7" t="s">
        <v>724</v>
      </c>
      <c r="B217" s="26" t="n">
        <v>45743</v>
      </c>
      <c r="C217" s="26" t="n">
        <v>45750</v>
      </c>
      <c r="D217" s="7" t="s">
        <v>679</v>
      </c>
      <c r="E217" s="7" t="s">
        <v>680</v>
      </c>
      <c r="F217" s="7" t="s">
        <v>159</v>
      </c>
      <c r="G217" s="7" t="s">
        <v>169</v>
      </c>
      <c r="H217" s="7" t="s">
        <v>170</v>
      </c>
      <c r="I217" s="7" t="s">
        <v>192</v>
      </c>
      <c r="J217" s="7" t="s">
        <v>213</v>
      </c>
      <c r="K217" s="7" t="s">
        <v>214</v>
      </c>
      <c r="L217" s="7" t="s">
        <v>215</v>
      </c>
      <c r="M217" s="7" t="n">
        <v>2</v>
      </c>
      <c r="N217" s="27" t="n">
        <v>5999</v>
      </c>
      <c r="O217" s="28" t="n">
        <v>0.4</v>
      </c>
      <c r="P217" s="27" t="n">
        <v>7199</v>
      </c>
      <c r="Q217" s="27" t="n">
        <v>9200</v>
      </c>
      <c r="R217" s="27" t="n">
        <v>-2001</v>
      </c>
      <c r="S217" s="7" t="s">
        <v>60</v>
      </c>
      <c r="T217" s="7" t="str">
        <f aca="false">IF(O217=0,"No discount",IF(O217&lt;=0.2,"Up to 20%","Above 20%"))</f>
        <v>Above 20%</v>
      </c>
    </row>
    <row r="218" customFormat="false" ht="15" hidden="false" customHeight="true" outlineLevel="0" collapsed="false">
      <c r="A218" s="7" t="s">
        <v>725</v>
      </c>
      <c r="B218" s="26" t="n">
        <v>45745</v>
      </c>
      <c r="C218" s="26" t="n">
        <v>45750</v>
      </c>
      <c r="D218" s="7" t="s">
        <v>726</v>
      </c>
      <c r="E218" s="7" t="s">
        <v>727</v>
      </c>
      <c r="F218" s="7" t="s">
        <v>178</v>
      </c>
      <c r="G218" s="7" t="s">
        <v>206</v>
      </c>
      <c r="H218" s="7" t="s">
        <v>207</v>
      </c>
      <c r="I218" s="7" t="s">
        <v>192</v>
      </c>
      <c r="J218" s="7" t="s">
        <v>502</v>
      </c>
      <c r="K218" s="7" t="s">
        <v>526</v>
      </c>
      <c r="L218" s="7" t="s">
        <v>527</v>
      </c>
      <c r="M218" s="7" t="n">
        <v>2</v>
      </c>
      <c r="N218" s="27" t="n">
        <v>6499</v>
      </c>
      <c r="O218" s="28" t="n">
        <v>0.2</v>
      </c>
      <c r="P218" s="27" t="n">
        <v>10398</v>
      </c>
      <c r="Q218" s="27" t="n">
        <v>10000</v>
      </c>
      <c r="R218" s="27" t="n">
        <v>398</v>
      </c>
      <c r="S218" s="7" t="s">
        <v>60</v>
      </c>
      <c r="T218" s="7" t="str">
        <f aca="false">IF(O218=0,"No discount",IF(O218&lt;=0.2,"Up to 20%","Above 20%"))</f>
        <v>Up to 20%</v>
      </c>
    </row>
    <row r="219" customFormat="false" ht="15" hidden="false" customHeight="true" outlineLevel="0" collapsed="false">
      <c r="A219" s="7" t="s">
        <v>728</v>
      </c>
      <c r="B219" s="26" t="n">
        <v>45745</v>
      </c>
      <c r="C219" s="26" t="n">
        <v>45746</v>
      </c>
      <c r="D219" s="7" t="s">
        <v>729</v>
      </c>
      <c r="E219" s="7" t="s">
        <v>730</v>
      </c>
      <c r="F219" s="7" t="s">
        <v>159</v>
      </c>
      <c r="G219" s="7" t="s">
        <v>160</v>
      </c>
      <c r="H219" s="7" t="s">
        <v>269</v>
      </c>
      <c r="I219" s="7" t="s">
        <v>162</v>
      </c>
      <c r="J219" s="7" t="s">
        <v>325</v>
      </c>
      <c r="K219" s="7" t="s">
        <v>381</v>
      </c>
      <c r="L219" s="7" t="s">
        <v>382</v>
      </c>
      <c r="M219" s="7" t="n">
        <v>5</v>
      </c>
      <c r="N219" s="27" t="n">
        <v>1799</v>
      </c>
      <c r="O219" s="28" t="n">
        <v>0.1</v>
      </c>
      <c r="P219" s="27" t="n">
        <v>8096</v>
      </c>
      <c r="Q219" s="27" t="n">
        <v>4750</v>
      </c>
      <c r="R219" s="27" t="n">
        <v>3346</v>
      </c>
      <c r="S219" s="7" t="s">
        <v>60</v>
      </c>
      <c r="T219" s="7" t="str">
        <f aca="false">IF(O219=0,"No discount",IF(O219&lt;=0.2,"Up to 20%","Above 20%"))</f>
        <v>Up to 20%</v>
      </c>
    </row>
    <row r="220" customFormat="false" ht="15" hidden="false" customHeight="true" outlineLevel="0" collapsed="false">
      <c r="A220" s="7" t="s">
        <v>731</v>
      </c>
      <c r="B220" s="26" t="n">
        <v>45745</v>
      </c>
      <c r="C220" s="26" t="n">
        <v>45747</v>
      </c>
      <c r="D220" s="7" t="s">
        <v>456</v>
      </c>
      <c r="E220" s="7" t="s">
        <v>457</v>
      </c>
      <c r="F220" s="7" t="s">
        <v>159</v>
      </c>
      <c r="G220" s="7" t="s">
        <v>169</v>
      </c>
      <c r="H220" s="7" t="s">
        <v>170</v>
      </c>
      <c r="I220" s="7" t="s">
        <v>192</v>
      </c>
      <c r="J220" s="7" t="s">
        <v>502</v>
      </c>
      <c r="K220" s="7" t="s">
        <v>503</v>
      </c>
      <c r="L220" s="7" t="s">
        <v>504</v>
      </c>
      <c r="M220" s="7" t="n">
        <v>2</v>
      </c>
      <c r="N220" s="27" t="n">
        <v>3499</v>
      </c>
      <c r="O220" s="28" t="n">
        <v>0.1</v>
      </c>
      <c r="P220" s="27" t="n">
        <v>6298</v>
      </c>
      <c r="Q220" s="27" t="n">
        <v>5000</v>
      </c>
      <c r="R220" s="27" t="n">
        <v>1298</v>
      </c>
      <c r="S220" s="7" t="s">
        <v>60</v>
      </c>
      <c r="T220" s="7" t="str">
        <f aca="false">IF(O220=0,"No discount",IF(O220&lt;=0.2,"Up to 20%","Above 20%"))</f>
        <v>Up to 20%</v>
      </c>
    </row>
    <row r="221" customFormat="false" ht="15" hidden="false" customHeight="true" outlineLevel="0" collapsed="false">
      <c r="A221" s="7" t="s">
        <v>732</v>
      </c>
      <c r="B221" s="26" t="n">
        <v>45746</v>
      </c>
      <c r="C221" s="26" t="n">
        <v>45750</v>
      </c>
      <c r="D221" s="7" t="s">
        <v>244</v>
      </c>
      <c r="E221" s="7" t="s">
        <v>245</v>
      </c>
      <c r="F221" s="7" t="s">
        <v>178</v>
      </c>
      <c r="G221" s="7" t="s">
        <v>206</v>
      </c>
      <c r="H221" s="7" t="s">
        <v>207</v>
      </c>
      <c r="I221" s="7" t="s">
        <v>162</v>
      </c>
      <c r="J221" s="7" t="s">
        <v>163</v>
      </c>
      <c r="K221" s="7" t="s">
        <v>164</v>
      </c>
      <c r="L221" s="7" t="s">
        <v>165</v>
      </c>
      <c r="M221" s="7" t="n">
        <v>3</v>
      </c>
      <c r="N221" s="27" t="n">
        <v>1999</v>
      </c>
      <c r="O221" s="28" t="n">
        <v>0.1</v>
      </c>
      <c r="P221" s="27" t="n">
        <v>5397</v>
      </c>
      <c r="Q221" s="27" t="n">
        <v>3150</v>
      </c>
      <c r="R221" s="27" t="n">
        <v>2247</v>
      </c>
      <c r="S221" s="7" t="s">
        <v>60</v>
      </c>
      <c r="T221" s="7" t="str">
        <f aca="false">IF(O221=0,"No discount",IF(O221&lt;=0.2,"Up to 20%","Above 20%"))</f>
        <v>Up to 20%</v>
      </c>
    </row>
    <row r="222" customFormat="false" ht="15" hidden="false" customHeight="true" outlineLevel="0" collapsed="false">
      <c r="A222" s="7" t="s">
        <v>733</v>
      </c>
      <c r="B222" s="26" t="n">
        <v>45746</v>
      </c>
      <c r="C222" s="26" t="n">
        <v>45751</v>
      </c>
      <c r="D222" s="7" t="s">
        <v>734</v>
      </c>
      <c r="E222" s="7" t="s">
        <v>735</v>
      </c>
      <c r="F222" s="7" t="s">
        <v>159</v>
      </c>
      <c r="G222" s="7" t="s">
        <v>206</v>
      </c>
      <c r="H222" s="7" t="s">
        <v>207</v>
      </c>
      <c r="I222" s="7" t="s">
        <v>208</v>
      </c>
      <c r="J222" s="7" t="s">
        <v>421</v>
      </c>
      <c r="K222" s="7" t="s">
        <v>422</v>
      </c>
      <c r="L222" s="7" t="s">
        <v>423</v>
      </c>
      <c r="M222" s="7" t="n">
        <v>1</v>
      </c>
      <c r="N222" s="27" t="n">
        <v>5999</v>
      </c>
      <c r="O222" s="28" t="n">
        <v>0.15</v>
      </c>
      <c r="P222" s="27" t="n">
        <v>5099</v>
      </c>
      <c r="Q222" s="27" t="n">
        <v>4300</v>
      </c>
      <c r="R222" s="27" t="n">
        <v>799</v>
      </c>
      <c r="S222" s="7" t="s">
        <v>60</v>
      </c>
      <c r="T222" s="7" t="str">
        <f aca="false">IF(O222=0,"No discount",IF(O222&lt;=0.2,"Up to 20%","Above 20%"))</f>
        <v>Up to 20%</v>
      </c>
    </row>
    <row r="223" customFormat="false" ht="15" hidden="false" customHeight="true" outlineLevel="0" collapsed="false">
      <c r="A223" s="7" t="s">
        <v>736</v>
      </c>
      <c r="B223" s="26" t="n">
        <v>45746</v>
      </c>
      <c r="C223" s="26" t="n">
        <v>45753</v>
      </c>
      <c r="D223" s="7" t="s">
        <v>375</v>
      </c>
      <c r="E223" s="7" t="s">
        <v>376</v>
      </c>
      <c r="F223" s="7" t="s">
        <v>159</v>
      </c>
      <c r="G223" s="7" t="s">
        <v>160</v>
      </c>
      <c r="H223" s="7" t="s">
        <v>269</v>
      </c>
      <c r="I223" s="7" t="s">
        <v>282</v>
      </c>
      <c r="J223" s="7" t="s">
        <v>283</v>
      </c>
      <c r="K223" s="7" t="s">
        <v>284</v>
      </c>
      <c r="L223" s="7" t="s">
        <v>285</v>
      </c>
      <c r="M223" s="7" t="n">
        <v>5</v>
      </c>
      <c r="N223" s="27" t="n">
        <v>199</v>
      </c>
      <c r="O223" s="28" t="n">
        <v>0.05</v>
      </c>
      <c r="P223" s="27" t="n">
        <v>945</v>
      </c>
      <c r="Q223" s="27" t="n">
        <v>450</v>
      </c>
      <c r="R223" s="27" t="n">
        <v>495</v>
      </c>
      <c r="S223" s="7" t="s">
        <v>60</v>
      </c>
      <c r="T223" s="7" t="str">
        <f aca="false">IF(O223=0,"No discount",IF(O223&lt;=0.2,"Up to 20%","Above 20%"))</f>
        <v>Up to 20%</v>
      </c>
    </row>
    <row r="224" customFormat="false" ht="15" hidden="false" customHeight="true" outlineLevel="0" collapsed="false">
      <c r="A224" s="7" t="s">
        <v>737</v>
      </c>
      <c r="B224" s="26" t="n">
        <v>45746</v>
      </c>
      <c r="C224" s="26" t="n">
        <v>45752</v>
      </c>
      <c r="D224" s="7" t="s">
        <v>357</v>
      </c>
      <c r="E224" s="7" t="s">
        <v>358</v>
      </c>
      <c r="F224" s="7" t="s">
        <v>219</v>
      </c>
      <c r="G224" s="7" t="s">
        <v>160</v>
      </c>
      <c r="H224" s="7" t="s">
        <v>161</v>
      </c>
      <c r="I224" s="7" t="s">
        <v>282</v>
      </c>
      <c r="J224" s="7" t="s">
        <v>387</v>
      </c>
      <c r="K224" s="7" t="s">
        <v>547</v>
      </c>
      <c r="L224" s="7" t="s">
        <v>548</v>
      </c>
      <c r="M224" s="7" t="n">
        <v>3</v>
      </c>
      <c r="N224" s="27" t="n">
        <v>249</v>
      </c>
      <c r="O224" s="28" t="n">
        <v>0</v>
      </c>
      <c r="P224" s="27" t="n">
        <v>747</v>
      </c>
      <c r="Q224" s="27" t="n">
        <v>360</v>
      </c>
      <c r="R224" s="27" t="n">
        <v>387</v>
      </c>
      <c r="S224" s="7" t="s">
        <v>60</v>
      </c>
      <c r="T224" s="7" t="str">
        <f aca="false">IF(O224=0,"No discount",IF(O224&lt;=0.2,"Up to 20%","Above 20%"))</f>
        <v>No discount</v>
      </c>
    </row>
    <row r="225" customFormat="false" ht="15" hidden="false" customHeight="true" outlineLevel="0" collapsed="false">
      <c r="A225" s="7" t="s">
        <v>738</v>
      </c>
      <c r="B225" s="26" t="n">
        <v>45747</v>
      </c>
      <c r="C225" s="26" t="n">
        <v>45748</v>
      </c>
      <c r="D225" s="7" t="s">
        <v>459</v>
      </c>
      <c r="E225" s="7" t="s">
        <v>460</v>
      </c>
      <c r="F225" s="7" t="s">
        <v>219</v>
      </c>
      <c r="G225" s="7" t="s">
        <v>160</v>
      </c>
      <c r="H225" s="7" t="s">
        <v>269</v>
      </c>
      <c r="I225" s="7" t="s">
        <v>192</v>
      </c>
      <c r="J225" s="7" t="s">
        <v>502</v>
      </c>
      <c r="K225" s="7" t="s">
        <v>526</v>
      </c>
      <c r="L225" s="7" t="s">
        <v>527</v>
      </c>
      <c r="M225" s="7" t="n">
        <v>2</v>
      </c>
      <c r="N225" s="27" t="n">
        <v>6499</v>
      </c>
      <c r="O225" s="28" t="n">
        <v>0.2</v>
      </c>
      <c r="P225" s="27" t="n">
        <v>10398</v>
      </c>
      <c r="Q225" s="27" t="n">
        <v>10000</v>
      </c>
      <c r="R225" s="27" t="n">
        <v>398</v>
      </c>
      <c r="S225" s="7" t="s">
        <v>60</v>
      </c>
      <c r="T225" s="7" t="str">
        <f aca="false">IF(O225=0,"No discount",IF(O225&lt;=0.2,"Up to 20%","Above 20%"))</f>
        <v>Up to 20%</v>
      </c>
    </row>
    <row r="226" customFormat="false" ht="15" hidden="false" customHeight="true" outlineLevel="0" collapsed="false">
      <c r="A226" s="7" t="s">
        <v>739</v>
      </c>
      <c r="B226" s="26" t="n">
        <v>45747</v>
      </c>
      <c r="C226" s="26" t="n">
        <v>45753</v>
      </c>
      <c r="D226" s="7" t="s">
        <v>318</v>
      </c>
      <c r="E226" s="7" t="s">
        <v>319</v>
      </c>
      <c r="F226" s="7" t="s">
        <v>219</v>
      </c>
      <c r="G226" s="7" t="s">
        <v>160</v>
      </c>
      <c r="H226" s="7" t="s">
        <v>263</v>
      </c>
      <c r="I226" s="7" t="s">
        <v>162</v>
      </c>
      <c r="J226" s="7" t="s">
        <v>185</v>
      </c>
      <c r="K226" s="7" t="s">
        <v>186</v>
      </c>
      <c r="L226" s="7" t="s">
        <v>187</v>
      </c>
      <c r="M226" s="7" t="n">
        <v>1</v>
      </c>
      <c r="N226" s="27" t="n">
        <v>3299</v>
      </c>
      <c r="O226" s="28" t="n">
        <v>0.3</v>
      </c>
      <c r="P226" s="27" t="n">
        <v>2309</v>
      </c>
      <c r="Q226" s="27" t="n">
        <v>1900</v>
      </c>
      <c r="R226" s="27" t="n">
        <v>409</v>
      </c>
      <c r="S226" s="7" t="s">
        <v>60</v>
      </c>
      <c r="T226" s="7" t="str">
        <f aca="false">IF(O226=0,"No discount",IF(O226&lt;=0.2,"Up to 20%","Above 20%"))</f>
        <v>Above 20%</v>
      </c>
    </row>
    <row r="227" customFormat="false" ht="15" hidden="false" customHeight="true" outlineLevel="0" collapsed="false">
      <c r="A227" s="7" t="s">
        <v>740</v>
      </c>
      <c r="B227" s="26" t="n">
        <v>45747</v>
      </c>
      <c r="C227" s="26" t="n">
        <v>45749</v>
      </c>
      <c r="D227" s="7" t="s">
        <v>513</v>
      </c>
      <c r="E227" s="7" t="s">
        <v>514</v>
      </c>
      <c r="F227" s="7" t="s">
        <v>159</v>
      </c>
      <c r="G227" s="7" t="s">
        <v>169</v>
      </c>
      <c r="H227" s="7" t="s">
        <v>170</v>
      </c>
      <c r="I227" s="7" t="s">
        <v>282</v>
      </c>
      <c r="J227" s="7" t="s">
        <v>427</v>
      </c>
      <c r="K227" s="7" t="s">
        <v>428</v>
      </c>
      <c r="L227" s="7" t="s">
        <v>429</v>
      </c>
      <c r="M227" s="7" t="n">
        <v>1</v>
      </c>
      <c r="N227" s="27" t="n">
        <v>149</v>
      </c>
      <c r="O227" s="28" t="n">
        <v>0.05</v>
      </c>
      <c r="P227" s="27" t="n">
        <v>142</v>
      </c>
      <c r="Q227" s="27" t="n">
        <v>70</v>
      </c>
      <c r="R227" s="27" t="n">
        <v>72</v>
      </c>
      <c r="S227" s="7" t="s">
        <v>47</v>
      </c>
      <c r="T227" s="7" t="str">
        <f aca="false">IF(O227=0,"No discount",IF(O227&lt;=0.2,"Up to 20%","Above 20%"))</f>
        <v>Up to 20%</v>
      </c>
    </row>
    <row r="228" customFormat="false" ht="15" hidden="false" customHeight="true" outlineLevel="0" collapsed="false">
      <c r="A228" s="7" t="s">
        <v>741</v>
      </c>
      <c r="B228" s="26" t="n">
        <v>45748</v>
      </c>
      <c r="C228" s="26" t="n">
        <v>45754</v>
      </c>
      <c r="D228" s="7" t="s">
        <v>742</v>
      </c>
      <c r="E228" s="7" t="s">
        <v>743</v>
      </c>
      <c r="F228" s="7" t="s">
        <v>159</v>
      </c>
      <c r="G228" s="7" t="s">
        <v>169</v>
      </c>
      <c r="H228" s="7" t="s">
        <v>179</v>
      </c>
      <c r="I228" s="7" t="s">
        <v>192</v>
      </c>
      <c r="J228" s="7" t="s">
        <v>502</v>
      </c>
      <c r="K228" s="7" t="s">
        <v>503</v>
      </c>
      <c r="L228" s="7" t="s">
        <v>504</v>
      </c>
      <c r="M228" s="7" t="n">
        <v>1</v>
      </c>
      <c r="N228" s="27" t="n">
        <v>3499</v>
      </c>
      <c r="O228" s="28" t="n">
        <v>0.2</v>
      </c>
      <c r="P228" s="27" t="n">
        <v>2799</v>
      </c>
      <c r="Q228" s="27" t="n">
        <v>2500</v>
      </c>
      <c r="R228" s="27" t="n">
        <v>299</v>
      </c>
      <c r="S228" s="7" t="s">
        <v>60</v>
      </c>
      <c r="T228" s="7" t="str">
        <f aca="false">IF(O228=0,"No discount",IF(O228&lt;=0.2,"Up to 20%","Above 20%"))</f>
        <v>Up to 20%</v>
      </c>
    </row>
    <row r="229" customFormat="false" ht="15" hidden="false" customHeight="true" outlineLevel="0" collapsed="false">
      <c r="A229" s="7" t="s">
        <v>744</v>
      </c>
      <c r="B229" s="26" t="n">
        <v>45749</v>
      </c>
      <c r="C229" s="26" t="n">
        <v>45750</v>
      </c>
      <c r="D229" s="7" t="s">
        <v>627</v>
      </c>
      <c r="E229" s="7" t="s">
        <v>628</v>
      </c>
      <c r="F229" s="7" t="s">
        <v>219</v>
      </c>
      <c r="G229" s="7" t="s">
        <v>206</v>
      </c>
      <c r="H229" s="7" t="s">
        <v>207</v>
      </c>
      <c r="I229" s="7" t="s">
        <v>162</v>
      </c>
      <c r="J229" s="7" t="s">
        <v>185</v>
      </c>
      <c r="K229" s="7" t="s">
        <v>186</v>
      </c>
      <c r="L229" s="7" t="s">
        <v>187</v>
      </c>
      <c r="M229" s="7" t="n">
        <v>4</v>
      </c>
      <c r="N229" s="27" t="n">
        <v>3299</v>
      </c>
      <c r="O229" s="28" t="n">
        <v>0.5</v>
      </c>
      <c r="P229" s="27" t="n">
        <v>6598</v>
      </c>
      <c r="Q229" s="27" t="n">
        <v>7600</v>
      </c>
      <c r="R229" s="27" t="n">
        <v>-1002</v>
      </c>
      <c r="S229" s="7" t="s">
        <v>60</v>
      </c>
      <c r="T229" s="7" t="str">
        <f aca="false">IF(O229=0,"No discount",IF(O229&lt;=0.2,"Up to 20%","Above 20%"))</f>
        <v>Above 20%</v>
      </c>
    </row>
    <row r="230" customFormat="false" ht="15" hidden="false" customHeight="true" outlineLevel="0" collapsed="false">
      <c r="A230" s="7" t="s">
        <v>745</v>
      </c>
      <c r="B230" s="26" t="n">
        <v>45749</v>
      </c>
      <c r="C230" s="26" t="n">
        <v>45754</v>
      </c>
      <c r="D230" s="7" t="s">
        <v>746</v>
      </c>
      <c r="E230" s="7" t="s">
        <v>747</v>
      </c>
      <c r="F230" s="7" t="s">
        <v>159</v>
      </c>
      <c r="G230" s="7" t="s">
        <v>160</v>
      </c>
      <c r="H230" s="7" t="s">
        <v>269</v>
      </c>
      <c r="I230" s="7" t="s">
        <v>208</v>
      </c>
      <c r="J230" s="7" t="s">
        <v>421</v>
      </c>
      <c r="K230" s="7" t="s">
        <v>422</v>
      </c>
      <c r="L230" s="7" t="s">
        <v>423</v>
      </c>
      <c r="M230" s="7" t="n">
        <v>1</v>
      </c>
      <c r="N230" s="27" t="n">
        <v>5999</v>
      </c>
      <c r="O230" s="28" t="n">
        <v>0.15</v>
      </c>
      <c r="P230" s="27" t="n">
        <v>5099</v>
      </c>
      <c r="Q230" s="27" t="n">
        <v>4300</v>
      </c>
      <c r="R230" s="27" t="n">
        <v>799</v>
      </c>
      <c r="S230" s="7" t="s">
        <v>60</v>
      </c>
      <c r="T230" s="7" t="str">
        <f aca="false">IF(O230=0,"No discount",IF(O230&lt;=0.2,"Up to 20%","Above 20%"))</f>
        <v>Up to 20%</v>
      </c>
    </row>
    <row r="231" customFormat="false" ht="15" hidden="false" customHeight="true" outlineLevel="0" collapsed="false">
      <c r="A231" s="7" t="s">
        <v>748</v>
      </c>
      <c r="B231" s="26" t="n">
        <v>45750</v>
      </c>
      <c r="C231" s="26" t="n">
        <v>45751</v>
      </c>
      <c r="D231" s="7" t="s">
        <v>465</v>
      </c>
      <c r="E231" s="7" t="s">
        <v>466</v>
      </c>
      <c r="F231" s="7" t="s">
        <v>219</v>
      </c>
      <c r="G231" s="7" t="s">
        <v>323</v>
      </c>
      <c r="H231" s="7" t="s">
        <v>324</v>
      </c>
      <c r="I231" s="7" t="s">
        <v>282</v>
      </c>
      <c r="J231" s="7" t="s">
        <v>387</v>
      </c>
      <c r="K231" s="7" t="s">
        <v>388</v>
      </c>
      <c r="L231" s="7" t="s">
        <v>389</v>
      </c>
      <c r="M231" s="7" t="n">
        <v>6</v>
      </c>
      <c r="N231" s="27" t="n">
        <v>1299</v>
      </c>
      <c r="O231" s="28" t="n">
        <v>0.1</v>
      </c>
      <c r="P231" s="27" t="n">
        <v>7015</v>
      </c>
      <c r="Q231" s="27" t="n">
        <v>4680</v>
      </c>
      <c r="R231" s="27" t="n">
        <v>2335</v>
      </c>
      <c r="S231" s="7" t="s">
        <v>60</v>
      </c>
      <c r="T231" s="7" t="str">
        <f aca="false">IF(O231=0,"No discount",IF(O231&lt;=0.2,"Up to 20%","Above 20%"))</f>
        <v>Up to 20%</v>
      </c>
    </row>
    <row r="232" customFormat="false" ht="15" hidden="false" customHeight="true" outlineLevel="0" collapsed="false">
      <c r="A232" s="7" t="s">
        <v>749</v>
      </c>
      <c r="B232" s="26" t="n">
        <v>45750</v>
      </c>
      <c r="C232" s="26" t="n">
        <v>45755</v>
      </c>
      <c r="D232" s="7" t="s">
        <v>542</v>
      </c>
      <c r="E232" s="7" t="s">
        <v>543</v>
      </c>
      <c r="F232" s="7" t="s">
        <v>159</v>
      </c>
      <c r="G232" s="7" t="s">
        <v>160</v>
      </c>
      <c r="H232" s="7" t="s">
        <v>269</v>
      </c>
      <c r="I232" s="7" t="s">
        <v>208</v>
      </c>
      <c r="J232" s="7" t="s">
        <v>232</v>
      </c>
      <c r="K232" s="7" t="s">
        <v>233</v>
      </c>
      <c r="L232" s="7" t="s">
        <v>234</v>
      </c>
      <c r="M232" s="7" t="n">
        <v>2</v>
      </c>
      <c r="N232" s="27" t="n">
        <v>7999</v>
      </c>
      <c r="O232" s="28" t="n">
        <v>0</v>
      </c>
      <c r="P232" s="27" t="n">
        <v>15998</v>
      </c>
      <c r="Q232" s="27" t="n">
        <v>11200</v>
      </c>
      <c r="R232" s="27" t="n">
        <v>4798</v>
      </c>
      <c r="S232" s="7" t="s">
        <v>60</v>
      </c>
      <c r="T232" s="7" t="str">
        <f aca="false">IF(O232=0,"No discount",IF(O232&lt;=0.2,"Up to 20%","Above 20%"))</f>
        <v>No discount</v>
      </c>
    </row>
    <row r="233" customFormat="false" ht="15" hidden="false" customHeight="true" outlineLevel="0" collapsed="false">
      <c r="A233" s="7" t="s">
        <v>750</v>
      </c>
      <c r="B233" s="26" t="n">
        <v>45750</v>
      </c>
      <c r="C233" s="26" t="n">
        <v>45753</v>
      </c>
      <c r="D233" s="7" t="s">
        <v>567</v>
      </c>
      <c r="E233" s="7" t="s">
        <v>568</v>
      </c>
      <c r="F233" s="7" t="s">
        <v>159</v>
      </c>
      <c r="G233" s="7" t="s">
        <v>169</v>
      </c>
      <c r="H233" s="7" t="s">
        <v>179</v>
      </c>
      <c r="I233" s="7" t="s">
        <v>199</v>
      </c>
      <c r="J233" s="7" t="s">
        <v>292</v>
      </c>
      <c r="K233" s="7" t="s">
        <v>293</v>
      </c>
      <c r="L233" s="7" t="s">
        <v>294</v>
      </c>
      <c r="M233" s="7" t="n">
        <v>1</v>
      </c>
      <c r="N233" s="27" t="n">
        <v>1599</v>
      </c>
      <c r="O233" s="28" t="n">
        <v>0.15</v>
      </c>
      <c r="P233" s="27" t="n">
        <v>1359</v>
      </c>
      <c r="Q233" s="27" t="n">
        <v>750</v>
      </c>
      <c r="R233" s="27" t="n">
        <v>609</v>
      </c>
      <c r="S233" s="7" t="s">
        <v>60</v>
      </c>
      <c r="T233" s="7" t="str">
        <f aca="false">IF(O233=0,"No discount",IF(O233&lt;=0.2,"Up to 20%","Above 20%"))</f>
        <v>Up to 20%</v>
      </c>
    </row>
    <row r="234" customFormat="false" ht="15" hidden="false" customHeight="true" outlineLevel="0" collapsed="false">
      <c r="A234" s="7" t="s">
        <v>751</v>
      </c>
      <c r="B234" s="26" t="n">
        <v>45750</v>
      </c>
      <c r="C234" s="26" t="n">
        <v>45751</v>
      </c>
      <c r="D234" s="7" t="s">
        <v>513</v>
      </c>
      <c r="E234" s="7" t="s">
        <v>514</v>
      </c>
      <c r="F234" s="7" t="s">
        <v>159</v>
      </c>
      <c r="G234" s="7" t="s">
        <v>169</v>
      </c>
      <c r="H234" s="7" t="s">
        <v>170</v>
      </c>
      <c r="I234" s="7" t="s">
        <v>282</v>
      </c>
      <c r="J234" s="7" t="s">
        <v>427</v>
      </c>
      <c r="K234" s="7" t="s">
        <v>428</v>
      </c>
      <c r="L234" s="7" t="s">
        <v>429</v>
      </c>
      <c r="M234" s="7" t="n">
        <v>4</v>
      </c>
      <c r="N234" s="27" t="n">
        <v>149</v>
      </c>
      <c r="O234" s="28" t="n">
        <v>0</v>
      </c>
      <c r="P234" s="27" t="n">
        <v>596</v>
      </c>
      <c r="Q234" s="27" t="n">
        <v>280</v>
      </c>
      <c r="R234" s="27" t="n">
        <v>316</v>
      </c>
      <c r="S234" s="7" t="s">
        <v>60</v>
      </c>
      <c r="T234" s="7" t="str">
        <f aca="false">IF(O234=0,"No discount",IF(O234&lt;=0.2,"Up to 20%","Above 20%"))</f>
        <v>No discount</v>
      </c>
    </row>
    <row r="235" customFormat="false" ht="15" hidden="false" customHeight="true" outlineLevel="0" collapsed="false">
      <c r="A235" s="7" t="s">
        <v>752</v>
      </c>
      <c r="B235" s="26" t="n">
        <v>45751</v>
      </c>
      <c r="C235" s="26" t="n">
        <v>45758</v>
      </c>
      <c r="D235" s="7" t="s">
        <v>753</v>
      </c>
      <c r="E235" s="7" t="s">
        <v>754</v>
      </c>
      <c r="F235" s="7" t="s">
        <v>159</v>
      </c>
      <c r="G235" s="7" t="s">
        <v>169</v>
      </c>
      <c r="H235" s="7" t="s">
        <v>191</v>
      </c>
      <c r="I235" s="7" t="s">
        <v>282</v>
      </c>
      <c r="J235" s="7" t="s">
        <v>427</v>
      </c>
      <c r="K235" s="7" t="s">
        <v>428</v>
      </c>
      <c r="L235" s="7" t="s">
        <v>429</v>
      </c>
      <c r="M235" s="7" t="n">
        <v>1</v>
      </c>
      <c r="N235" s="27" t="n">
        <v>149</v>
      </c>
      <c r="O235" s="28" t="n">
        <v>0</v>
      </c>
      <c r="P235" s="27" t="n">
        <v>149</v>
      </c>
      <c r="Q235" s="27" t="n">
        <v>70</v>
      </c>
      <c r="R235" s="27" t="n">
        <v>79</v>
      </c>
      <c r="S235" s="7" t="s">
        <v>60</v>
      </c>
      <c r="T235" s="7" t="str">
        <f aca="false">IF(O235=0,"No discount",IF(O235&lt;=0.2,"Up to 20%","Above 20%"))</f>
        <v>No discount</v>
      </c>
    </row>
    <row r="236" customFormat="false" ht="15" hidden="false" customHeight="true" outlineLevel="0" collapsed="false">
      <c r="A236" s="7" t="s">
        <v>755</v>
      </c>
      <c r="B236" s="26" t="n">
        <v>45751</v>
      </c>
      <c r="C236" s="26" t="n">
        <v>45757</v>
      </c>
      <c r="D236" s="7" t="s">
        <v>345</v>
      </c>
      <c r="E236" s="7" t="s">
        <v>346</v>
      </c>
      <c r="F236" s="7" t="s">
        <v>159</v>
      </c>
      <c r="G236" s="7" t="s">
        <v>160</v>
      </c>
      <c r="H236" s="7" t="s">
        <v>161</v>
      </c>
      <c r="I236" s="7" t="s">
        <v>171</v>
      </c>
      <c r="J236" s="7" t="s">
        <v>172</v>
      </c>
      <c r="K236" s="7" t="s">
        <v>180</v>
      </c>
      <c r="L236" s="7" t="s">
        <v>181</v>
      </c>
      <c r="M236" s="7" t="n">
        <v>3</v>
      </c>
      <c r="N236" s="27" t="n">
        <v>999</v>
      </c>
      <c r="O236" s="28" t="n">
        <v>0.1</v>
      </c>
      <c r="P236" s="27" t="n">
        <v>2697</v>
      </c>
      <c r="Q236" s="27" t="n">
        <v>1560</v>
      </c>
      <c r="R236" s="27" t="n">
        <v>1137</v>
      </c>
      <c r="S236" s="7" t="s">
        <v>60</v>
      </c>
      <c r="T236" s="7" t="str">
        <f aca="false">IF(O236=0,"No discount",IF(O236&lt;=0.2,"Up to 20%","Above 20%"))</f>
        <v>Up to 20%</v>
      </c>
    </row>
    <row r="237" customFormat="false" ht="15" hidden="false" customHeight="true" outlineLevel="0" collapsed="false">
      <c r="A237" s="7" t="s">
        <v>756</v>
      </c>
      <c r="B237" s="26" t="n">
        <v>45752</v>
      </c>
      <c r="C237" s="26" t="n">
        <v>45755</v>
      </c>
      <c r="D237" s="7" t="s">
        <v>757</v>
      </c>
      <c r="E237" s="7" t="s">
        <v>758</v>
      </c>
      <c r="F237" s="7" t="s">
        <v>159</v>
      </c>
      <c r="G237" s="7" t="s">
        <v>160</v>
      </c>
      <c r="H237" s="7" t="s">
        <v>161</v>
      </c>
      <c r="I237" s="7" t="s">
        <v>282</v>
      </c>
      <c r="J237" s="7" t="s">
        <v>427</v>
      </c>
      <c r="K237" s="7" t="s">
        <v>428</v>
      </c>
      <c r="L237" s="7" t="s">
        <v>429</v>
      </c>
      <c r="M237" s="7" t="n">
        <v>3</v>
      </c>
      <c r="N237" s="27" t="n">
        <v>149</v>
      </c>
      <c r="O237" s="28" t="n">
        <v>0.05</v>
      </c>
      <c r="P237" s="27" t="n">
        <v>425</v>
      </c>
      <c r="Q237" s="27" t="n">
        <v>210</v>
      </c>
      <c r="R237" s="27" t="n">
        <v>215</v>
      </c>
      <c r="S237" s="7" t="s">
        <v>60</v>
      </c>
      <c r="T237" s="7" t="str">
        <f aca="false">IF(O237=0,"No discount",IF(O237&lt;=0.2,"Up to 20%","Above 20%"))</f>
        <v>Up to 20%</v>
      </c>
    </row>
    <row r="238" customFormat="false" ht="15" hidden="false" customHeight="true" outlineLevel="0" collapsed="false">
      <c r="A238" s="7" t="s">
        <v>759</v>
      </c>
      <c r="B238" s="26" t="n">
        <v>45752</v>
      </c>
      <c r="C238" s="26" t="n">
        <v>45759</v>
      </c>
      <c r="D238" s="7" t="s">
        <v>760</v>
      </c>
      <c r="E238" s="7" t="s">
        <v>761</v>
      </c>
      <c r="F238" s="7" t="s">
        <v>159</v>
      </c>
      <c r="G238" s="7" t="s">
        <v>169</v>
      </c>
      <c r="H238" s="7" t="s">
        <v>170</v>
      </c>
      <c r="I238" s="7" t="s">
        <v>192</v>
      </c>
      <c r="J238" s="7" t="s">
        <v>502</v>
      </c>
      <c r="K238" s="7" t="s">
        <v>503</v>
      </c>
      <c r="L238" s="7" t="s">
        <v>504</v>
      </c>
      <c r="M238" s="7" t="n">
        <v>2</v>
      </c>
      <c r="N238" s="27" t="n">
        <v>3499</v>
      </c>
      <c r="O238" s="28" t="n">
        <v>0.3</v>
      </c>
      <c r="P238" s="27" t="n">
        <v>4899</v>
      </c>
      <c r="Q238" s="27" t="n">
        <v>5000</v>
      </c>
      <c r="R238" s="27" t="n">
        <v>-101</v>
      </c>
      <c r="S238" s="7" t="s">
        <v>60</v>
      </c>
      <c r="T238" s="7" t="str">
        <f aca="false">IF(O238=0,"No discount",IF(O238&lt;=0.2,"Up to 20%","Above 20%"))</f>
        <v>Above 20%</v>
      </c>
    </row>
    <row r="239" customFormat="false" ht="15" hidden="false" customHeight="true" outlineLevel="0" collapsed="false">
      <c r="A239" s="7" t="s">
        <v>762</v>
      </c>
      <c r="B239" s="26" t="n">
        <v>45752</v>
      </c>
      <c r="C239" s="26" t="n">
        <v>45755</v>
      </c>
      <c r="D239" s="7" t="s">
        <v>336</v>
      </c>
      <c r="E239" s="7" t="s">
        <v>337</v>
      </c>
      <c r="F239" s="7" t="s">
        <v>219</v>
      </c>
      <c r="G239" s="7" t="s">
        <v>206</v>
      </c>
      <c r="H239" s="7" t="s">
        <v>207</v>
      </c>
      <c r="I239" s="7" t="s">
        <v>199</v>
      </c>
      <c r="J239" s="7" t="s">
        <v>200</v>
      </c>
      <c r="K239" s="7" t="s">
        <v>201</v>
      </c>
      <c r="L239" s="7" t="s">
        <v>202</v>
      </c>
      <c r="M239" s="7" t="n">
        <v>1</v>
      </c>
      <c r="N239" s="27" t="n">
        <v>399</v>
      </c>
      <c r="O239" s="28" t="n">
        <v>0</v>
      </c>
      <c r="P239" s="27" t="n">
        <v>399</v>
      </c>
      <c r="Q239" s="27" t="n">
        <v>160</v>
      </c>
      <c r="R239" s="27" t="n">
        <v>239</v>
      </c>
      <c r="S239" s="7" t="s">
        <v>47</v>
      </c>
      <c r="T239" s="7" t="str">
        <f aca="false">IF(O239=0,"No discount",IF(O239&lt;=0.2,"Up to 20%","Above 20%"))</f>
        <v>No discount</v>
      </c>
    </row>
    <row r="240" customFormat="false" ht="15" hidden="false" customHeight="true" outlineLevel="0" collapsed="false">
      <c r="A240" s="7" t="s">
        <v>763</v>
      </c>
      <c r="B240" s="26" t="n">
        <v>45752</v>
      </c>
      <c r="C240" s="26" t="n">
        <v>45756</v>
      </c>
      <c r="D240" s="7" t="s">
        <v>764</v>
      </c>
      <c r="E240" s="7" t="s">
        <v>765</v>
      </c>
      <c r="F240" s="7" t="s">
        <v>159</v>
      </c>
      <c r="G240" s="7" t="s">
        <v>169</v>
      </c>
      <c r="H240" s="7" t="s">
        <v>170</v>
      </c>
      <c r="I240" s="7" t="s">
        <v>171</v>
      </c>
      <c r="J240" s="7" t="s">
        <v>172</v>
      </c>
      <c r="K240" s="7" t="s">
        <v>180</v>
      </c>
      <c r="L240" s="7" t="s">
        <v>181</v>
      </c>
      <c r="M240" s="7" t="n">
        <v>1</v>
      </c>
      <c r="N240" s="27" t="n">
        <v>999</v>
      </c>
      <c r="O240" s="28" t="n">
        <v>0.1</v>
      </c>
      <c r="P240" s="27" t="n">
        <v>899</v>
      </c>
      <c r="Q240" s="27" t="n">
        <v>520</v>
      </c>
      <c r="R240" s="27" t="n">
        <v>379</v>
      </c>
      <c r="S240" s="7" t="s">
        <v>60</v>
      </c>
      <c r="T240" s="7" t="str">
        <f aca="false">IF(O240=0,"No discount",IF(O240&lt;=0.2,"Up to 20%","Above 20%"))</f>
        <v>Up to 20%</v>
      </c>
    </row>
    <row r="241" customFormat="false" ht="15" hidden="false" customHeight="true" outlineLevel="0" collapsed="false">
      <c r="A241" s="7" t="s">
        <v>766</v>
      </c>
      <c r="B241" s="26" t="n">
        <v>45752</v>
      </c>
      <c r="C241" s="26" t="n">
        <v>45753</v>
      </c>
      <c r="D241" s="7" t="s">
        <v>767</v>
      </c>
      <c r="E241" s="7" t="s">
        <v>768</v>
      </c>
      <c r="F241" s="7" t="s">
        <v>159</v>
      </c>
      <c r="G241" s="7" t="s">
        <v>160</v>
      </c>
      <c r="H241" s="7" t="s">
        <v>269</v>
      </c>
      <c r="I241" s="7" t="s">
        <v>208</v>
      </c>
      <c r="J241" s="7" t="s">
        <v>232</v>
      </c>
      <c r="K241" s="7" t="s">
        <v>233</v>
      </c>
      <c r="L241" s="7" t="s">
        <v>234</v>
      </c>
      <c r="M241" s="7" t="n">
        <v>1</v>
      </c>
      <c r="N241" s="27" t="n">
        <v>7999</v>
      </c>
      <c r="O241" s="28" t="n">
        <v>0.05</v>
      </c>
      <c r="P241" s="27" t="n">
        <v>7599</v>
      </c>
      <c r="Q241" s="27" t="n">
        <v>5600</v>
      </c>
      <c r="R241" s="27" t="n">
        <v>1999</v>
      </c>
      <c r="S241" s="7" t="s">
        <v>60</v>
      </c>
      <c r="T241" s="7" t="str">
        <f aca="false">IF(O241=0,"No discount",IF(O241&lt;=0.2,"Up to 20%","Above 20%"))</f>
        <v>Up to 20%</v>
      </c>
    </row>
    <row r="242" customFormat="false" ht="15" hidden="false" customHeight="true" outlineLevel="0" collapsed="false">
      <c r="A242" s="7" t="s">
        <v>769</v>
      </c>
      <c r="B242" s="26" t="n">
        <v>45753</v>
      </c>
      <c r="C242" s="26" t="n">
        <v>45758</v>
      </c>
      <c r="D242" s="7" t="s">
        <v>204</v>
      </c>
      <c r="E242" s="7" t="s">
        <v>205</v>
      </c>
      <c r="F242" s="7" t="s">
        <v>159</v>
      </c>
      <c r="G242" s="7" t="s">
        <v>206</v>
      </c>
      <c r="H242" s="7" t="s">
        <v>207</v>
      </c>
      <c r="I242" s="7" t="s">
        <v>171</v>
      </c>
      <c r="J242" s="7" t="s">
        <v>304</v>
      </c>
      <c r="K242" s="7" t="s">
        <v>499</v>
      </c>
      <c r="L242" s="7" t="s">
        <v>500</v>
      </c>
      <c r="M242" s="7" t="n">
        <v>2</v>
      </c>
      <c r="N242" s="27" t="n">
        <v>5499</v>
      </c>
      <c r="O242" s="28" t="n">
        <v>0.05</v>
      </c>
      <c r="P242" s="27" t="n">
        <v>10448</v>
      </c>
      <c r="Q242" s="27" t="n">
        <v>7800</v>
      </c>
      <c r="R242" s="27" t="n">
        <v>2648</v>
      </c>
      <c r="S242" s="7" t="s">
        <v>60</v>
      </c>
      <c r="T242" s="7" t="str">
        <f aca="false">IF(O242=0,"No discount",IF(O242&lt;=0.2,"Up to 20%","Above 20%"))</f>
        <v>Up to 20%</v>
      </c>
    </row>
    <row r="243" customFormat="false" ht="15" hidden="false" customHeight="true" outlineLevel="0" collapsed="false">
      <c r="A243" s="7" t="s">
        <v>770</v>
      </c>
      <c r="B243" s="26" t="n">
        <v>45753</v>
      </c>
      <c r="C243" s="26" t="n">
        <v>45758</v>
      </c>
      <c r="D243" s="7" t="s">
        <v>244</v>
      </c>
      <c r="E243" s="7" t="s">
        <v>245</v>
      </c>
      <c r="F243" s="7" t="s">
        <v>178</v>
      </c>
      <c r="G243" s="7" t="s">
        <v>206</v>
      </c>
      <c r="H243" s="7" t="s">
        <v>207</v>
      </c>
      <c r="I243" s="7" t="s">
        <v>192</v>
      </c>
      <c r="J243" s="7" t="s">
        <v>502</v>
      </c>
      <c r="K243" s="7" t="s">
        <v>503</v>
      </c>
      <c r="L243" s="7" t="s">
        <v>504</v>
      </c>
      <c r="M243" s="7" t="n">
        <v>2</v>
      </c>
      <c r="N243" s="27" t="n">
        <v>3499</v>
      </c>
      <c r="O243" s="28" t="n">
        <v>0.2</v>
      </c>
      <c r="P243" s="27" t="n">
        <v>5598</v>
      </c>
      <c r="Q243" s="27" t="n">
        <v>5000</v>
      </c>
      <c r="R243" s="27" t="n">
        <v>598</v>
      </c>
      <c r="S243" s="7" t="s">
        <v>60</v>
      </c>
      <c r="T243" s="7" t="str">
        <f aca="false">IF(O243=0,"No discount",IF(O243&lt;=0.2,"Up to 20%","Above 20%"))</f>
        <v>Up to 20%</v>
      </c>
    </row>
    <row r="244" customFormat="false" ht="15" hidden="false" customHeight="true" outlineLevel="0" collapsed="false">
      <c r="A244" s="7" t="s">
        <v>771</v>
      </c>
      <c r="B244" s="26" t="n">
        <v>45753</v>
      </c>
      <c r="C244" s="26" t="n">
        <v>45757</v>
      </c>
      <c r="D244" s="7" t="s">
        <v>330</v>
      </c>
      <c r="E244" s="7" t="s">
        <v>331</v>
      </c>
      <c r="F244" s="7" t="s">
        <v>219</v>
      </c>
      <c r="G244" s="7" t="s">
        <v>206</v>
      </c>
      <c r="H244" s="7" t="s">
        <v>207</v>
      </c>
      <c r="I244" s="7" t="s">
        <v>282</v>
      </c>
      <c r="J244" s="7" t="s">
        <v>387</v>
      </c>
      <c r="K244" s="7" t="s">
        <v>691</v>
      </c>
      <c r="L244" s="7" t="s">
        <v>692</v>
      </c>
      <c r="M244" s="7" t="n">
        <v>10</v>
      </c>
      <c r="N244" s="27" t="n">
        <v>499</v>
      </c>
      <c r="O244" s="28" t="n">
        <v>0.1</v>
      </c>
      <c r="P244" s="27" t="n">
        <v>4491</v>
      </c>
      <c r="Q244" s="27" t="n">
        <v>2600</v>
      </c>
      <c r="R244" s="27" t="n">
        <v>1891</v>
      </c>
      <c r="S244" s="7" t="s">
        <v>60</v>
      </c>
      <c r="T244" s="7" t="str">
        <f aca="false">IF(O244=0,"No discount",IF(O244&lt;=0.2,"Up to 20%","Above 20%"))</f>
        <v>Up to 20%</v>
      </c>
    </row>
    <row r="245" customFormat="false" ht="15" hidden="false" customHeight="true" outlineLevel="0" collapsed="false">
      <c r="A245" s="7" t="s">
        <v>772</v>
      </c>
      <c r="B245" s="26" t="n">
        <v>45754</v>
      </c>
      <c r="C245" s="26" t="n">
        <v>45757</v>
      </c>
      <c r="D245" s="7" t="s">
        <v>773</v>
      </c>
      <c r="E245" s="7" t="s">
        <v>774</v>
      </c>
      <c r="F245" s="7" t="s">
        <v>159</v>
      </c>
      <c r="G245" s="7" t="s">
        <v>206</v>
      </c>
      <c r="H245" s="7" t="s">
        <v>207</v>
      </c>
      <c r="I245" s="7" t="s">
        <v>199</v>
      </c>
      <c r="J245" s="7" t="s">
        <v>292</v>
      </c>
      <c r="K245" s="7" t="s">
        <v>293</v>
      </c>
      <c r="L245" s="7" t="s">
        <v>294</v>
      </c>
      <c r="M245" s="7" t="n">
        <v>1</v>
      </c>
      <c r="N245" s="27" t="n">
        <v>1599</v>
      </c>
      <c r="O245" s="28" t="n">
        <v>0.2</v>
      </c>
      <c r="P245" s="27" t="n">
        <v>1279</v>
      </c>
      <c r="Q245" s="27" t="n">
        <v>750</v>
      </c>
      <c r="R245" s="27" t="n">
        <v>529</v>
      </c>
      <c r="S245" s="7" t="s">
        <v>60</v>
      </c>
      <c r="T245" s="7" t="str">
        <f aca="false">IF(O245=0,"No discount",IF(O245&lt;=0.2,"Up to 20%","Above 20%"))</f>
        <v>Up to 20%</v>
      </c>
    </row>
    <row r="246" customFormat="false" ht="15" hidden="false" customHeight="true" outlineLevel="0" collapsed="false">
      <c r="A246" s="7" t="s">
        <v>775</v>
      </c>
      <c r="B246" s="26" t="n">
        <v>45754</v>
      </c>
      <c r="C246" s="26" t="n">
        <v>45761</v>
      </c>
      <c r="D246" s="7" t="s">
        <v>197</v>
      </c>
      <c r="E246" s="7" t="s">
        <v>198</v>
      </c>
      <c r="F246" s="7" t="s">
        <v>178</v>
      </c>
      <c r="G246" s="7" t="s">
        <v>169</v>
      </c>
      <c r="H246" s="7" t="s">
        <v>191</v>
      </c>
      <c r="I246" s="7" t="s">
        <v>282</v>
      </c>
      <c r="J246" s="7" t="s">
        <v>427</v>
      </c>
      <c r="K246" s="7" t="s">
        <v>428</v>
      </c>
      <c r="L246" s="7" t="s">
        <v>429</v>
      </c>
      <c r="M246" s="7" t="n">
        <v>1</v>
      </c>
      <c r="N246" s="27" t="n">
        <v>149</v>
      </c>
      <c r="O246" s="28" t="n">
        <v>0.05</v>
      </c>
      <c r="P246" s="27" t="n">
        <v>142</v>
      </c>
      <c r="Q246" s="27" t="n">
        <v>70</v>
      </c>
      <c r="R246" s="27" t="n">
        <v>72</v>
      </c>
      <c r="S246" s="7" t="s">
        <v>60</v>
      </c>
      <c r="T246" s="7" t="str">
        <f aca="false">IF(O246=0,"No discount",IF(O246&lt;=0.2,"Up to 20%","Above 20%"))</f>
        <v>Up to 20%</v>
      </c>
    </row>
    <row r="247" customFormat="false" ht="15" hidden="false" customHeight="true" outlineLevel="0" collapsed="false">
      <c r="A247" s="7" t="s">
        <v>776</v>
      </c>
      <c r="B247" s="26" t="n">
        <v>45755</v>
      </c>
      <c r="C247" s="26" t="n">
        <v>45762</v>
      </c>
      <c r="D247" s="7" t="s">
        <v>581</v>
      </c>
      <c r="E247" s="7" t="s">
        <v>582</v>
      </c>
      <c r="F247" s="7" t="s">
        <v>159</v>
      </c>
      <c r="G247" s="7" t="s">
        <v>323</v>
      </c>
      <c r="H247" s="7" t="s">
        <v>324</v>
      </c>
      <c r="I247" s="7" t="s">
        <v>171</v>
      </c>
      <c r="J247" s="7" t="s">
        <v>304</v>
      </c>
      <c r="K247" s="7" t="s">
        <v>305</v>
      </c>
      <c r="L247" s="7" t="s">
        <v>306</v>
      </c>
      <c r="M247" s="7" t="n">
        <v>4</v>
      </c>
      <c r="N247" s="27" t="n">
        <v>2999</v>
      </c>
      <c r="O247" s="28" t="n">
        <v>0.05</v>
      </c>
      <c r="P247" s="27" t="n">
        <v>11396</v>
      </c>
      <c r="Q247" s="27" t="n">
        <v>8000</v>
      </c>
      <c r="R247" s="27" t="n">
        <v>3396</v>
      </c>
      <c r="S247" s="7" t="s">
        <v>60</v>
      </c>
      <c r="T247" s="7" t="str">
        <f aca="false">IF(O247=0,"No discount",IF(O247&lt;=0.2,"Up to 20%","Above 20%"))</f>
        <v>Up to 20%</v>
      </c>
    </row>
    <row r="248" customFormat="false" ht="15" hidden="false" customHeight="true" outlineLevel="0" collapsed="false">
      <c r="A248" s="7" t="s">
        <v>777</v>
      </c>
      <c r="B248" s="26" t="n">
        <v>45757</v>
      </c>
      <c r="C248" s="26" t="n">
        <v>45762</v>
      </c>
      <c r="D248" s="7" t="s">
        <v>345</v>
      </c>
      <c r="E248" s="7" t="s">
        <v>346</v>
      </c>
      <c r="F248" s="7" t="s">
        <v>159</v>
      </c>
      <c r="G248" s="7" t="s">
        <v>160</v>
      </c>
      <c r="H248" s="7" t="s">
        <v>161</v>
      </c>
      <c r="I248" s="7" t="s">
        <v>162</v>
      </c>
      <c r="J248" s="7" t="s">
        <v>185</v>
      </c>
      <c r="K248" s="7" t="s">
        <v>186</v>
      </c>
      <c r="L248" s="7" t="s">
        <v>187</v>
      </c>
      <c r="M248" s="7" t="n">
        <v>2</v>
      </c>
      <c r="N248" s="27" t="n">
        <v>3299</v>
      </c>
      <c r="O248" s="28" t="n">
        <v>0.3</v>
      </c>
      <c r="P248" s="27" t="n">
        <v>4619</v>
      </c>
      <c r="Q248" s="27" t="n">
        <v>3800</v>
      </c>
      <c r="R248" s="27" t="n">
        <v>819</v>
      </c>
      <c r="S248" s="7" t="s">
        <v>60</v>
      </c>
      <c r="T248" s="7" t="str">
        <f aca="false">IF(O248=0,"No discount",IF(O248&lt;=0.2,"Up to 20%","Above 20%"))</f>
        <v>Above 20%</v>
      </c>
    </row>
    <row r="249" customFormat="false" ht="15" hidden="false" customHeight="true" outlineLevel="0" collapsed="false">
      <c r="A249" s="7" t="s">
        <v>778</v>
      </c>
      <c r="B249" s="26" t="n">
        <v>45757</v>
      </c>
      <c r="C249" s="26" t="n">
        <v>45758</v>
      </c>
      <c r="D249" s="7" t="s">
        <v>485</v>
      </c>
      <c r="E249" s="7" t="s">
        <v>486</v>
      </c>
      <c r="F249" s="7" t="s">
        <v>159</v>
      </c>
      <c r="G249" s="7" t="s">
        <v>169</v>
      </c>
      <c r="H249" s="7" t="s">
        <v>179</v>
      </c>
      <c r="I249" s="7" t="s">
        <v>199</v>
      </c>
      <c r="J249" s="7" t="s">
        <v>223</v>
      </c>
      <c r="K249" s="7" t="s">
        <v>246</v>
      </c>
      <c r="L249" s="7" t="s">
        <v>247</v>
      </c>
      <c r="M249" s="7" t="n">
        <v>1</v>
      </c>
      <c r="N249" s="27" t="n">
        <v>599</v>
      </c>
      <c r="O249" s="28" t="n">
        <v>0.15</v>
      </c>
      <c r="P249" s="27" t="n">
        <v>509</v>
      </c>
      <c r="Q249" s="27" t="n">
        <v>270</v>
      </c>
      <c r="R249" s="27" t="n">
        <v>239</v>
      </c>
      <c r="S249" s="7" t="s">
        <v>60</v>
      </c>
      <c r="T249" s="7" t="str">
        <f aca="false">IF(O249=0,"No discount",IF(O249&lt;=0.2,"Up to 20%","Above 20%"))</f>
        <v>Up to 20%</v>
      </c>
    </row>
    <row r="250" customFormat="false" ht="15" hidden="false" customHeight="true" outlineLevel="0" collapsed="false">
      <c r="A250" s="7" t="s">
        <v>779</v>
      </c>
      <c r="B250" s="26" t="n">
        <v>45758</v>
      </c>
      <c r="C250" s="26" t="n">
        <v>45759</v>
      </c>
      <c r="D250" s="7" t="s">
        <v>545</v>
      </c>
      <c r="E250" s="7" t="s">
        <v>546</v>
      </c>
      <c r="F250" s="7" t="s">
        <v>219</v>
      </c>
      <c r="G250" s="7" t="s">
        <v>169</v>
      </c>
      <c r="H250" s="7" t="s">
        <v>179</v>
      </c>
      <c r="I250" s="7" t="s">
        <v>199</v>
      </c>
      <c r="J250" s="7" t="s">
        <v>200</v>
      </c>
      <c r="K250" s="7" t="s">
        <v>201</v>
      </c>
      <c r="L250" s="7" t="s">
        <v>202</v>
      </c>
      <c r="M250" s="7" t="n">
        <v>1</v>
      </c>
      <c r="N250" s="27" t="n">
        <v>399</v>
      </c>
      <c r="O250" s="28" t="n">
        <v>0</v>
      </c>
      <c r="P250" s="27" t="n">
        <v>399</v>
      </c>
      <c r="Q250" s="27" t="n">
        <v>160</v>
      </c>
      <c r="R250" s="27" t="n">
        <v>239</v>
      </c>
      <c r="S250" s="7" t="s">
        <v>60</v>
      </c>
      <c r="T250" s="7" t="str">
        <f aca="false">IF(O250=0,"No discount",IF(O250&lt;=0.2,"Up to 20%","Above 20%"))</f>
        <v>No discount</v>
      </c>
    </row>
    <row r="251" customFormat="false" ht="15" hidden="false" customHeight="true" outlineLevel="0" collapsed="false">
      <c r="A251" s="7" t="s">
        <v>780</v>
      </c>
      <c r="B251" s="26" t="n">
        <v>45758</v>
      </c>
      <c r="C251" s="26" t="n">
        <v>45762</v>
      </c>
      <c r="D251" s="7" t="s">
        <v>781</v>
      </c>
      <c r="E251" s="7" t="s">
        <v>782</v>
      </c>
      <c r="F251" s="7" t="s">
        <v>219</v>
      </c>
      <c r="G251" s="7" t="s">
        <v>160</v>
      </c>
      <c r="H251" s="7" t="s">
        <v>269</v>
      </c>
      <c r="I251" s="7" t="s">
        <v>192</v>
      </c>
      <c r="J251" s="7" t="s">
        <v>213</v>
      </c>
      <c r="K251" s="7" t="s">
        <v>264</v>
      </c>
      <c r="L251" s="7" t="s">
        <v>265</v>
      </c>
      <c r="M251" s="7" t="n">
        <v>1</v>
      </c>
      <c r="N251" s="27" t="n">
        <v>2499</v>
      </c>
      <c r="O251" s="28" t="n">
        <v>0.1</v>
      </c>
      <c r="P251" s="27" t="n">
        <v>2249</v>
      </c>
      <c r="Q251" s="27" t="n">
        <v>1700</v>
      </c>
      <c r="R251" s="27" t="n">
        <v>549</v>
      </c>
      <c r="S251" s="7" t="s">
        <v>60</v>
      </c>
      <c r="T251" s="7" t="str">
        <f aca="false">IF(O251=0,"No discount",IF(O251&lt;=0.2,"Up to 20%","Above 20%"))</f>
        <v>Up to 20%</v>
      </c>
    </row>
    <row r="252" customFormat="false" ht="15" hidden="false" customHeight="true" outlineLevel="0" collapsed="false">
      <c r="A252" s="7" t="s">
        <v>783</v>
      </c>
      <c r="B252" s="26" t="n">
        <v>45758</v>
      </c>
      <c r="C252" s="26" t="n">
        <v>45761</v>
      </c>
      <c r="D252" s="7" t="s">
        <v>462</v>
      </c>
      <c r="E252" s="7" t="s">
        <v>463</v>
      </c>
      <c r="F252" s="7" t="s">
        <v>159</v>
      </c>
      <c r="G252" s="7" t="s">
        <v>169</v>
      </c>
      <c r="H252" s="7" t="s">
        <v>191</v>
      </c>
      <c r="I252" s="7" t="s">
        <v>171</v>
      </c>
      <c r="J252" s="7" t="s">
        <v>304</v>
      </c>
      <c r="K252" s="7" t="s">
        <v>305</v>
      </c>
      <c r="L252" s="7" t="s">
        <v>306</v>
      </c>
      <c r="M252" s="7" t="n">
        <v>4</v>
      </c>
      <c r="N252" s="27" t="n">
        <v>2999</v>
      </c>
      <c r="O252" s="28" t="n">
        <v>0</v>
      </c>
      <c r="P252" s="27" t="n">
        <v>11996</v>
      </c>
      <c r="Q252" s="27" t="n">
        <v>8000</v>
      </c>
      <c r="R252" s="27" t="n">
        <v>3996</v>
      </c>
      <c r="S252" s="7" t="s">
        <v>60</v>
      </c>
      <c r="T252" s="7" t="str">
        <f aca="false">IF(O252=0,"No discount",IF(O252&lt;=0.2,"Up to 20%","Above 20%"))</f>
        <v>No discount</v>
      </c>
    </row>
    <row r="253" customFormat="false" ht="15" hidden="false" customHeight="true" outlineLevel="0" collapsed="false">
      <c r="A253" s="7" t="s">
        <v>784</v>
      </c>
      <c r="B253" s="26" t="n">
        <v>45758</v>
      </c>
      <c r="C253" s="26" t="n">
        <v>45765</v>
      </c>
      <c r="D253" s="7" t="s">
        <v>456</v>
      </c>
      <c r="E253" s="7" t="s">
        <v>457</v>
      </c>
      <c r="F253" s="7" t="s">
        <v>159</v>
      </c>
      <c r="G253" s="7" t="s">
        <v>169</v>
      </c>
      <c r="H253" s="7" t="s">
        <v>170</v>
      </c>
      <c r="I253" s="7" t="s">
        <v>192</v>
      </c>
      <c r="J253" s="7" t="s">
        <v>193</v>
      </c>
      <c r="K253" s="7" t="s">
        <v>194</v>
      </c>
      <c r="L253" s="7" t="s">
        <v>195</v>
      </c>
      <c r="M253" s="7" t="n">
        <v>1</v>
      </c>
      <c r="N253" s="27" t="n">
        <v>8999</v>
      </c>
      <c r="O253" s="28" t="n">
        <v>0.2</v>
      </c>
      <c r="P253" s="27" t="n">
        <v>7199</v>
      </c>
      <c r="Q253" s="27" t="n">
        <v>6800</v>
      </c>
      <c r="R253" s="27" t="n">
        <v>399</v>
      </c>
      <c r="S253" s="7" t="s">
        <v>60</v>
      </c>
      <c r="T253" s="7" t="str">
        <f aca="false">IF(O253=0,"No discount",IF(O253&lt;=0.2,"Up to 20%","Above 20%"))</f>
        <v>Up to 20%</v>
      </c>
    </row>
    <row r="254" customFormat="false" ht="15" hidden="false" customHeight="true" outlineLevel="0" collapsed="false">
      <c r="A254" s="7" t="s">
        <v>785</v>
      </c>
      <c r="B254" s="26" t="n">
        <v>45758</v>
      </c>
      <c r="C254" s="26" t="n">
        <v>45759</v>
      </c>
      <c r="D254" s="7" t="s">
        <v>726</v>
      </c>
      <c r="E254" s="7" t="s">
        <v>727</v>
      </c>
      <c r="F254" s="7" t="s">
        <v>178</v>
      </c>
      <c r="G254" s="7" t="s">
        <v>206</v>
      </c>
      <c r="H254" s="7" t="s">
        <v>207</v>
      </c>
      <c r="I254" s="7" t="s">
        <v>171</v>
      </c>
      <c r="J254" s="7" t="s">
        <v>172</v>
      </c>
      <c r="K254" s="7" t="s">
        <v>593</v>
      </c>
      <c r="L254" s="7" t="s">
        <v>594</v>
      </c>
      <c r="M254" s="7" t="n">
        <v>1</v>
      </c>
      <c r="N254" s="27" t="n">
        <v>1199</v>
      </c>
      <c r="O254" s="28" t="n">
        <v>0.2</v>
      </c>
      <c r="P254" s="27" t="n">
        <v>959</v>
      </c>
      <c r="Q254" s="27" t="n">
        <v>650</v>
      </c>
      <c r="R254" s="27" t="n">
        <v>309</v>
      </c>
      <c r="S254" s="7" t="s">
        <v>60</v>
      </c>
      <c r="T254" s="7" t="str">
        <f aca="false">IF(O254=0,"No discount",IF(O254&lt;=0.2,"Up to 20%","Above 20%"))</f>
        <v>Up to 20%</v>
      </c>
    </row>
    <row r="255" customFormat="false" ht="15" hidden="false" customHeight="true" outlineLevel="0" collapsed="false">
      <c r="A255" s="7" t="s">
        <v>786</v>
      </c>
      <c r="B255" s="26" t="n">
        <v>45759</v>
      </c>
      <c r="C255" s="26" t="n">
        <v>45763</v>
      </c>
      <c r="D255" s="7" t="s">
        <v>485</v>
      </c>
      <c r="E255" s="7" t="s">
        <v>486</v>
      </c>
      <c r="F255" s="7" t="s">
        <v>159</v>
      </c>
      <c r="G255" s="7" t="s">
        <v>169</v>
      </c>
      <c r="H255" s="7" t="s">
        <v>179</v>
      </c>
      <c r="I255" s="7" t="s">
        <v>171</v>
      </c>
      <c r="J255" s="7" t="s">
        <v>172</v>
      </c>
      <c r="K255" s="7" t="s">
        <v>173</v>
      </c>
      <c r="L255" s="7" t="s">
        <v>174</v>
      </c>
      <c r="M255" s="7" t="n">
        <v>3</v>
      </c>
      <c r="N255" s="27" t="n">
        <v>699</v>
      </c>
      <c r="O255" s="28" t="n">
        <v>0.05</v>
      </c>
      <c r="P255" s="27" t="n">
        <v>1992</v>
      </c>
      <c r="Q255" s="27" t="n">
        <v>960</v>
      </c>
      <c r="R255" s="27" t="n">
        <v>1032</v>
      </c>
      <c r="S255" s="7" t="s">
        <v>60</v>
      </c>
      <c r="T255" s="7" t="str">
        <f aca="false">IF(O255=0,"No discount",IF(O255&lt;=0.2,"Up to 20%","Above 20%"))</f>
        <v>Up to 20%</v>
      </c>
    </row>
    <row r="256" customFormat="false" ht="15" hidden="false" customHeight="true" outlineLevel="0" collapsed="false">
      <c r="A256" s="7" t="s">
        <v>787</v>
      </c>
      <c r="B256" s="26" t="n">
        <v>45759</v>
      </c>
      <c r="C256" s="26" t="n">
        <v>45761</v>
      </c>
      <c r="D256" s="7" t="s">
        <v>432</v>
      </c>
      <c r="E256" s="7" t="s">
        <v>433</v>
      </c>
      <c r="F256" s="7" t="s">
        <v>219</v>
      </c>
      <c r="G256" s="7" t="s">
        <v>169</v>
      </c>
      <c r="H256" s="7" t="s">
        <v>170</v>
      </c>
      <c r="I256" s="7" t="s">
        <v>282</v>
      </c>
      <c r="J256" s="7" t="s">
        <v>427</v>
      </c>
      <c r="K256" s="7" t="s">
        <v>428</v>
      </c>
      <c r="L256" s="7" t="s">
        <v>429</v>
      </c>
      <c r="M256" s="7" t="n">
        <v>6</v>
      </c>
      <c r="N256" s="27" t="n">
        <v>149</v>
      </c>
      <c r="O256" s="28" t="n">
        <v>0.1</v>
      </c>
      <c r="P256" s="27" t="n">
        <v>805</v>
      </c>
      <c r="Q256" s="27" t="n">
        <v>420</v>
      </c>
      <c r="R256" s="27" t="n">
        <v>385</v>
      </c>
      <c r="S256" s="7" t="s">
        <v>60</v>
      </c>
      <c r="T256" s="7" t="str">
        <f aca="false">IF(O256=0,"No discount",IF(O256&lt;=0.2,"Up to 20%","Above 20%"))</f>
        <v>Up to 20%</v>
      </c>
    </row>
    <row r="257" customFormat="false" ht="15" hidden="false" customHeight="true" outlineLevel="0" collapsed="false">
      <c r="A257" s="7" t="s">
        <v>788</v>
      </c>
      <c r="B257" s="26" t="n">
        <v>45759</v>
      </c>
      <c r="C257" s="26" t="n">
        <v>45764</v>
      </c>
      <c r="D257" s="7" t="s">
        <v>789</v>
      </c>
      <c r="E257" s="7" t="s">
        <v>790</v>
      </c>
      <c r="F257" s="7" t="s">
        <v>159</v>
      </c>
      <c r="G257" s="7" t="s">
        <v>160</v>
      </c>
      <c r="H257" s="7" t="s">
        <v>161</v>
      </c>
      <c r="I257" s="7" t="s">
        <v>199</v>
      </c>
      <c r="J257" s="7" t="s">
        <v>398</v>
      </c>
      <c r="K257" s="7" t="s">
        <v>399</v>
      </c>
      <c r="L257" s="7" t="s">
        <v>400</v>
      </c>
      <c r="M257" s="7" t="n">
        <v>3</v>
      </c>
      <c r="N257" s="27" t="n">
        <v>749</v>
      </c>
      <c r="O257" s="28" t="n">
        <v>0.2</v>
      </c>
      <c r="P257" s="27" t="n">
        <v>1798</v>
      </c>
      <c r="Q257" s="27" t="n">
        <v>1050</v>
      </c>
      <c r="R257" s="27" t="n">
        <v>748</v>
      </c>
      <c r="S257" s="7" t="s">
        <v>60</v>
      </c>
      <c r="T257" s="7" t="str">
        <f aca="false">IF(O257=0,"No discount",IF(O257&lt;=0.2,"Up to 20%","Above 20%"))</f>
        <v>Up to 20%</v>
      </c>
    </row>
    <row r="258" customFormat="false" ht="15" hidden="false" customHeight="true" outlineLevel="0" collapsed="false">
      <c r="A258" s="7" t="s">
        <v>791</v>
      </c>
      <c r="B258" s="26" t="n">
        <v>45760</v>
      </c>
      <c r="C258" s="26" t="n">
        <v>45766</v>
      </c>
      <c r="D258" s="7" t="s">
        <v>792</v>
      </c>
      <c r="E258" s="7" t="s">
        <v>793</v>
      </c>
      <c r="F258" s="7" t="s">
        <v>219</v>
      </c>
      <c r="G258" s="7" t="s">
        <v>160</v>
      </c>
      <c r="H258" s="7" t="s">
        <v>161</v>
      </c>
      <c r="I258" s="7" t="s">
        <v>171</v>
      </c>
      <c r="J258" s="7" t="s">
        <v>304</v>
      </c>
      <c r="K258" s="7" t="s">
        <v>499</v>
      </c>
      <c r="L258" s="7" t="s">
        <v>500</v>
      </c>
      <c r="M258" s="7" t="n">
        <v>5</v>
      </c>
      <c r="N258" s="27" t="n">
        <v>5499</v>
      </c>
      <c r="O258" s="28" t="n">
        <v>0</v>
      </c>
      <c r="P258" s="27" t="n">
        <v>27495</v>
      </c>
      <c r="Q258" s="27" t="n">
        <v>19500</v>
      </c>
      <c r="R258" s="27" t="n">
        <v>7995</v>
      </c>
      <c r="S258" s="7" t="s">
        <v>60</v>
      </c>
      <c r="T258" s="7" t="str">
        <f aca="false">IF(O258=0,"No discount",IF(O258&lt;=0.2,"Up to 20%","Above 20%"))</f>
        <v>No discount</v>
      </c>
    </row>
    <row r="259" customFormat="false" ht="15" hidden="false" customHeight="true" outlineLevel="0" collapsed="false">
      <c r="A259" s="7" t="s">
        <v>794</v>
      </c>
      <c r="B259" s="26" t="n">
        <v>45760</v>
      </c>
      <c r="C259" s="26" t="n">
        <v>45766</v>
      </c>
      <c r="D259" s="7" t="s">
        <v>456</v>
      </c>
      <c r="E259" s="7" t="s">
        <v>457</v>
      </c>
      <c r="F259" s="7" t="s">
        <v>159</v>
      </c>
      <c r="G259" s="7" t="s">
        <v>169</v>
      </c>
      <c r="H259" s="7" t="s">
        <v>170</v>
      </c>
      <c r="I259" s="7" t="s">
        <v>208</v>
      </c>
      <c r="J259" s="7" t="s">
        <v>209</v>
      </c>
      <c r="K259" s="7" t="s">
        <v>238</v>
      </c>
      <c r="L259" s="7" t="s">
        <v>239</v>
      </c>
      <c r="M259" s="7" t="n">
        <v>2</v>
      </c>
      <c r="N259" s="27" t="n">
        <v>2199</v>
      </c>
      <c r="O259" s="28" t="n">
        <v>0</v>
      </c>
      <c r="P259" s="27" t="n">
        <v>4398</v>
      </c>
      <c r="Q259" s="27" t="n">
        <v>2800</v>
      </c>
      <c r="R259" s="27" t="n">
        <v>1598</v>
      </c>
      <c r="S259" s="7" t="s">
        <v>60</v>
      </c>
      <c r="T259" s="7" t="str">
        <f aca="false">IF(O259=0,"No discount",IF(O259&lt;=0.2,"Up to 20%","Above 20%"))</f>
        <v>No discount</v>
      </c>
    </row>
    <row r="260" customFormat="false" ht="15" hidden="false" customHeight="true" outlineLevel="0" collapsed="false">
      <c r="A260" s="7" t="s">
        <v>795</v>
      </c>
      <c r="B260" s="26" t="n">
        <v>45760</v>
      </c>
      <c r="C260" s="26" t="n">
        <v>45764</v>
      </c>
      <c r="D260" s="7" t="s">
        <v>796</v>
      </c>
      <c r="E260" s="7" t="s">
        <v>797</v>
      </c>
      <c r="F260" s="7" t="s">
        <v>219</v>
      </c>
      <c r="G260" s="7" t="s">
        <v>169</v>
      </c>
      <c r="H260" s="7" t="s">
        <v>170</v>
      </c>
      <c r="I260" s="7" t="s">
        <v>171</v>
      </c>
      <c r="J260" s="7" t="s">
        <v>172</v>
      </c>
      <c r="K260" s="7" t="s">
        <v>593</v>
      </c>
      <c r="L260" s="7" t="s">
        <v>594</v>
      </c>
      <c r="M260" s="7" t="n">
        <v>1</v>
      </c>
      <c r="N260" s="27" t="n">
        <v>1199</v>
      </c>
      <c r="O260" s="28" t="n">
        <v>0</v>
      </c>
      <c r="P260" s="27" t="n">
        <v>1199</v>
      </c>
      <c r="Q260" s="27" t="n">
        <v>650</v>
      </c>
      <c r="R260" s="27" t="n">
        <v>549</v>
      </c>
      <c r="S260" s="7" t="s">
        <v>60</v>
      </c>
      <c r="T260" s="7" t="str">
        <f aca="false">IF(O260=0,"No discount",IF(O260&lt;=0.2,"Up to 20%","Above 20%"))</f>
        <v>No discount</v>
      </c>
    </row>
    <row r="261" customFormat="false" ht="15" hidden="false" customHeight="true" outlineLevel="0" collapsed="false">
      <c r="A261" s="7" t="s">
        <v>798</v>
      </c>
      <c r="B261" s="26" t="n">
        <v>45760</v>
      </c>
      <c r="C261" s="26" t="n">
        <v>45761</v>
      </c>
      <c r="D261" s="7" t="s">
        <v>799</v>
      </c>
      <c r="E261" s="7" t="s">
        <v>800</v>
      </c>
      <c r="F261" s="7" t="s">
        <v>159</v>
      </c>
      <c r="G261" s="7" t="s">
        <v>169</v>
      </c>
      <c r="H261" s="7" t="s">
        <v>191</v>
      </c>
      <c r="I261" s="7" t="s">
        <v>199</v>
      </c>
      <c r="J261" s="7" t="s">
        <v>292</v>
      </c>
      <c r="K261" s="7" t="s">
        <v>293</v>
      </c>
      <c r="L261" s="7" t="s">
        <v>294</v>
      </c>
      <c r="M261" s="7" t="n">
        <v>2</v>
      </c>
      <c r="N261" s="27" t="n">
        <v>1599</v>
      </c>
      <c r="O261" s="28" t="n">
        <v>0.15</v>
      </c>
      <c r="P261" s="27" t="n">
        <v>2718</v>
      </c>
      <c r="Q261" s="27" t="n">
        <v>1500</v>
      </c>
      <c r="R261" s="27" t="n">
        <v>1218</v>
      </c>
      <c r="S261" s="7" t="s">
        <v>60</v>
      </c>
      <c r="T261" s="7" t="str">
        <f aca="false">IF(O261=0,"No discount",IF(O261&lt;=0.2,"Up to 20%","Above 20%"))</f>
        <v>Up to 20%</v>
      </c>
    </row>
    <row r="262" customFormat="false" ht="15" hidden="false" customHeight="true" outlineLevel="0" collapsed="false">
      <c r="A262" s="7" t="s">
        <v>801</v>
      </c>
      <c r="B262" s="26" t="n">
        <v>45761</v>
      </c>
      <c r="C262" s="26" t="n">
        <v>45765</v>
      </c>
      <c r="D262" s="7" t="s">
        <v>244</v>
      </c>
      <c r="E262" s="7" t="s">
        <v>245</v>
      </c>
      <c r="F262" s="7" t="s">
        <v>178</v>
      </c>
      <c r="G262" s="7" t="s">
        <v>206</v>
      </c>
      <c r="H262" s="7" t="s">
        <v>207</v>
      </c>
      <c r="I262" s="7" t="s">
        <v>192</v>
      </c>
      <c r="J262" s="7" t="s">
        <v>193</v>
      </c>
      <c r="K262" s="7" t="s">
        <v>194</v>
      </c>
      <c r="L262" s="7" t="s">
        <v>195</v>
      </c>
      <c r="M262" s="7" t="n">
        <v>5</v>
      </c>
      <c r="N262" s="27" t="n">
        <v>8999</v>
      </c>
      <c r="O262" s="28" t="n">
        <v>0</v>
      </c>
      <c r="P262" s="27" t="n">
        <v>44995</v>
      </c>
      <c r="Q262" s="27" t="n">
        <v>34000</v>
      </c>
      <c r="R262" s="27" t="n">
        <v>10995</v>
      </c>
      <c r="S262" s="7" t="s">
        <v>60</v>
      </c>
      <c r="T262" s="7" t="str">
        <f aca="false">IF(O262=0,"No discount",IF(O262&lt;=0.2,"Up to 20%","Above 20%"))</f>
        <v>No discount</v>
      </c>
    </row>
    <row r="263" customFormat="false" ht="15" hidden="false" customHeight="true" outlineLevel="0" collapsed="false">
      <c r="A263" s="7" t="s">
        <v>802</v>
      </c>
      <c r="B263" s="26" t="n">
        <v>45761</v>
      </c>
      <c r="C263" s="26" t="n">
        <v>45766</v>
      </c>
      <c r="D263" s="7" t="s">
        <v>221</v>
      </c>
      <c r="E263" s="7" t="s">
        <v>222</v>
      </c>
      <c r="F263" s="7" t="s">
        <v>219</v>
      </c>
      <c r="G263" s="7" t="s">
        <v>160</v>
      </c>
      <c r="H263" s="7" t="s">
        <v>161</v>
      </c>
      <c r="I263" s="7" t="s">
        <v>171</v>
      </c>
      <c r="J263" s="7" t="s">
        <v>172</v>
      </c>
      <c r="K263" s="7" t="s">
        <v>180</v>
      </c>
      <c r="L263" s="7" t="s">
        <v>181</v>
      </c>
      <c r="M263" s="7" t="n">
        <v>1</v>
      </c>
      <c r="N263" s="27" t="n">
        <v>999</v>
      </c>
      <c r="O263" s="28" t="n">
        <v>0.05</v>
      </c>
      <c r="P263" s="27" t="n">
        <v>949</v>
      </c>
      <c r="Q263" s="27" t="n">
        <v>520</v>
      </c>
      <c r="R263" s="27" t="n">
        <v>429</v>
      </c>
      <c r="S263" s="7" t="s">
        <v>60</v>
      </c>
      <c r="T263" s="7" t="str">
        <f aca="false">IF(O263=0,"No discount",IF(O263&lt;=0.2,"Up to 20%","Above 20%"))</f>
        <v>Up to 20%</v>
      </c>
    </row>
    <row r="264" customFormat="false" ht="15" hidden="false" customHeight="true" outlineLevel="0" collapsed="false">
      <c r="A264" s="7" t="s">
        <v>803</v>
      </c>
      <c r="B264" s="26" t="n">
        <v>45761</v>
      </c>
      <c r="C264" s="26" t="n">
        <v>45768</v>
      </c>
      <c r="D264" s="7" t="s">
        <v>591</v>
      </c>
      <c r="E264" s="7" t="s">
        <v>592</v>
      </c>
      <c r="F264" s="7" t="s">
        <v>159</v>
      </c>
      <c r="G264" s="7" t="s">
        <v>169</v>
      </c>
      <c r="H264" s="7" t="s">
        <v>179</v>
      </c>
      <c r="I264" s="7" t="s">
        <v>171</v>
      </c>
      <c r="J264" s="7" t="s">
        <v>304</v>
      </c>
      <c r="K264" s="7" t="s">
        <v>305</v>
      </c>
      <c r="L264" s="7" t="s">
        <v>306</v>
      </c>
      <c r="M264" s="7" t="n">
        <v>1</v>
      </c>
      <c r="N264" s="27" t="n">
        <v>2999</v>
      </c>
      <c r="O264" s="28" t="n">
        <v>0.2</v>
      </c>
      <c r="P264" s="27" t="n">
        <v>2399</v>
      </c>
      <c r="Q264" s="27" t="n">
        <v>2000</v>
      </c>
      <c r="R264" s="27" t="n">
        <v>399</v>
      </c>
      <c r="S264" s="7" t="s">
        <v>60</v>
      </c>
      <c r="T264" s="7" t="str">
        <f aca="false">IF(O264=0,"No discount",IF(O264&lt;=0.2,"Up to 20%","Above 20%"))</f>
        <v>Up to 20%</v>
      </c>
    </row>
    <row r="265" customFormat="false" ht="15" hidden="false" customHeight="true" outlineLevel="0" collapsed="false">
      <c r="A265" s="7" t="s">
        <v>804</v>
      </c>
      <c r="B265" s="26" t="n">
        <v>45761</v>
      </c>
      <c r="C265" s="26" t="n">
        <v>45764</v>
      </c>
      <c r="D265" s="7" t="s">
        <v>726</v>
      </c>
      <c r="E265" s="7" t="s">
        <v>727</v>
      </c>
      <c r="F265" s="7" t="s">
        <v>178</v>
      </c>
      <c r="G265" s="7" t="s">
        <v>206</v>
      </c>
      <c r="H265" s="7" t="s">
        <v>207</v>
      </c>
      <c r="I265" s="7" t="s">
        <v>199</v>
      </c>
      <c r="J265" s="7" t="s">
        <v>398</v>
      </c>
      <c r="K265" s="7" t="s">
        <v>399</v>
      </c>
      <c r="L265" s="7" t="s">
        <v>400</v>
      </c>
      <c r="M265" s="7" t="n">
        <v>1</v>
      </c>
      <c r="N265" s="27" t="n">
        <v>749</v>
      </c>
      <c r="O265" s="28" t="n">
        <v>0.2</v>
      </c>
      <c r="P265" s="27" t="n">
        <v>599</v>
      </c>
      <c r="Q265" s="27" t="n">
        <v>350</v>
      </c>
      <c r="R265" s="27" t="n">
        <v>249</v>
      </c>
      <c r="S265" s="7" t="s">
        <v>60</v>
      </c>
      <c r="T265" s="7" t="str">
        <f aca="false">IF(O265=0,"No discount",IF(O265&lt;=0.2,"Up to 20%","Above 20%"))</f>
        <v>Up to 20%</v>
      </c>
    </row>
    <row r="266" customFormat="false" ht="15" hidden="false" customHeight="true" outlineLevel="0" collapsed="false">
      <c r="A266" s="7" t="s">
        <v>805</v>
      </c>
      <c r="B266" s="26" t="n">
        <v>45761</v>
      </c>
      <c r="C266" s="26" t="n">
        <v>45767</v>
      </c>
      <c r="D266" s="7" t="s">
        <v>806</v>
      </c>
      <c r="E266" s="7" t="s">
        <v>807</v>
      </c>
      <c r="F266" s="7" t="s">
        <v>159</v>
      </c>
      <c r="G266" s="7" t="s">
        <v>160</v>
      </c>
      <c r="H266" s="7" t="s">
        <v>161</v>
      </c>
      <c r="I266" s="7" t="s">
        <v>192</v>
      </c>
      <c r="J266" s="7" t="s">
        <v>213</v>
      </c>
      <c r="K266" s="7" t="s">
        <v>214</v>
      </c>
      <c r="L266" s="7" t="s">
        <v>215</v>
      </c>
      <c r="M266" s="7" t="n">
        <v>2</v>
      </c>
      <c r="N266" s="27" t="n">
        <v>5999</v>
      </c>
      <c r="O266" s="28" t="n">
        <v>0.4</v>
      </c>
      <c r="P266" s="27" t="n">
        <v>7199</v>
      </c>
      <c r="Q266" s="27" t="n">
        <v>9200</v>
      </c>
      <c r="R266" s="27" t="n">
        <v>-2001</v>
      </c>
      <c r="S266" s="7" t="s">
        <v>60</v>
      </c>
      <c r="T266" s="7" t="str">
        <f aca="false">IF(O266=0,"No discount",IF(O266&lt;=0.2,"Up to 20%","Above 20%"))</f>
        <v>Above 20%</v>
      </c>
    </row>
    <row r="267" customFormat="false" ht="15" hidden="false" customHeight="true" outlineLevel="0" collapsed="false">
      <c r="A267" s="7" t="s">
        <v>808</v>
      </c>
      <c r="B267" s="26" t="n">
        <v>45762</v>
      </c>
      <c r="C267" s="26" t="n">
        <v>45767</v>
      </c>
      <c r="D267" s="7" t="s">
        <v>809</v>
      </c>
      <c r="E267" s="7" t="s">
        <v>810</v>
      </c>
      <c r="F267" s="7" t="s">
        <v>219</v>
      </c>
      <c r="G267" s="7" t="s">
        <v>169</v>
      </c>
      <c r="H267" s="7" t="s">
        <v>170</v>
      </c>
      <c r="I267" s="7" t="s">
        <v>171</v>
      </c>
      <c r="J267" s="7" t="s">
        <v>172</v>
      </c>
      <c r="K267" s="7" t="s">
        <v>173</v>
      </c>
      <c r="L267" s="7" t="s">
        <v>174</v>
      </c>
      <c r="M267" s="7" t="n">
        <v>2</v>
      </c>
      <c r="N267" s="27" t="n">
        <v>699</v>
      </c>
      <c r="O267" s="28" t="n">
        <v>0</v>
      </c>
      <c r="P267" s="27" t="n">
        <v>1398</v>
      </c>
      <c r="Q267" s="27" t="n">
        <v>640</v>
      </c>
      <c r="R267" s="27" t="n">
        <v>758</v>
      </c>
      <c r="S267" s="7" t="s">
        <v>60</v>
      </c>
      <c r="T267" s="7" t="str">
        <f aca="false">IF(O267=0,"No discount",IF(O267&lt;=0.2,"Up to 20%","Above 20%"))</f>
        <v>No discount</v>
      </c>
    </row>
    <row r="268" customFormat="false" ht="15" hidden="false" customHeight="true" outlineLevel="0" collapsed="false">
      <c r="A268" s="7" t="s">
        <v>811</v>
      </c>
      <c r="B268" s="26" t="n">
        <v>45762</v>
      </c>
      <c r="C268" s="26" t="n">
        <v>45765</v>
      </c>
      <c r="D268" s="7" t="s">
        <v>416</v>
      </c>
      <c r="E268" s="7" t="s">
        <v>417</v>
      </c>
      <c r="F268" s="7" t="s">
        <v>159</v>
      </c>
      <c r="G268" s="7" t="s">
        <v>160</v>
      </c>
      <c r="H268" s="7" t="s">
        <v>269</v>
      </c>
      <c r="I268" s="7" t="s">
        <v>171</v>
      </c>
      <c r="J268" s="7" t="s">
        <v>172</v>
      </c>
      <c r="K268" s="7" t="s">
        <v>180</v>
      </c>
      <c r="L268" s="7" t="s">
        <v>181</v>
      </c>
      <c r="M268" s="7" t="n">
        <v>1</v>
      </c>
      <c r="N268" s="27" t="n">
        <v>999</v>
      </c>
      <c r="O268" s="28" t="n">
        <v>0</v>
      </c>
      <c r="P268" s="27" t="n">
        <v>999</v>
      </c>
      <c r="Q268" s="27" t="n">
        <v>520</v>
      </c>
      <c r="R268" s="27" t="n">
        <v>479</v>
      </c>
      <c r="S268" s="7" t="s">
        <v>60</v>
      </c>
      <c r="T268" s="7" t="str">
        <f aca="false">IF(O268=0,"No discount",IF(O268&lt;=0.2,"Up to 20%","Above 20%"))</f>
        <v>No discount</v>
      </c>
    </row>
    <row r="269" customFormat="false" ht="15" hidden="false" customHeight="true" outlineLevel="0" collapsed="false">
      <c r="A269" s="7" t="s">
        <v>812</v>
      </c>
      <c r="B269" s="26" t="n">
        <v>45763</v>
      </c>
      <c r="C269" s="26" t="n">
        <v>45767</v>
      </c>
      <c r="D269" s="7" t="s">
        <v>530</v>
      </c>
      <c r="E269" s="7" t="s">
        <v>531</v>
      </c>
      <c r="F269" s="7" t="s">
        <v>159</v>
      </c>
      <c r="G269" s="7" t="s">
        <v>169</v>
      </c>
      <c r="H269" s="7" t="s">
        <v>179</v>
      </c>
      <c r="I269" s="7" t="s">
        <v>171</v>
      </c>
      <c r="J269" s="7" t="s">
        <v>172</v>
      </c>
      <c r="K269" s="7" t="s">
        <v>173</v>
      </c>
      <c r="L269" s="7" t="s">
        <v>174</v>
      </c>
      <c r="M269" s="7" t="n">
        <v>1</v>
      </c>
      <c r="N269" s="27" t="n">
        <v>699</v>
      </c>
      <c r="O269" s="28" t="n">
        <v>0.2</v>
      </c>
      <c r="P269" s="27" t="n">
        <v>559</v>
      </c>
      <c r="Q269" s="27" t="n">
        <v>320</v>
      </c>
      <c r="R269" s="27" t="n">
        <v>239</v>
      </c>
      <c r="S269" s="7" t="s">
        <v>60</v>
      </c>
      <c r="T269" s="7" t="str">
        <f aca="false">IF(O269=0,"No discount",IF(O269&lt;=0.2,"Up to 20%","Above 20%"))</f>
        <v>Up to 20%</v>
      </c>
    </row>
    <row r="270" customFormat="false" ht="15" hidden="false" customHeight="true" outlineLevel="0" collapsed="false">
      <c r="A270" s="7" t="s">
        <v>813</v>
      </c>
      <c r="B270" s="26" t="n">
        <v>45764</v>
      </c>
      <c r="C270" s="26" t="n">
        <v>45766</v>
      </c>
      <c r="D270" s="7" t="s">
        <v>496</v>
      </c>
      <c r="E270" s="7" t="s">
        <v>497</v>
      </c>
      <c r="F270" s="7" t="s">
        <v>178</v>
      </c>
      <c r="G270" s="7" t="s">
        <v>169</v>
      </c>
      <c r="H270" s="7" t="s">
        <v>179</v>
      </c>
      <c r="I270" s="7" t="s">
        <v>171</v>
      </c>
      <c r="J270" s="7" t="s">
        <v>314</v>
      </c>
      <c r="K270" s="7" t="s">
        <v>315</v>
      </c>
      <c r="L270" s="7" t="s">
        <v>316</v>
      </c>
      <c r="M270" s="7" t="n">
        <v>1</v>
      </c>
      <c r="N270" s="27" t="n">
        <v>1299</v>
      </c>
      <c r="O270" s="28" t="n">
        <v>0.05</v>
      </c>
      <c r="P270" s="27" t="n">
        <v>1234</v>
      </c>
      <c r="Q270" s="27" t="n">
        <v>700</v>
      </c>
      <c r="R270" s="27" t="n">
        <v>534</v>
      </c>
      <c r="S270" s="7" t="s">
        <v>60</v>
      </c>
      <c r="T270" s="7" t="str">
        <f aca="false">IF(O270=0,"No discount",IF(O270&lt;=0.2,"Up to 20%","Above 20%"))</f>
        <v>Up to 20%</v>
      </c>
    </row>
    <row r="271" customFormat="false" ht="15" hidden="false" customHeight="true" outlineLevel="0" collapsed="false">
      <c r="A271" s="7" t="s">
        <v>814</v>
      </c>
      <c r="B271" s="26" t="n">
        <v>45764</v>
      </c>
      <c r="C271" s="26" t="n">
        <v>45767</v>
      </c>
      <c r="D271" s="7" t="s">
        <v>815</v>
      </c>
      <c r="E271" s="7" t="s">
        <v>816</v>
      </c>
      <c r="F271" s="7" t="s">
        <v>219</v>
      </c>
      <c r="G271" s="7" t="s">
        <v>160</v>
      </c>
      <c r="H271" s="7" t="s">
        <v>269</v>
      </c>
      <c r="I271" s="7" t="s">
        <v>208</v>
      </c>
      <c r="J271" s="7" t="s">
        <v>232</v>
      </c>
      <c r="K271" s="7" t="s">
        <v>671</v>
      </c>
      <c r="L271" s="7" t="s">
        <v>672</v>
      </c>
      <c r="M271" s="7" t="n">
        <v>2</v>
      </c>
      <c r="N271" s="27" t="n">
        <v>3299</v>
      </c>
      <c r="O271" s="28" t="n">
        <v>0</v>
      </c>
      <c r="P271" s="27" t="n">
        <v>6598</v>
      </c>
      <c r="Q271" s="27" t="n">
        <v>4200</v>
      </c>
      <c r="R271" s="27" t="n">
        <v>2398</v>
      </c>
      <c r="S271" s="7" t="s">
        <v>60</v>
      </c>
      <c r="T271" s="7" t="str">
        <f aca="false">IF(O271=0,"No discount",IF(O271&lt;=0.2,"Up to 20%","Above 20%"))</f>
        <v>No discount</v>
      </c>
    </row>
    <row r="272" customFormat="false" ht="15" hidden="false" customHeight="true" outlineLevel="0" collapsed="false">
      <c r="A272" s="7" t="s">
        <v>817</v>
      </c>
      <c r="B272" s="26" t="n">
        <v>45764</v>
      </c>
      <c r="C272" s="26" t="n">
        <v>45770</v>
      </c>
      <c r="D272" s="7" t="s">
        <v>818</v>
      </c>
      <c r="E272" s="7" t="s">
        <v>819</v>
      </c>
      <c r="F272" s="7" t="s">
        <v>159</v>
      </c>
      <c r="G272" s="7" t="s">
        <v>206</v>
      </c>
      <c r="H272" s="7" t="s">
        <v>207</v>
      </c>
      <c r="I272" s="7" t="s">
        <v>199</v>
      </c>
      <c r="J272" s="7" t="s">
        <v>223</v>
      </c>
      <c r="K272" s="7" t="s">
        <v>246</v>
      </c>
      <c r="L272" s="7" t="s">
        <v>247</v>
      </c>
      <c r="M272" s="7" t="n">
        <v>1</v>
      </c>
      <c r="N272" s="27" t="n">
        <v>599</v>
      </c>
      <c r="O272" s="28" t="n">
        <v>0</v>
      </c>
      <c r="P272" s="27" t="n">
        <v>599</v>
      </c>
      <c r="Q272" s="27" t="n">
        <v>270</v>
      </c>
      <c r="R272" s="27" t="n">
        <v>329</v>
      </c>
      <c r="S272" s="7" t="s">
        <v>60</v>
      </c>
      <c r="T272" s="7" t="str">
        <f aca="false">IF(O272=0,"No discount",IF(O272&lt;=0.2,"Up to 20%","Above 20%"))</f>
        <v>No discount</v>
      </c>
    </row>
    <row r="273" customFormat="false" ht="15" hidden="false" customHeight="true" outlineLevel="0" collapsed="false">
      <c r="A273" s="7" t="s">
        <v>820</v>
      </c>
      <c r="B273" s="26" t="n">
        <v>45764</v>
      </c>
      <c r="C273" s="26" t="n">
        <v>45769</v>
      </c>
      <c r="D273" s="7" t="s">
        <v>277</v>
      </c>
      <c r="E273" s="7" t="s">
        <v>278</v>
      </c>
      <c r="F273" s="7" t="s">
        <v>159</v>
      </c>
      <c r="G273" s="7" t="s">
        <v>206</v>
      </c>
      <c r="H273" s="7" t="s">
        <v>207</v>
      </c>
      <c r="I273" s="7" t="s">
        <v>192</v>
      </c>
      <c r="J273" s="7" t="s">
        <v>213</v>
      </c>
      <c r="K273" s="7" t="s">
        <v>214</v>
      </c>
      <c r="L273" s="7" t="s">
        <v>215</v>
      </c>
      <c r="M273" s="7" t="n">
        <v>3</v>
      </c>
      <c r="N273" s="27" t="n">
        <v>5999</v>
      </c>
      <c r="O273" s="28" t="n">
        <v>0.4</v>
      </c>
      <c r="P273" s="27" t="n">
        <v>10798</v>
      </c>
      <c r="Q273" s="27" t="n">
        <v>13800</v>
      </c>
      <c r="R273" s="27" t="n">
        <v>-3002</v>
      </c>
      <c r="S273" s="7" t="s">
        <v>60</v>
      </c>
      <c r="T273" s="7" t="str">
        <f aca="false">IF(O273=0,"No discount",IF(O273&lt;=0.2,"Up to 20%","Above 20%"))</f>
        <v>Above 20%</v>
      </c>
    </row>
    <row r="274" customFormat="false" ht="15" hidden="false" customHeight="true" outlineLevel="0" collapsed="false">
      <c r="A274" s="7" t="s">
        <v>821</v>
      </c>
      <c r="B274" s="26" t="n">
        <v>45765</v>
      </c>
      <c r="C274" s="26" t="n">
        <v>45770</v>
      </c>
      <c r="D274" s="7" t="s">
        <v>396</v>
      </c>
      <c r="E274" s="7" t="s">
        <v>397</v>
      </c>
      <c r="F274" s="7" t="s">
        <v>178</v>
      </c>
      <c r="G274" s="7" t="s">
        <v>160</v>
      </c>
      <c r="H274" s="7" t="s">
        <v>269</v>
      </c>
      <c r="I274" s="7" t="s">
        <v>208</v>
      </c>
      <c r="J274" s="7" t="s">
        <v>232</v>
      </c>
      <c r="K274" s="7" t="s">
        <v>233</v>
      </c>
      <c r="L274" s="7" t="s">
        <v>234</v>
      </c>
      <c r="M274" s="7" t="n">
        <v>1</v>
      </c>
      <c r="N274" s="27" t="n">
        <v>7999</v>
      </c>
      <c r="O274" s="28" t="n">
        <v>0</v>
      </c>
      <c r="P274" s="27" t="n">
        <v>7999</v>
      </c>
      <c r="Q274" s="27" t="n">
        <v>5600</v>
      </c>
      <c r="R274" s="27" t="n">
        <v>2399</v>
      </c>
      <c r="S274" s="7" t="s">
        <v>60</v>
      </c>
      <c r="T274" s="7" t="str">
        <f aca="false">IF(O274=0,"No discount",IF(O274&lt;=0.2,"Up to 20%","Above 20%"))</f>
        <v>No discount</v>
      </c>
    </row>
    <row r="275" customFormat="false" ht="15" hidden="false" customHeight="true" outlineLevel="0" collapsed="false">
      <c r="A275" s="7" t="s">
        <v>822</v>
      </c>
      <c r="B275" s="26" t="n">
        <v>45766</v>
      </c>
      <c r="C275" s="26" t="n">
        <v>45773</v>
      </c>
      <c r="D275" s="7" t="s">
        <v>204</v>
      </c>
      <c r="E275" s="7" t="s">
        <v>205</v>
      </c>
      <c r="F275" s="7" t="s">
        <v>159</v>
      </c>
      <c r="G275" s="7" t="s">
        <v>206</v>
      </c>
      <c r="H275" s="7" t="s">
        <v>207</v>
      </c>
      <c r="I275" s="7" t="s">
        <v>171</v>
      </c>
      <c r="J275" s="7" t="s">
        <v>304</v>
      </c>
      <c r="K275" s="7" t="s">
        <v>499</v>
      </c>
      <c r="L275" s="7" t="s">
        <v>500</v>
      </c>
      <c r="M275" s="7" t="n">
        <v>2</v>
      </c>
      <c r="N275" s="27" t="n">
        <v>5499</v>
      </c>
      <c r="O275" s="28" t="n">
        <v>0</v>
      </c>
      <c r="P275" s="27" t="n">
        <v>10998</v>
      </c>
      <c r="Q275" s="27" t="n">
        <v>7800</v>
      </c>
      <c r="R275" s="27" t="n">
        <v>3198</v>
      </c>
      <c r="S275" s="7" t="s">
        <v>60</v>
      </c>
      <c r="T275" s="7" t="str">
        <f aca="false">IF(O275=0,"No discount",IF(O275&lt;=0.2,"Up to 20%","Above 20%"))</f>
        <v>No discount</v>
      </c>
    </row>
    <row r="276" customFormat="false" ht="15" hidden="false" customHeight="true" outlineLevel="0" collapsed="false">
      <c r="A276" s="7" t="s">
        <v>823</v>
      </c>
      <c r="B276" s="26" t="n">
        <v>45767</v>
      </c>
      <c r="C276" s="26" t="n">
        <v>45773</v>
      </c>
      <c r="D276" s="7" t="s">
        <v>416</v>
      </c>
      <c r="E276" s="7" t="s">
        <v>417</v>
      </c>
      <c r="F276" s="7" t="s">
        <v>159</v>
      </c>
      <c r="G276" s="7" t="s">
        <v>160</v>
      </c>
      <c r="H276" s="7" t="s">
        <v>269</v>
      </c>
      <c r="I276" s="7" t="s">
        <v>199</v>
      </c>
      <c r="J276" s="7" t="s">
        <v>223</v>
      </c>
      <c r="K276" s="7" t="s">
        <v>246</v>
      </c>
      <c r="L276" s="7" t="s">
        <v>247</v>
      </c>
      <c r="M276" s="7" t="n">
        <v>2</v>
      </c>
      <c r="N276" s="27" t="n">
        <v>599</v>
      </c>
      <c r="O276" s="28" t="n">
        <v>0</v>
      </c>
      <c r="P276" s="27" t="n">
        <v>1198</v>
      </c>
      <c r="Q276" s="27" t="n">
        <v>540</v>
      </c>
      <c r="R276" s="27" t="n">
        <v>658</v>
      </c>
      <c r="S276" s="7" t="s">
        <v>60</v>
      </c>
      <c r="T276" s="7" t="str">
        <f aca="false">IF(O276=0,"No discount",IF(O276&lt;=0.2,"Up to 20%","Above 20%"))</f>
        <v>No discount</v>
      </c>
    </row>
    <row r="277" customFormat="false" ht="15" hidden="false" customHeight="true" outlineLevel="0" collapsed="false">
      <c r="A277" s="7" t="s">
        <v>824</v>
      </c>
      <c r="B277" s="26" t="n">
        <v>45768</v>
      </c>
      <c r="C277" s="26" t="n">
        <v>45771</v>
      </c>
      <c r="D277" s="7" t="s">
        <v>261</v>
      </c>
      <c r="E277" s="7" t="s">
        <v>262</v>
      </c>
      <c r="F277" s="7" t="s">
        <v>159</v>
      </c>
      <c r="G277" s="7" t="s">
        <v>160</v>
      </c>
      <c r="H277" s="7" t="s">
        <v>263</v>
      </c>
      <c r="I277" s="7" t="s">
        <v>162</v>
      </c>
      <c r="J277" s="7" t="s">
        <v>185</v>
      </c>
      <c r="K277" s="7" t="s">
        <v>186</v>
      </c>
      <c r="L277" s="7" t="s">
        <v>187</v>
      </c>
      <c r="M277" s="7" t="n">
        <v>3</v>
      </c>
      <c r="N277" s="27" t="n">
        <v>3299</v>
      </c>
      <c r="O277" s="28" t="n">
        <v>0.3</v>
      </c>
      <c r="P277" s="27" t="n">
        <v>6928</v>
      </c>
      <c r="Q277" s="27" t="n">
        <v>5700</v>
      </c>
      <c r="R277" s="27" t="n">
        <v>1228</v>
      </c>
      <c r="S277" s="7" t="s">
        <v>60</v>
      </c>
      <c r="T277" s="7" t="str">
        <f aca="false">IF(O277=0,"No discount",IF(O277&lt;=0.2,"Up to 20%","Above 20%"))</f>
        <v>Above 20%</v>
      </c>
    </row>
    <row r="278" customFormat="false" ht="15" hidden="false" customHeight="true" outlineLevel="0" collapsed="false">
      <c r="A278" s="7" t="s">
        <v>825</v>
      </c>
      <c r="B278" s="26" t="n">
        <v>45768</v>
      </c>
      <c r="C278" s="26" t="n">
        <v>45771</v>
      </c>
      <c r="D278" s="7" t="s">
        <v>571</v>
      </c>
      <c r="E278" s="7" t="s">
        <v>572</v>
      </c>
      <c r="F278" s="7" t="s">
        <v>159</v>
      </c>
      <c r="G278" s="7" t="s">
        <v>160</v>
      </c>
      <c r="H278" s="7" t="s">
        <v>269</v>
      </c>
      <c r="I278" s="7" t="s">
        <v>171</v>
      </c>
      <c r="J278" s="7" t="s">
        <v>304</v>
      </c>
      <c r="K278" s="7" t="s">
        <v>305</v>
      </c>
      <c r="L278" s="7" t="s">
        <v>306</v>
      </c>
      <c r="M278" s="7" t="n">
        <v>1</v>
      </c>
      <c r="N278" s="27" t="n">
        <v>2999</v>
      </c>
      <c r="O278" s="28" t="n">
        <v>0.1</v>
      </c>
      <c r="P278" s="27" t="n">
        <v>2699</v>
      </c>
      <c r="Q278" s="27" t="n">
        <v>2000</v>
      </c>
      <c r="R278" s="27" t="n">
        <v>699</v>
      </c>
      <c r="S278" s="7" t="s">
        <v>60</v>
      </c>
      <c r="T278" s="7" t="str">
        <f aca="false">IF(O278=0,"No discount",IF(O278&lt;=0.2,"Up to 20%","Above 20%"))</f>
        <v>Up to 20%</v>
      </c>
    </row>
    <row r="279" customFormat="false" ht="15" hidden="false" customHeight="true" outlineLevel="0" collapsed="false">
      <c r="A279" s="7" t="s">
        <v>826</v>
      </c>
      <c r="B279" s="26" t="n">
        <v>45769</v>
      </c>
      <c r="C279" s="26" t="n">
        <v>45774</v>
      </c>
      <c r="D279" s="7" t="s">
        <v>412</v>
      </c>
      <c r="E279" s="7" t="s">
        <v>413</v>
      </c>
      <c r="F279" s="7" t="s">
        <v>178</v>
      </c>
      <c r="G279" s="7" t="s">
        <v>206</v>
      </c>
      <c r="H279" s="7" t="s">
        <v>207</v>
      </c>
      <c r="I279" s="7" t="s">
        <v>162</v>
      </c>
      <c r="J279" s="7" t="s">
        <v>163</v>
      </c>
      <c r="K279" s="7" t="s">
        <v>164</v>
      </c>
      <c r="L279" s="7" t="s">
        <v>165</v>
      </c>
      <c r="M279" s="7" t="n">
        <v>1</v>
      </c>
      <c r="N279" s="27" t="n">
        <v>1999</v>
      </c>
      <c r="O279" s="28" t="n">
        <v>0.1</v>
      </c>
      <c r="P279" s="27" t="n">
        <v>1799</v>
      </c>
      <c r="Q279" s="27" t="n">
        <v>1050</v>
      </c>
      <c r="R279" s="27" t="n">
        <v>749</v>
      </c>
      <c r="S279" s="7" t="s">
        <v>60</v>
      </c>
      <c r="T279" s="7" t="str">
        <f aca="false">IF(O279=0,"No discount",IF(O279&lt;=0.2,"Up to 20%","Above 20%"))</f>
        <v>Up to 20%</v>
      </c>
    </row>
    <row r="280" customFormat="false" ht="15" hidden="false" customHeight="true" outlineLevel="0" collapsed="false">
      <c r="A280" s="7" t="s">
        <v>827</v>
      </c>
      <c r="B280" s="26" t="n">
        <v>45769</v>
      </c>
      <c r="C280" s="26" t="n">
        <v>45776</v>
      </c>
      <c r="D280" s="7" t="s">
        <v>697</v>
      </c>
      <c r="E280" s="7" t="s">
        <v>698</v>
      </c>
      <c r="F280" s="7" t="s">
        <v>219</v>
      </c>
      <c r="G280" s="7" t="s">
        <v>160</v>
      </c>
      <c r="H280" s="7" t="s">
        <v>269</v>
      </c>
      <c r="I280" s="7" t="s">
        <v>208</v>
      </c>
      <c r="J280" s="7" t="s">
        <v>232</v>
      </c>
      <c r="K280" s="7" t="s">
        <v>233</v>
      </c>
      <c r="L280" s="7" t="s">
        <v>234</v>
      </c>
      <c r="M280" s="7" t="n">
        <v>1</v>
      </c>
      <c r="N280" s="27" t="n">
        <v>7999</v>
      </c>
      <c r="O280" s="28" t="n">
        <v>0.05</v>
      </c>
      <c r="P280" s="27" t="n">
        <v>7599</v>
      </c>
      <c r="Q280" s="27" t="n">
        <v>5600</v>
      </c>
      <c r="R280" s="27" t="n">
        <v>1999</v>
      </c>
      <c r="S280" s="7" t="s">
        <v>60</v>
      </c>
      <c r="T280" s="7" t="str">
        <f aca="false">IF(O280=0,"No discount",IF(O280&lt;=0.2,"Up to 20%","Above 20%"))</f>
        <v>Up to 20%</v>
      </c>
    </row>
    <row r="281" customFormat="false" ht="15" hidden="false" customHeight="true" outlineLevel="0" collapsed="false">
      <c r="A281" s="7" t="s">
        <v>828</v>
      </c>
      <c r="B281" s="26" t="n">
        <v>45769</v>
      </c>
      <c r="C281" s="26" t="n">
        <v>45775</v>
      </c>
      <c r="D281" s="7" t="s">
        <v>296</v>
      </c>
      <c r="E281" s="7" t="s">
        <v>297</v>
      </c>
      <c r="F281" s="7" t="s">
        <v>178</v>
      </c>
      <c r="G281" s="7" t="s">
        <v>169</v>
      </c>
      <c r="H281" s="7" t="s">
        <v>179</v>
      </c>
      <c r="I281" s="7" t="s">
        <v>208</v>
      </c>
      <c r="J281" s="7" t="s">
        <v>232</v>
      </c>
      <c r="K281" s="7" t="s">
        <v>233</v>
      </c>
      <c r="L281" s="7" t="s">
        <v>234</v>
      </c>
      <c r="M281" s="7" t="n">
        <v>1</v>
      </c>
      <c r="N281" s="27" t="n">
        <v>7999</v>
      </c>
      <c r="O281" s="28" t="n">
        <v>0</v>
      </c>
      <c r="P281" s="27" t="n">
        <v>7999</v>
      </c>
      <c r="Q281" s="27" t="n">
        <v>5600</v>
      </c>
      <c r="R281" s="27" t="n">
        <v>2399</v>
      </c>
      <c r="S281" s="7" t="s">
        <v>60</v>
      </c>
      <c r="T281" s="7" t="str">
        <f aca="false">IF(O281=0,"No discount",IF(O281&lt;=0.2,"Up to 20%","Above 20%"))</f>
        <v>No discount</v>
      </c>
    </row>
    <row r="282" customFormat="false" ht="15" hidden="false" customHeight="true" outlineLevel="0" collapsed="false">
      <c r="A282" s="7" t="s">
        <v>829</v>
      </c>
      <c r="B282" s="26" t="n">
        <v>45769</v>
      </c>
      <c r="C282" s="26" t="n">
        <v>45773</v>
      </c>
      <c r="D282" s="7" t="s">
        <v>475</v>
      </c>
      <c r="E282" s="7" t="s">
        <v>476</v>
      </c>
      <c r="F282" s="7" t="s">
        <v>159</v>
      </c>
      <c r="G282" s="7" t="s">
        <v>169</v>
      </c>
      <c r="H282" s="7" t="s">
        <v>170</v>
      </c>
      <c r="I282" s="7" t="s">
        <v>192</v>
      </c>
      <c r="J282" s="7" t="s">
        <v>213</v>
      </c>
      <c r="K282" s="7" t="s">
        <v>214</v>
      </c>
      <c r="L282" s="7" t="s">
        <v>215</v>
      </c>
      <c r="M282" s="7" t="n">
        <v>2</v>
      </c>
      <c r="N282" s="27" t="n">
        <v>5999</v>
      </c>
      <c r="O282" s="28" t="n">
        <v>0.1</v>
      </c>
      <c r="P282" s="27" t="n">
        <v>10798</v>
      </c>
      <c r="Q282" s="27" t="n">
        <v>9200</v>
      </c>
      <c r="R282" s="27" t="n">
        <v>1598</v>
      </c>
      <c r="S282" s="7" t="s">
        <v>60</v>
      </c>
      <c r="T282" s="7" t="str">
        <f aca="false">IF(O282=0,"No discount",IF(O282&lt;=0.2,"Up to 20%","Above 20%"))</f>
        <v>Up to 20%</v>
      </c>
    </row>
    <row r="283" customFormat="false" ht="15" hidden="false" customHeight="true" outlineLevel="0" collapsed="false">
      <c r="A283" s="7" t="s">
        <v>830</v>
      </c>
      <c r="B283" s="26" t="n">
        <v>45770</v>
      </c>
      <c r="C283" s="26" t="n">
        <v>45777</v>
      </c>
      <c r="D283" s="7" t="s">
        <v>441</v>
      </c>
      <c r="E283" s="7" t="s">
        <v>442</v>
      </c>
      <c r="F283" s="7" t="s">
        <v>159</v>
      </c>
      <c r="G283" s="7" t="s">
        <v>169</v>
      </c>
      <c r="H283" s="7" t="s">
        <v>191</v>
      </c>
      <c r="I283" s="7" t="s">
        <v>208</v>
      </c>
      <c r="J283" s="7" t="s">
        <v>232</v>
      </c>
      <c r="K283" s="7" t="s">
        <v>233</v>
      </c>
      <c r="L283" s="7" t="s">
        <v>234</v>
      </c>
      <c r="M283" s="7" t="n">
        <v>3</v>
      </c>
      <c r="N283" s="27" t="n">
        <v>7999</v>
      </c>
      <c r="O283" s="28" t="n">
        <v>0</v>
      </c>
      <c r="P283" s="27" t="n">
        <v>23997</v>
      </c>
      <c r="Q283" s="27" t="n">
        <v>16800</v>
      </c>
      <c r="R283" s="27" t="n">
        <v>7197</v>
      </c>
      <c r="S283" s="7" t="s">
        <v>47</v>
      </c>
      <c r="T283" s="7" t="str">
        <f aca="false">IF(O283=0,"No discount",IF(O283&lt;=0.2,"Up to 20%","Above 20%"))</f>
        <v>No discount</v>
      </c>
    </row>
    <row r="284" customFormat="false" ht="15" hidden="false" customHeight="true" outlineLevel="0" collapsed="false">
      <c r="A284" s="7" t="s">
        <v>831</v>
      </c>
      <c r="B284" s="26" t="n">
        <v>45771</v>
      </c>
      <c r="C284" s="26" t="n">
        <v>45776</v>
      </c>
      <c r="D284" s="7" t="s">
        <v>757</v>
      </c>
      <c r="E284" s="7" t="s">
        <v>758</v>
      </c>
      <c r="F284" s="7" t="s">
        <v>159</v>
      </c>
      <c r="G284" s="7" t="s">
        <v>160</v>
      </c>
      <c r="H284" s="7" t="s">
        <v>161</v>
      </c>
      <c r="I284" s="7" t="s">
        <v>282</v>
      </c>
      <c r="J284" s="7" t="s">
        <v>427</v>
      </c>
      <c r="K284" s="7" t="s">
        <v>428</v>
      </c>
      <c r="L284" s="7" t="s">
        <v>429</v>
      </c>
      <c r="M284" s="7" t="n">
        <v>10</v>
      </c>
      <c r="N284" s="27" t="n">
        <v>149</v>
      </c>
      <c r="O284" s="28" t="n">
        <v>0.05</v>
      </c>
      <c r="P284" s="27" t="n">
        <v>1416</v>
      </c>
      <c r="Q284" s="27" t="n">
        <v>700</v>
      </c>
      <c r="R284" s="27" t="n">
        <v>716</v>
      </c>
      <c r="S284" s="7" t="s">
        <v>60</v>
      </c>
      <c r="T284" s="7" t="str">
        <f aca="false">IF(O284=0,"No discount",IF(O284&lt;=0.2,"Up to 20%","Above 20%"))</f>
        <v>Up to 20%</v>
      </c>
    </row>
    <row r="285" customFormat="false" ht="15" hidden="false" customHeight="true" outlineLevel="0" collapsed="false">
      <c r="A285" s="7" t="s">
        <v>832</v>
      </c>
      <c r="B285" s="26" t="n">
        <v>45771</v>
      </c>
      <c r="C285" s="26" t="n">
        <v>45776</v>
      </c>
      <c r="D285" s="7" t="s">
        <v>241</v>
      </c>
      <c r="E285" s="7" t="s">
        <v>242</v>
      </c>
      <c r="F285" s="7" t="s">
        <v>159</v>
      </c>
      <c r="G285" s="7" t="s">
        <v>206</v>
      </c>
      <c r="H285" s="7" t="s">
        <v>207</v>
      </c>
      <c r="I285" s="7" t="s">
        <v>192</v>
      </c>
      <c r="J285" s="7" t="s">
        <v>502</v>
      </c>
      <c r="K285" s="7" t="s">
        <v>503</v>
      </c>
      <c r="L285" s="7" t="s">
        <v>504</v>
      </c>
      <c r="M285" s="7" t="n">
        <v>5</v>
      </c>
      <c r="N285" s="27" t="n">
        <v>3499</v>
      </c>
      <c r="O285" s="28" t="n">
        <v>0.3</v>
      </c>
      <c r="P285" s="27" t="n">
        <v>12246</v>
      </c>
      <c r="Q285" s="27" t="n">
        <v>12500</v>
      </c>
      <c r="R285" s="27" t="n">
        <v>-254</v>
      </c>
      <c r="S285" s="7" t="s">
        <v>60</v>
      </c>
      <c r="T285" s="7" t="str">
        <f aca="false">IF(O285=0,"No discount",IF(O285&lt;=0.2,"Up to 20%","Above 20%"))</f>
        <v>Above 20%</v>
      </c>
    </row>
    <row r="286" customFormat="false" ht="15" hidden="false" customHeight="true" outlineLevel="0" collapsed="false">
      <c r="A286" s="7" t="s">
        <v>833</v>
      </c>
      <c r="B286" s="26" t="n">
        <v>45771</v>
      </c>
      <c r="C286" s="26" t="n">
        <v>45772</v>
      </c>
      <c r="D286" s="7" t="s">
        <v>834</v>
      </c>
      <c r="E286" s="7" t="s">
        <v>835</v>
      </c>
      <c r="F286" s="7" t="s">
        <v>219</v>
      </c>
      <c r="G286" s="7" t="s">
        <v>206</v>
      </c>
      <c r="H286" s="7" t="s">
        <v>207</v>
      </c>
      <c r="I286" s="7" t="s">
        <v>282</v>
      </c>
      <c r="J286" s="7" t="s">
        <v>283</v>
      </c>
      <c r="K286" s="7" t="s">
        <v>284</v>
      </c>
      <c r="L286" s="7" t="s">
        <v>285</v>
      </c>
      <c r="M286" s="7" t="n">
        <v>1</v>
      </c>
      <c r="N286" s="27" t="n">
        <v>199</v>
      </c>
      <c r="O286" s="28" t="n">
        <v>0</v>
      </c>
      <c r="P286" s="27" t="n">
        <v>199</v>
      </c>
      <c r="Q286" s="27" t="n">
        <v>90</v>
      </c>
      <c r="R286" s="27" t="n">
        <v>109</v>
      </c>
      <c r="S286" s="7" t="s">
        <v>60</v>
      </c>
      <c r="T286" s="7" t="str">
        <f aca="false">IF(O286=0,"No discount",IF(O286&lt;=0.2,"Up to 20%","Above 20%"))</f>
        <v>No discount</v>
      </c>
    </row>
    <row r="287" customFormat="false" ht="15" hidden="false" customHeight="true" outlineLevel="0" collapsed="false">
      <c r="A287" s="7" t="s">
        <v>836</v>
      </c>
      <c r="B287" s="26" t="n">
        <v>45771</v>
      </c>
      <c r="C287" s="26" t="n">
        <v>45775</v>
      </c>
      <c r="D287" s="7" t="s">
        <v>837</v>
      </c>
      <c r="E287" s="7" t="s">
        <v>838</v>
      </c>
      <c r="F287" s="7" t="s">
        <v>178</v>
      </c>
      <c r="G287" s="7" t="s">
        <v>206</v>
      </c>
      <c r="H287" s="7" t="s">
        <v>207</v>
      </c>
      <c r="I287" s="7" t="s">
        <v>162</v>
      </c>
      <c r="J287" s="7" t="s">
        <v>251</v>
      </c>
      <c r="K287" s="7" t="s">
        <v>252</v>
      </c>
      <c r="L287" s="7" t="s">
        <v>253</v>
      </c>
      <c r="M287" s="7" t="n">
        <v>1</v>
      </c>
      <c r="N287" s="27" t="n">
        <v>3999</v>
      </c>
      <c r="O287" s="28" t="n">
        <v>0.1</v>
      </c>
      <c r="P287" s="27" t="n">
        <v>3599</v>
      </c>
      <c r="Q287" s="27" t="n">
        <v>2400</v>
      </c>
      <c r="R287" s="27" t="n">
        <v>1199</v>
      </c>
      <c r="S287" s="7" t="s">
        <v>60</v>
      </c>
      <c r="T287" s="7" t="str">
        <f aca="false">IF(O287=0,"No discount",IF(O287&lt;=0.2,"Up to 20%","Above 20%"))</f>
        <v>Up to 20%</v>
      </c>
    </row>
    <row r="288" customFormat="false" ht="15" hidden="false" customHeight="true" outlineLevel="0" collapsed="false">
      <c r="A288" s="7" t="s">
        <v>839</v>
      </c>
      <c r="B288" s="26" t="n">
        <v>45772</v>
      </c>
      <c r="C288" s="26" t="n">
        <v>45776</v>
      </c>
      <c r="D288" s="7" t="s">
        <v>241</v>
      </c>
      <c r="E288" s="7" t="s">
        <v>242</v>
      </c>
      <c r="F288" s="7" t="s">
        <v>159</v>
      </c>
      <c r="G288" s="7" t="s">
        <v>206</v>
      </c>
      <c r="H288" s="7" t="s">
        <v>207</v>
      </c>
      <c r="I288" s="7" t="s">
        <v>192</v>
      </c>
      <c r="J288" s="7" t="s">
        <v>502</v>
      </c>
      <c r="K288" s="7" t="s">
        <v>503</v>
      </c>
      <c r="L288" s="7" t="s">
        <v>504</v>
      </c>
      <c r="M288" s="7" t="n">
        <v>2</v>
      </c>
      <c r="N288" s="27" t="n">
        <v>3499</v>
      </c>
      <c r="O288" s="28" t="n">
        <v>0</v>
      </c>
      <c r="P288" s="27" t="n">
        <v>6998</v>
      </c>
      <c r="Q288" s="27" t="n">
        <v>5000</v>
      </c>
      <c r="R288" s="27" t="n">
        <v>1998</v>
      </c>
      <c r="S288" s="7" t="s">
        <v>60</v>
      </c>
      <c r="T288" s="7" t="str">
        <f aca="false">IF(O288=0,"No discount",IF(O288&lt;=0.2,"Up to 20%","Above 20%"))</f>
        <v>No discount</v>
      </c>
    </row>
    <row r="289" customFormat="false" ht="15" hidden="false" customHeight="true" outlineLevel="0" collapsed="false">
      <c r="A289" s="7" t="s">
        <v>840</v>
      </c>
      <c r="B289" s="26" t="n">
        <v>45773</v>
      </c>
      <c r="C289" s="26" t="n">
        <v>45775</v>
      </c>
      <c r="D289" s="7" t="s">
        <v>479</v>
      </c>
      <c r="E289" s="7" t="s">
        <v>480</v>
      </c>
      <c r="F289" s="7" t="s">
        <v>178</v>
      </c>
      <c r="G289" s="7" t="s">
        <v>169</v>
      </c>
      <c r="H289" s="7" t="s">
        <v>179</v>
      </c>
      <c r="I289" s="7" t="s">
        <v>199</v>
      </c>
      <c r="J289" s="7" t="s">
        <v>200</v>
      </c>
      <c r="K289" s="7" t="s">
        <v>201</v>
      </c>
      <c r="L289" s="7" t="s">
        <v>202</v>
      </c>
      <c r="M289" s="7" t="n">
        <v>2</v>
      </c>
      <c r="N289" s="27" t="n">
        <v>399</v>
      </c>
      <c r="O289" s="28" t="n">
        <v>0.3</v>
      </c>
      <c r="P289" s="27" t="n">
        <v>559</v>
      </c>
      <c r="Q289" s="27" t="n">
        <v>320</v>
      </c>
      <c r="R289" s="27" t="n">
        <v>239</v>
      </c>
      <c r="S289" s="7" t="s">
        <v>60</v>
      </c>
      <c r="T289" s="7" t="str">
        <f aca="false">IF(O289=0,"No discount",IF(O289&lt;=0.2,"Up to 20%","Above 20%"))</f>
        <v>Above 20%</v>
      </c>
    </row>
    <row r="290" customFormat="false" ht="15" hidden="false" customHeight="true" outlineLevel="0" collapsed="false">
      <c r="A290" s="7" t="s">
        <v>841</v>
      </c>
      <c r="B290" s="26" t="n">
        <v>45773</v>
      </c>
      <c r="C290" s="26" t="n">
        <v>45776</v>
      </c>
      <c r="D290" s="7" t="s">
        <v>792</v>
      </c>
      <c r="E290" s="7" t="s">
        <v>793</v>
      </c>
      <c r="F290" s="7" t="s">
        <v>219</v>
      </c>
      <c r="G290" s="7" t="s">
        <v>160</v>
      </c>
      <c r="H290" s="7" t="s">
        <v>161</v>
      </c>
      <c r="I290" s="7" t="s">
        <v>171</v>
      </c>
      <c r="J290" s="7" t="s">
        <v>172</v>
      </c>
      <c r="K290" s="7" t="s">
        <v>173</v>
      </c>
      <c r="L290" s="7" t="s">
        <v>174</v>
      </c>
      <c r="M290" s="7" t="n">
        <v>2</v>
      </c>
      <c r="N290" s="27" t="n">
        <v>699</v>
      </c>
      <c r="O290" s="28" t="n">
        <v>0.2</v>
      </c>
      <c r="P290" s="27" t="n">
        <v>1118</v>
      </c>
      <c r="Q290" s="27" t="n">
        <v>640</v>
      </c>
      <c r="R290" s="27" t="n">
        <v>478</v>
      </c>
      <c r="S290" s="7" t="s">
        <v>60</v>
      </c>
      <c r="T290" s="7" t="str">
        <f aca="false">IF(O290=0,"No discount",IF(O290&lt;=0.2,"Up to 20%","Above 20%"))</f>
        <v>Up to 20%</v>
      </c>
    </row>
    <row r="291" customFormat="false" ht="15" hidden="false" customHeight="true" outlineLevel="0" collapsed="false">
      <c r="A291" s="7" t="s">
        <v>842</v>
      </c>
      <c r="B291" s="26" t="n">
        <v>45774</v>
      </c>
      <c r="C291" s="26" t="n">
        <v>45781</v>
      </c>
      <c r="D291" s="7" t="s">
        <v>843</v>
      </c>
      <c r="E291" s="7" t="s">
        <v>844</v>
      </c>
      <c r="F291" s="7" t="s">
        <v>159</v>
      </c>
      <c r="G291" s="7" t="s">
        <v>169</v>
      </c>
      <c r="H291" s="7" t="s">
        <v>179</v>
      </c>
      <c r="I291" s="7" t="s">
        <v>282</v>
      </c>
      <c r="J291" s="7" t="s">
        <v>387</v>
      </c>
      <c r="K291" s="7" t="s">
        <v>388</v>
      </c>
      <c r="L291" s="7" t="s">
        <v>389</v>
      </c>
      <c r="M291" s="7" t="n">
        <v>2</v>
      </c>
      <c r="N291" s="27" t="n">
        <v>1299</v>
      </c>
      <c r="O291" s="28" t="n">
        <v>0</v>
      </c>
      <c r="P291" s="27" t="n">
        <v>2598</v>
      </c>
      <c r="Q291" s="27" t="n">
        <v>1560</v>
      </c>
      <c r="R291" s="27" t="n">
        <v>1038</v>
      </c>
      <c r="S291" s="7" t="s">
        <v>60</v>
      </c>
      <c r="T291" s="7" t="str">
        <f aca="false">IF(O291=0,"No discount",IF(O291&lt;=0.2,"Up to 20%","Above 20%"))</f>
        <v>No discount</v>
      </c>
    </row>
    <row r="292" customFormat="false" ht="15" hidden="false" customHeight="true" outlineLevel="0" collapsed="false">
      <c r="A292" s="7" t="s">
        <v>845</v>
      </c>
      <c r="B292" s="26" t="n">
        <v>45774</v>
      </c>
      <c r="C292" s="26" t="n">
        <v>45777</v>
      </c>
      <c r="D292" s="7" t="s">
        <v>197</v>
      </c>
      <c r="E292" s="7" t="s">
        <v>198</v>
      </c>
      <c r="F292" s="7" t="s">
        <v>178</v>
      </c>
      <c r="G292" s="7" t="s">
        <v>169</v>
      </c>
      <c r="H292" s="7" t="s">
        <v>191</v>
      </c>
      <c r="I292" s="7" t="s">
        <v>192</v>
      </c>
      <c r="J292" s="7" t="s">
        <v>213</v>
      </c>
      <c r="K292" s="7" t="s">
        <v>214</v>
      </c>
      <c r="L292" s="7" t="s">
        <v>215</v>
      </c>
      <c r="M292" s="7" t="n">
        <v>2</v>
      </c>
      <c r="N292" s="27" t="n">
        <v>5999</v>
      </c>
      <c r="O292" s="28" t="n">
        <v>0.4</v>
      </c>
      <c r="P292" s="27" t="n">
        <v>7199</v>
      </c>
      <c r="Q292" s="27" t="n">
        <v>9200</v>
      </c>
      <c r="R292" s="27" t="n">
        <v>-2001</v>
      </c>
      <c r="S292" s="7" t="s">
        <v>60</v>
      </c>
      <c r="T292" s="7" t="str">
        <f aca="false">IF(O292=0,"No discount",IF(O292&lt;=0.2,"Up to 20%","Above 20%"))</f>
        <v>Above 20%</v>
      </c>
    </row>
    <row r="293" customFormat="false" ht="15" hidden="false" customHeight="true" outlineLevel="0" collapsed="false">
      <c r="A293" s="7" t="s">
        <v>846</v>
      </c>
      <c r="B293" s="26" t="n">
        <v>45775</v>
      </c>
      <c r="C293" s="26" t="n">
        <v>45779</v>
      </c>
      <c r="D293" s="7" t="s">
        <v>372</v>
      </c>
      <c r="E293" s="7" t="s">
        <v>373</v>
      </c>
      <c r="F293" s="7" t="s">
        <v>219</v>
      </c>
      <c r="G293" s="7" t="s">
        <v>160</v>
      </c>
      <c r="H293" s="7" t="s">
        <v>269</v>
      </c>
      <c r="I293" s="7" t="s">
        <v>208</v>
      </c>
      <c r="J293" s="7" t="s">
        <v>232</v>
      </c>
      <c r="K293" s="7" t="s">
        <v>233</v>
      </c>
      <c r="L293" s="7" t="s">
        <v>234</v>
      </c>
      <c r="M293" s="7" t="n">
        <v>1</v>
      </c>
      <c r="N293" s="27" t="n">
        <v>7999</v>
      </c>
      <c r="O293" s="28" t="n">
        <v>0.1</v>
      </c>
      <c r="P293" s="27" t="n">
        <v>7199</v>
      </c>
      <c r="Q293" s="27" t="n">
        <v>5600</v>
      </c>
      <c r="R293" s="27" t="n">
        <v>1599</v>
      </c>
      <c r="S293" s="7" t="s">
        <v>60</v>
      </c>
      <c r="T293" s="7" t="str">
        <f aca="false">IF(O293=0,"No discount",IF(O293&lt;=0.2,"Up to 20%","Above 20%"))</f>
        <v>Up to 20%</v>
      </c>
    </row>
    <row r="294" customFormat="false" ht="15" hidden="false" customHeight="true" outlineLevel="0" collapsed="false">
      <c r="A294" s="7" t="s">
        <v>847</v>
      </c>
      <c r="B294" s="26" t="n">
        <v>45775</v>
      </c>
      <c r="C294" s="26" t="n">
        <v>45782</v>
      </c>
      <c r="D294" s="7" t="s">
        <v>296</v>
      </c>
      <c r="E294" s="7" t="s">
        <v>297</v>
      </c>
      <c r="F294" s="7" t="s">
        <v>178</v>
      </c>
      <c r="G294" s="7" t="s">
        <v>169</v>
      </c>
      <c r="H294" s="7" t="s">
        <v>179</v>
      </c>
      <c r="I294" s="7" t="s">
        <v>162</v>
      </c>
      <c r="J294" s="7" t="s">
        <v>185</v>
      </c>
      <c r="K294" s="7" t="s">
        <v>186</v>
      </c>
      <c r="L294" s="7" t="s">
        <v>187</v>
      </c>
      <c r="M294" s="7" t="n">
        <v>3</v>
      </c>
      <c r="N294" s="27" t="n">
        <v>3299</v>
      </c>
      <c r="O294" s="28" t="n">
        <v>0.5</v>
      </c>
      <c r="P294" s="27" t="n">
        <v>4948</v>
      </c>
      <c r="Q294" s="27" t="n">
        <v>5700</v>
      </c>
      <c r="R294" s="27" t="n">
        <v>-752</v>
      </c>
      <c r="S294" s="7" t="s">
        <v>60</v>
      </c>
      <c r="T294" s="7" t="str">
        <f aca="false">IF(O294=0,"No discount",IF(O294&lt;=0.2,"Up to 20%","Above 20%"))</f>
        <v>Above 20%</v>
      </c>
    </row>
    <row r="295" customFormat="false" ht="15" hidden="false" customHeight="true" outlineLevel="0" collapsed="false">
      <c r="A295" s="7" t="s">
        <v>848</v>
      </c>
      <c r="B295" s="26" t="n">
        <v>45775</v>
      </c>
      <c r="C295" s="26" t="n">
        <v>45781</v>
      </c>
      <c r="D295" s="7" t="s">
        <v>806</v>
      </c>
      <c r="E295" s="7" t="s">
        <v>807</v>
      </c>
      <c r="F295" s="7" t="s">
        <v>159</v>
      </c>
      <c r="G295" s="7" t="s">
        <v>160</v>
      </c>
      <c r="H295" s="7" t="s">
        <v>161</v>
      </c>
      <c r="I295" s="7" t="s">
        <v>171</v>
      </c>
      <c r="J295" s="7" t="s">
        <v>314</v>
      </c>
      <c r="K295" s="7" t="s">
        <v>315</v>
      </c>
      <c r="L295" s="7" t="s">
        <v>316</v>
      </c>
      <c r="M295" s="7" t="n">
        <v>1</v>
      </c>
      <c r="N295" s="27" t="n">
        <v>1299</v>
      </c>
      <c r="O295" s="28" t="n">
        <v>0.3</v>
      </c>
      <c r="P295" s="27" t="n">
        <v>909</v>
      </c>
      <c r="Q295" s="27" t="n">
        <v>700</v>
      </c>
      <c r="R295" s="27" t="n">
        <v>209</v>
      </c>
      <c r="S295" s="7" t="s">
        <v>60</v>
      </c>
      <c r="T295" s="7" t="str">
        <f aca="false">IF(O295=0,"No discount",IF(O295&lt;=0.2,"Up to 20%","Above 20%"))</f>
        <v>Above 20%</v>
      </c>
    </row>
    <row r="296" customFormat="false" ht="15" hidden="false" customHeight="true" outlineLevel="0" collapsed="false">
      <c r="A296" s="7" t="s">
        <v>849</v>
      </c>
      <c r="B296" s="26" t="n">
        <v>45775</v>
      </c>
      <c r="C296" s="26" t="n">
        <v>45782</v>
      </c>
      <c r="D296" s="7" t="s">
        <v>850</v>
      </c>
      <c r="E296" s="7" t="s">
        <v>851</v>
      </c>
      <c r="F296" s="7" t="s">
        <v>159</v>
      </c>
      <c r="G296" s="7" t="s">
        <v>160</v>
      </c>
      <c r="H296" s="7" t="s">
        <v>269</v>
      </c>
      <c r="I296" s="7" t="s">
        <v>208</v>
      </c>
      <c r="J296" s="7" t="s">
        <v>232</v>
      </c>
      <c r="K296" s="7" t="s">
        <v>233</v>
      </c>
      <c r="L296" s="7" t="s">
        <v>234</v>
      </c>
      <c r="M296" s="7" t="n">
        <v>4</v>
      </c>
      <c r="N296" s="27" t="n">
        <v>7999</v>
      </c>
      <c r="O296" s="28" t="n">
        <v>0.15</v>
      </c>
      <c r="P296" s="27" t="n">
        <v>27197</v>
      </c>
      <c r="Q296" s="27" t="n">
        <v>22400</v>
      </c>
      <c r="R296" s="27" t="n">
        <v>4797</v>
      </c>
      <c r="S296" s="7" t="s">
        <v>47</v>
      </c>
      <c r="T296" s="7" t="str">
        <f aca="false">IF(O296=0,"No discount",IF(O296&lt;=0.2,"Up to 20%","Above 20%"))</f>
        <v>Up to 20%</v>
      </c>
    </row>
    <row r="297" customFormat="false" ht="15" hidden="false" customHeight="true" outlineLevel="0" collapsed="false">
      <c r="A297" s="7" t="s">
        <v>852</v>
      </c>
      <c r="B297" s="26" t="n">
        <v>45776</v>
      </c>
      <c r="C297" s="26" t="n">
        <v>45777</v>
      </c>
      <c r="D297" s="7" t="s">
        <v>689</v>
      </c>
      <c r="E297" s="7" t="s">
        <v>690</v>
      </c>
      <c r="F297" s="7" t="s">
        <v>219</v>
      </c>
      <c r="G297" s="7" t="s">
        <v>206</v>
      </c>
      <c r="H297" s="7" t="s">
        <v>207</v>
      </c>
      <c r="I297" s="7" t="s">
        <v>199</v>
      </c>
      <c r="J297" s="7" t="s">
        <v>398</v>
      </c>
      <c r="K297" s="7" t="s">
        <v>399</v>
      </c>
      <c r="L297" s="7" t="s">
        <v>400</v>
      </c>
      <c r="M297" s="7" t="n">
        <v>1</v>
      </c>
      <c r="N297" s="27" t="n">
        <v>749</v>
      </c>
      <c r="O297" s="28" t="n">
        <v>0.15</v>
      </c>
      <c r="P297" s="27" t="n">
        <v>637</v>
      </c>
      <c r="Q297" s="27" t="n">
        <v>350</v>
      </c>
      <c r="R297" s="27" t="n">
        <v>287</v>
      </c>
      <c r="S297" s="7" t="s">
        <v>60</v>
      </c>
      <c r="T297" s="7" t="str">
        <f aca="false">IF(O297=0,"No discount",IF(O297&lt;=0.2,"Up to 20%","Above 20%"))</f>
        <v>Up to 20%</v>
      </c>
    </row>
    <row r="298" customFormat="false" ht="15" hidden="false" customHeight="true" outlineLevel="0" collapsed="false">
      <c r="A298" s="7" t="s">
        <v>853</v>
      </c>
      <c r="B298" s="26" t="n">
        <v>45776</v>
      </c>
      <c r="C298" s="26" t="n">
        <v>45778</v>
      </c>
      <c r="D298" s="7" t="s">
        <v>563</v>
      </c>
      <c r="E298" s="7" t="s">
        <v>564</v>
      </c>
      <c r="F298" s="7" t="s">
        <v>178</v>
      </c>
      <c r="G298" s="7" t="s">
        <v>160</v>
      </c>
      <c r="H298" s="7" t="s">
        <v>269</v>
      </c>
      <c r="I298" s="7" t="s">
        <v>171</v>
      </c>
      <c r="J298" s="7" t="s">
        <v>172</v>
      </c>
      <c r="K298" s="7" t="s">
        <v>180</v>
      </c>
      <c r="L298" s="7" t="s">
        <v>181</v>
      </c>
      <c r="M298" s="7" t="n">
        <v>1</v>
      </c>
      <c r="N298" s="27" t="n">
        <v>999</v>
      </c>
      <c r="O298" s="28" t="n">
        <v>0.1</v>
      </c>
      <c r="P298" s="27" t="n">
        <v>899</v>
      </c>
      <c r="Q298" s="27" t="n">
        <v>520</v>
      </c>
      <c r="R298" s="27" t="n">
        <v>379</v>
      </c>
      <c r="S298" s="7" t="s">
        <v>60</v>
      </c>
      <c r="T298" s="7" t="str">
        <f aca="false">IF(O298=0,"No discount",IF(O298&lt;=0.2,"Up to 20%","Above 20%"))</f>
        <v>Up to 20%</v>
      </c>
    </row>
    <row r="299" customFormat="false" ht="15" hidden="false" customHeight="true" outlineLevel="0" collapsed="false">
      <c r="A299" s="7" t="s">
        <v>854</v>
      </c>
      <c r="B299" s="26" t="n">
        <v>45776</v>
      </c>
      <c r="C299" s="26" t="n">
        <v>45778</v>
      </c>
      <c r="D299" s="7" t="s">
        <v>280</v>
      </c>
      <c r="E299" s="7" t="s">
        <v>281</v>
      </c>
      <c r="F299" s="7" t="s">
        <v>219</v>
      </c>
      <c r="G299" s="7" t="s">
        <v>160</v>
      </c>
      <c r="H299" s="7" t="s">
        <v>263</v>
      </c>
      <c r="I299" s="7" t="s">
        <v>192</v>
      </c>
      <c r="J299" s="7" t="s">
        <v>213</v>
      </c>
      <c r="K299" s="7" t="s">
        <v>214</v>
      </c>
      <c r="L299" s="7" t="s">
        <v>215</v>
      </c>
      <c r="M299" s="7" t="n">
        <v>1</v>
      </c>
      <c r="N299" s="27" t="n">
        <v>5999</v>
      </c>
      <c r="O299" s="28" t="n">
        <v>0.2</v>
      </c>
      <c r="P299" s="27" t="n">
        <v>4799</v>
      </c>
      <c r="Q299" s="27" t="n">
        <v>4600</v>
      </c>
      <c r="R299" s="27" t="n">
        <v>199</v>
      </c>
      <c r="S299" s="7" t="s">
        <v>60</v>
      </c>
      <c r="T299" s="7" t="str">
        <f aca="false">IF(O299=0,"No discount",IF(O299&lt;=0.2,"Up to 20%","Above 20%"))</f>
        <v>Up to 20%</v>
      </c>
    </row>
    <row r="300" customFormat="false" ht="15" hidden="false" customHeight="true" outlineLevel="0" collapsed="false">
      <c r="A300" s="7" t="s">
        <v>855</v>
      </c>
      <c r="B300" s="26" t="n">
        <v>45776</v>
      </c>
      <c r="C300" s="26" t="n">
        <v>45783</v>
      </c>
      <c r="D300" s="7" t="s">
        <v>450</v>
      </c>
      <c r="E300" s="7" t="s">
        <v>451</v>
      </c>
      <c r="F300" s="7" t="s">
        <v>159</v>
      </c>
      <c r="G300" s="7" t="s">
        <v>206</v>
      </c>
      <c r="H300" s="7" t="s">
        <v>207</v>
      </c>
      <c r="I300" s="7" t="s">
        <v>208</v>
      </c>
      <c r="J300" s="7" t="s">
        <v>232</v>
      </c>
      <c r="K300" s="7" t="s">
        <v>233</v>
      </c>
      <c r="L300" s="7" t="s">
        <v>234</v>
      </c>
      <c r="M300" s="7" t="n">
        <v>1</v>
      </c>
      <c r="N300" s="27" t="n">
        <v>7999</v>
      </c>
      <c r="O300" s="28" t="n">
        <v>0.2</v>
      </c>
      <c r="P300" s="27" t="n">
        <v>6399</v>
      </c>
      <c r="Q300" s="27" t="n">
        <v>5600</v>
      </c>
      <c r="R300" s="27" t="n">
        <v>799</v>
      </c>
      <c r="S300" s="7" t="s">
        <v>60</v>
      </c>
      <c r="T300" s="7" t="str">
        <f aca="false">IF(O300=0,"No discount",IF(O300&lt;=0.2,"Up to 20%","Above 20%"))</f>
        <v>Up to 20%</v>
      </c>
    </row>
    <row r="301" customFormat="false" ht="15" hidden="false" customHeight="true" outlineLevel="0" collapsed="false">
      <c r="A301" s="7" t="s">
        <v>856</v>
      </c>
      <c r="B301" s="26" t="n">
        <v>45776</v>
      </c>
      <c r="C301" s="26" t="n">
        <v>45778</v>
      </c>
      <c r="D301" s="7" t="s">
        <v>538</v>
      </c>
      <c r="E301" s="7" t="s">
        <v>539</v>
      </c>
      <c r="F301" s="7" t="s">
        <v>159</v>
      </c>
      <c r="G301" s="7" t="s">
        <v>169</v>
      </c>
      <c r="H301" s="7" t="s">
        <v>191</v>
      </c>
      <c r="I301" s="7" t="s">
        <v>192</v>
      </c>
      <c r="J301" s="7" t="s">
        <v>502</v>
      </c>
      <c r="K301" s="7" t="s">
        <v>503</v>
      </c>
      <c r="L301" s="7" t="s">
        <v>504</v>
      </c>
      <c r="M301" s="7" t="n">
        <v>1</v>
      </c>
      <c r="N301" s="27" t="n">
        <v>3499</v>
      </c>
      <c r="O301" s="28" t="n">
        <v>0.4</v>
      </c>
      <c r="P301" s="27" t="n">
        <v>2099</v>
      </c>
      <c r="Q301" s="27" t="n">
        <v>2500</v>
      </c>
      <c r="R301" s="27" t="n">
        <v>-401</v>
      </c>
      <c r="S301" s="7" t="s">
        <v>60</v>
      </c>
      <c r="T301" s="7" t="str">
        <f aca="false">IF(O301=0,"No discount",IF(O301&lt;=0.2,"Up to 20%","Above 20%"))</f>
        <v>Above 20%</v>
      </c>
    </row>
    <row r="302" customFormat="false" ht="15" hidden="false" customHeight="true" outlineLevel="0" collapsed="false">
      <c r="A302" s="7" t="s">
        <v>857</v>
      </c>
      <c r="B302" s="26" t="n">
        <v>45777</v>
      </c>
      <c r="C302" s="26" t="n">
        <v>45783</v>
      </c>
      <c r="D302" s="7" t="s">
        <v>396</v>
      </c>
      <c r="E302" s="7" t="s">
        <v>397</v>
      </c>
      <c r="F302" s="7" t="s">
        <v>178</v>
      </c>
      <c r="G302" s="7" t="s">
        <v>160</v>
      </c>
      <c r="H302" s="7" t="s">
        <v>269</v>
      </c>
      <c r="I302" s="7" t="s">
        <v>208</v>
      </c>
      <c r="J302" s="7" t="s">
        <v>209</v>
      </c>
      <c r="K302" s="7" t="s">
        <v>637</v>
      </c>
      <c r="L302" s="7" t="s">
        <v>638</v>
      </c>
      <c r="M302" s="7" t="n">
        <v>1</v>
      </c>
      <c r="N302" s="27" t="n">
        <v>899</v>
      </c>
      <c r="O302" s="28" t="n">
        <v>0.05</v>
      </c>
      <c r="P302" s="27" t="n">
        <v>854</v>
      </c>
      <c r="Q302" s="27" t="n">
        <v>480</v>
      </c>
      <c r="R302" s="27" t="n">
        <v>374</v>
      </c>
      <c r="S302" s="7" t="s">
        <v>60</v>
      </c>
      <c r="T302" s="7" t="str">
        <f aca="false">IF(O302=0,"No discount",IF(O302&lt;=0.2,"Up to 20%","Above 20%"))</f>
        <v>Up to 20%</v>
      </c>
    </row>
    <row r="303" customFormat="false" ht="15" hidden="false" customHeight="true" outlineLevel="0" collapsed="false">
      <c r="A303" s="7" t="s">
        <v>858</v>
      </c>
      <c r="B303" s="26" t="n">
        <v>45777</v>
      </c>
      <c r="C303" s="26" t="n">
        <v>45781</v>
      </c>
      <c r="D303" s="7" t="s">
        <v>462</v>
      </c>
      <c r="E303" s="7" t="s">
        <v>463</v>
      </c>
      <c r="F303" s="7" t="s">
        <v>159</v>
      </c>
      <c r="G303" s="7" t="s">
        <v>169</v>
      </c>
      <c r="H303" s="7" t="s">
        <v>191</v>
      </c>
      <c r="I303" s="7" t="s">
        <v>171</v>
      </c>
      <c r="J303" s="7" t="s">
        <v>304</v>
      </c>
      <c r="K303" s="7" t="s">
        <v>305</v>
      </c>
      <c r="L303" s="7" t="s">
        <v>306</v>
      </c>
      <c r="M303" s="7" t="n">
        <v>1</v>
      </c>
      <c r="N303" s="27" t="n">
        <v>2999</v>
      </c>
      <c r="O303" s="28" t="n">
        <v>0.2</v>
      </c>
      <c r="P303" s="27" t="n">
        <v>2399</v>
      </c>
      <c r="Q303" s="27" t="n">
        <v>2000</v>
      </c>
      <c r="R303" s="27" t="n">
        <v>399</v>
      </c>
      <c r="S303" s="7" t="s">
        <v>60</v>
      </c>
      <c r="T303" s="7" t="str">
        <f aca="false">IF(O303=0,"No discount",IF(O303&lt;=0.2,"Up to 20%","Above 20%"))</f>
        <v>Up to 20%</v>
      </c>
    </row>
    <row r="304" customFormat="false" ht="15" hidden="false" customHeight="true" outlineLevel="0" collapsed="false">
      <c r="A304" s="7" t="s">
        <v>859</v>
      </c>
      <c r="B304" s="26" t="n">
        <v>45777</v>
      </c>
      <c r="C304" s="26" t="n">
        <v>45781</v>
      </c>
      <c r="D304" s="7" t="s">
        <v>734</v>
      </c>
      <c r="E304" s="7" t="s">
        <v>735</v>
      </c>
      <c r="F304" s="7" t="s">
        <v>159</v>
      </c>
      <c r="G304" s="7" t="s">
        <v>206</v>
      </c>
      <c r="H304" s="7" t="s">
        <v>207</v>
      </c>
      <c r="I304" s="7" t="s">
        <v>171</v>
      </c>
      <c r="J304" s="7" t="s">
        <v>172</v>
      </c>
      <c r="K304" s="7" t="s">
        <v>173</v>
      </c>
      <c r="L304" s="7" t="s">
        <v>174</v>
      </c>
      <c r="M304" s="7" t="n">
        <v>3</v>
      </c>
      <c r="N304" s="27" t="n">
        <v>699</v>
      </c>
      <c r="O304" s="28" t="n">
        <v>0.2</v>
      </c>
      <c r="P304" s="27" t="n">
        <v>1678</v>
      </c>
      <c r="Q304" s="27" t="n">
        <v>960</v>
      </c>
      <c r="R304" s="27" t="n">
        <v>718</v>
      </c>
      <c r="S304" s="7" t="s">
        <v>60</v>
      </c>
      <c r="T304" s="7" t="str">
        <f aca="false">IF(O304=0,"No discount",IF(O304&lt;=0.2,"Up to 20%","Above 20%"))</f>
        <v>Up to 20%</v>
      </c>
    </row>
    <row r="305" customFormat="false" ht="15" hidden="false" customHeight="true" outlineLevel="0" collapsed="false">
      <c r="A305" s="7" t="s">
        <v>860</v>
      </c>
      <c r="B305" s="26" t="n">
        <v>45777</v>
      </c>
      <c r="C305" s="26" t="n">
        <v>45782</v>
      </c>
      <c r="D305" s="7" t="s">
        <v>861</v>
      </c>
      <c r="E305" s="7" t="s">
        <v>862</v>
      </c>
      <c r="F305" s="7" t="s">
        <v>219</v>
      </c>
      <c r="G305" s="7" t="s">
        <v>169</v>
      </c>
      <c r="H305" s="7" t="s">
        <v>179</v>
      </c>
      <c r="I305" s="7" t="s">
        <v>199</v>
      </c>
      <c r="J305" s="7" t="s">
        <v>223</v>
      </c>
      <c r="K305" s="7" t="s">
        <v>224</v>
      </c>
      <c r="L305" s="7" t="s">
        <v>225</v>
      </c>
      <c r="M305" s="7" t="n">
        <v>4</v>
      </c>
      <c r="N305" s="27" t="n">
        <v>899</v>
      </c>
      <c r="O305" s="28" t="n">
        <v>0.15</v>
      </c>
      <c r="P305" s="27" t="n">
        <v>3057</v>
      </c>
      <c r="Q305" s="27" t="n">
        <v>1520</v>
      </c>
      <c r="R305" s="27" t="n">
        <v>1537</v>
      </c>
      <c r="S305" s="7" t="s">
        <v>60</v>
      </c>
      <c r="T305" s="7" t="str">
        <f aca="false">IF(O305=0,"No discount",IF(O305&lt;=0.2,"Up to 20%","Above 20%"))</f>
        <v>Up to 20%</v>
      </c>
    </row>
    <row r="306" customFormat="false" ht="15" hidden="false" customHeight="true" outlineLevel="0" collapsed="false">
      <c r="A306" s="7" t="s">
        <v>863</v>
      </c>
      <c r="B306" s="26" t="n">
        <v>45777</v>
      </c>
      <c r="C306" s="26" t="n">
        <v>45782</v>
      </c>
      <c r="D306" s="7" t="s">
        <v>351</v>
      </c>
      <c r="E306" s="7" t="s">
        <v>352</v>
      </c>
      <c r="F306" s="7" t="s">
        <v>178</v>
      </c>
      <c r="G306" s="7" t="s">
        <v>169</v>
      </c>
      <c r="H306" s="7" t="s">
        <v>179</v>
      </c>
      <c r="I306" s="7" t="s">
        <v>208</v>
      </c>
      <c r="J306" s="7" t="s">
        <v>232</v>
      </c>
      <c r="K306" s="7" t="s">
        <v>233</v>
      </c>
      <c r="L306" s="7" t="s">
        <v>234</v>
      </c>
      <c r="M306" s="7" t="n">
        <v>1</v>
      </c>
      <c r="N306" s="27" t="n">
        <v>7999</v>
      </c>
      <c r="O306" s="28" t="n">
        <v>0.1</v>
      </c>
      <c r="P306" s="27" t="n">
        <v>7199</v>
      </c>
      <c r="Q306" s="27" t="n">
        <v>5600</v>
      </c>
      <c r="R306" s="27" t="n">
        <v>1599</v>
      </c>
      <c r="S306" s="7" t="s">
        <v>60</v>
      </c>
      <c r="T306" s="7" t="str">
        <f aca="false">IF(O306=0,"No discount",IF(O306&lt;=0.2,"Up to 20%","Above 20%"))</f>
        <v>Up to 20%</v>
      </c>
    </row>
    <row r="307" customFormat="false" ht="15" hidden="false" customHeight="true" outlineLevel="0" collapsed="false">
      <c r="A307" s="7" t="s">
        <v>864</v>
      </c>
      <c r="B307" s="26" t="n">
        <v>45778</v>
      </c>
      <c r="C307" s="26" t="n">
        <v>45780</v>
      </c>
      <c r="D307" s="7" t="s">
        <v>618</v>
      </c>
      <c r="E307" s="7" t="s">
        <v>619</v>
      </c>
      <c r="F307" s="7" t="s">
        <v>219</v>
      </c>
      <c r="G307" s="7" t="s">
        <v>169</v>
      </c>
      <c r="H307" s="7" t="s">
        <v>191</v>
      </c>
      <c r="I307" s="7" t="s">
        <v>199</v>
      </c>
      <c r="J307" s="7" t="s">
        <v>200</v>
      </c>
      <c r="K307" s="7" t="s">
        <v>201</v>
      </c>
      <c r="L307" s="7" t="s">
        <v>202</v>
      </c>
      <c r="M307" s="7" t="n">
        <v>2</v>
      </c>
      <c r="N307" s="27" t="n">
        <v>399</v>
      </c>
      <c r="O307" s="28" t="n">
        <v>0.2</v>
      </c>
      <c r="P307" s="27" t="n">
        <v>638</v>
      </c>
      <c r="Q307" s="27" t="n">
        <v>320</v>
      </c>
      <c r="R307" s="27" t="n">
        <v>318</v>
      </c>
      <c r="S307" s="7" t="s">
        <v>60</v>
      </c>
      <c r="T307" s="7" t="str">
        <f aca="false">IF(O307=0,"No discount",IF(O307&lt;=0.2,"Up to 20%","Above 20%"))</f>
        <v>Up to 20%</v>
      </c>
    </row>
    <row r="308" customFormat="false" ht="15" hidden="false" customHeight="true" outlineLevel="0" collapsed="false">
      <c r="A308" s="7" t="s">
        <v>865</v>
      </c>
      <c r="B308" s="26" t="n">
        <v>45778</v>
      </c>
      <c r="C308" s="26" t="n">
        <v>45781</v>
      </c>
      <c r="D308" s="7" t="s">
        <v>866</v>
      </c>
      <c r="E308" s="7" t="s">
        <v>867</v>
      </c>
      <c r="F308" s="7" t="s">
        <v>159</v>
      </c>
      <c r="G308" s="7" t="s">
        <v>169</v>
      </c>
      <c r="H308" s="7" t="s">
        <v>170</v>
      </c>
      <c r="I308" s="7" t="s">
        <v>162</v>
      </c>
      <c r="J308" s="7" t="s">
        <v>163</v>
      </c>
      <c r="K308" s="7" t="s">
        <v>164</v>
      </c>
      <c r="L308" s="7" t="s">
        <v>165</v>
      </c>
      <c r="M308" s="7" t="n">
        <v>1</v>
      </c>
      <c r="N308" s="27" t="n">
        <v>1999</v>
      </c>
      <c r="O308" s="28" t="n">
        <v>0.4</v>
      </c>
      <c r="P308" s="27" t="n">
        <v>1199</v>
      </c>
      <c r="Q308" s="27" t="n">
        <v>1050</v>
      </c>
      <c r="R308" s="27" t="n">
        <v>149</v>
      </c>
      <c r="S308" s="7" t="s">
        <v>60</v>
      </c>
      <c r="T308" s="7" t="str">
        <f aca="false">IF(O308=0,"No discount",IF(O308&lt;=0.2,"Up to 20%","Above 20%"))</f>
        <v>Above 20%</v>
      </c>
    </row>
    <row r="309" customFormat="false" ht="15" hidden="false" customHeight="true" outlineLevel="0" collapsed="false">
      <c r="A309" s="7" t="s">
        <v>868</v>
      </c>
      <c r="B309" s="26" t="n">
        <v>45778</v>
      </c>
      <c r="C309" s="26" t="n">
        <v>45780</v>
      </c>
      <c r="D309" s="7" t="s">
        <v>726</v>
      </c>
      <c r="E309" s="7" t="s">
        <v>727</v>
      </c>
      <c r="F309" s="7" t="s">
        <v>178</v>
      </c>
      <c r="G309" s="7" t="s">
        <v>206</v>
      </c>
      <c r="H309" s="7" t="s">
        <v>207</v>
      </c>
      <c r="I309" s="7" t="s">
        <v>199</v>
      </c>
      <c r="J309" s="7" t="s">
        <v>200</v>
      </c>
      <c r="K309" s="7" t="s">
        <v>201</v>
      </c>
      <c r="L309" s="7" t="s">
        <v>202</v>
      </c>
      <c r="M309" s="7" t="n">
        <v>3</v>
      </c>
      <c r="N309" s="27" t="n">
        <v>399</v>
      </c>
      <c r="O309" s="28" t="n">
        <v>0.1</v>
      </c>
      <c r="P309" s="27" t="n">
        <v>1077</v>
      </c>
      <c r="Q309" s="27" t="n">
        <v>480</v>
      </c>
      <c r="R309" s="27" t="n">
        <v>597</v>
      </c>
      <c r="S309" s="7" t="s">
        <v>60</v>
      </c>
      <c r="T309" s="7" t="str">
        <f aca="false">IF(O309=0,"No discount",IF(O309&lt;=0.2,"Up to 20%","Above 20%"))</f>
        <v>Up to 20%</v>
      </c>
    </row>
    <row r="310" customFormat="false" ht="15" hidden="false" customHeight="true" outlineLevel="0" collapsed="false">
      <c r="A310" s="7" t="s">
        <v>869</v>
      </c>
      <c r="B310" s="26" t="n">
        <v>45779</v>
      </c>
      <c r="C310" s="26" t="n">
        <v>45780</v>
      </c>
      <c r="D310" s="7" t="s">
        <v>645</v>
      </c>
      <c r="E310" s="7" t="s">
        <v>646</v>
      </c>
      <c r="F310" s="7" t="s">
        <v>178</v>
      </c>
      <c r="G310" s="7" t="s">
        <v>160</v>
      </c>
      <c r="H310" s="7" t="s">
        <v>161</v>
      </c>
      <c r="I310" s="7" t="s">
        <v>171</v>
      </c>
      <c r="J310" s="7" t="s">
        <v>172</v>
      </c>
      <c r="K310" s="7" t="s">
        <v>173</v>
      </c>
      <c r="L310" s="7" t="s">
        <v>174</v>
      </c>
      <c r="M310" s="7" t="n">
        <v>1</v>
      </c>
      <c r="N310" s="27" t="n">
        <v>699</v>
      </c>
      <c r="O310" s="28" t="n">
        <v>0.1</v>
      </c>
      <c r="P310" s="27" t="n">
        <v>629</v>
      </c>
      <c r="Q310" s="27" t="n">
        <v>320</v>
      </c>
      <c r="R310" s="27" t="n">
        <v>309</v>
      </c>
      <c r="S310" s="7" t="s">
        <v>60</v>
      </c>
      <c r="T310" s="7" t="str">
        <f aca="false">IF(O310=0,"No discount",IF(O310&lt;=0.2,"Up to 20%","Above 20%"))</f>
        <v>Up to 20%</v>
      </c>
    </row>
    <row r="311" customFormat="false" ht="15" hidden="false" customHeight="true" outlineLevel="0" collapsed="false">
      <c r="A311" s="7" t="s">
        <v>870</v>
      </c>
      <c r="B311" s="26" t="n">
        <v>45779</v>
      </c>
      <c r="C311" s="26" t="n">
        <v>45784</v>
      </c>
      <c r="D311" s="7" t="s">
        <v>396</v>
      </c>
      <c r="E311" s="7" t="s">
        <v>397</v>
      </c>
      <c r="F311" s="7" t="s">
        <v>178</v>
      </c>
      <c r="G311" s="7" t="s">
        <v>160</v>
      </c>
      <c r="H311" s="7" t="s">
        <v>269</v>
      </c>
      <c r="I311" s="7" t="s">
        <v>162</v>
      </c>
      <c r="J311" s="7" t="s">
        <v>185</v>
      </c>
      <c r="K311" s="7" t="s">
        <v>186</v>
      </c>
      <c r="L311" s="7" t="s">
        <v>187</v>
      </c>
      <c r="M311" s="7" t="n">
        <v>3</v>
      </c>
      <c r="N311" s="27" t="n">
        <v>3299</v>
      </c>
      <c r="O311" s="28" t="n">
        <v>0</v>
      </c>
      <c r="P311" s="27" t="n">
        <v>9897</v>
      </c>
      <c r="Q311" s="27" t="n">
        <v>5700</v>
      </c>
      <c r="R311" s="27" t="n">
        <v>4197</v>
      </c>
      <c r="S311" s="7" t="s">
        <v>60</v>
      </c>
      <c r="T311" s="7" t="str">
        <f aca="false">IF(O311=0,"No discount",IF(O311&lt;=0.2,"Up to 20%","Above 20%"))</f>
        <v>No discount</v>
      </c>
    </row>
    <row r="312" customFormat="false" ht="15" hidden="false" customHeight="true" outlineLevel="0" collapsed="false">
      <c r="A312" s="7" t="s">
        <v>871</v>
      </c>
      <c r="B312" s="26" t="n">
        <v>45779</v>
      </c>
      <c r="C312" s="26" t="n">
        <v>45781</v>
      </c>
      <c r="D312" s="7" t="s">
        <v>545</v>
      </c>
      <c r="E312" s="7" t="s">
        <v>546</v>
      </c>
      <c r="F312" s="7" t="s">
        <v>219</v>
      </c>
      <c r="G312" s="7" t="s">
        <v>169</v>
      </c>
      <c r="H312" s="7" t="s">
        <v>179</v>
      </c>
      <c r="I312" s="7" t="s">
        <v>199</v>
      </c>
      <c r="J312" s="7" t="s">
        <v>200</v>
      </c>
      <c r="K312" s="7" t="s">
        <v>201</v>
      </c>
      <c r="L312" s="7" t="s">
        <v>202</v>
      </c>
      <c r="M312" s="7" t="n">
        <v>2</v>
      </c>
      <c r="N312" s="27" t="n">
        <v>399</v>
      </c>
      <c r="O312" s="28" t="n">
        <v>0</v>
      </c>
      <c r="P312" s="27" t="n">
        <v>798</v>
      </c>
      <c r="Q312" s="27" t="n">
        <v>320</v>
      </c>
      <c r="R312" s="27" t="n">
        <v>478</v>
      </c>
      <c r="S312" s="7" t="s">
        <v>60</v>
      </c>
      <c r="T312" s="7" t="str">
        <f aca="false">IF(O312=0,"No discount",IF(O312&lt;=0.2,"Up to 20%","Above 20%"))</f>
        <v>No discount</v>
      </c>
    </row>
    <row r="313" customFormat="false" ht="15" hidden="false" customHeight="true" outlineLevel="0" collapsed="false">
      <c r="A313" s="7" t="s">
        <v>872</v>
      </c>
      <c r="B313" s="26" t="n">
        <v>45780</v>
      </c>
      <c r="C313" s="26" t="n">
        <v>45783</v>
      </c>
      <c r="D313" s="7" t="s">
        <v>873</v>
      </c>
      <c r="E313" s="7" t="s">
        <v>874</v>
      </c>
      <c r="F313" s="7" t="s">
        <v>219</v>
      </c>
      <c r="G313" s="7" t="s">
        <v>160</v>
      </c>
      <c r="H313" s="7" t="s">
        <v>269</v>
      </c>
      <c r="I313" s="7" t="s">
        <v>192</v>
      </c>
      <c r="J313" s="7" t="s">
        <v>213</v>
      </c>
      <c r="K313" s="7" t="s">
        <v>214</v>
      </c>
      <c r="L313" s="7" t="s">
        <v>215</v>
      </c>
      <c r="M313" s="7" t="n">
        <v>5</v>
      </c>
      <c r="N313" s="27" t="n">
        <v>5999</v>
      </c>
      <c r="O313" s="28" t="n">
        <v>0.4</v>
      </c>
      <c r="P313" s="27" t="n">
        <v>17997</v>
      </c>
      <c r="Q313" s="27" t="n">
        <v>23000</v>
      </c>
      <c r="R313" s="27" t="n">
        <v>-5003</v>
      </c>
      <c r="S313" s="7" t="s">
        <v>60</v>
      </c>
      <c r="T313" s="7" t="str">
        <f aca="false">IF(O313=0,"No discount",IF(O313&lt;=0.2,"Up to 20%","Above 20%"))</f>
        <v>Above 20%</v>
      </c>
    </row>
    <row r="314" customFormat="false" ht="15" hidden="false" customHeight="true" outlineLevel="0" collapsed="false">
      <c r="A314" s="7" t="s">
        <v>875</v>
      </c>
      <c r="B314" s="26" t="n">
        <v>45780</v>
      </c>
      <c r="C314" s="26" t="n">
        <v>45785</v>
      </c>
      <c r="D314" s="7" t="s">
        <v>876</v>
      </c>
      <c r="E314" s="7" t="s">
        <v>877</v>
      </c>
      <c r="F314" s="7" t="s">
        <v>159</v>
      </c>
      <c r="G314" s="7" t="s">
        <v>160</v>
      </c>
      <c r="H314" s="7" t="s">
        <v>269</v>
      </c>
      <c r="I314" s="7" t="s">
        <v>171</v>
      </c>
      <c r="J314" s="7" t="s">
        <v>172</v>
      </c>
      <c r="K314" s="7" t="s">
        <v>593</v>
      </c>
      <c r="L314" s="7" t="s">
        <v>594</v>
      </c>
      <c r="M314" s="7" t="n">
        <v>2</v>
      </c>
      <c r="N314" s="27" t="n">
        <v>1199</v>
      </c>
      <c r="O314" s="28" t="n">
        <v>0.05</v>
      </c>
      <c r="P314" s="27" t="n">
        <v>2278</v>
      </c>
      <c r="Q314" s="27" t="n">
        <v>1300</v>
      </c>
      <c r="R314" s="27" t="n">
        <v>978</v>
      </c>
      <c r="S314" s="7" t="s">
        <v>60</v>
      </c>
      <c r="T314" s="7" t="str">
        <f aca="false">IF(O314=0,"No discount",IF(O314&lt;=0.2,"Up to 20%","Above 20%"))</f>
        <v>Up to 20%</v>
      </c>
    </row>
    <row r="315" customFormat="false" ht="15" hidden="false" customHeight="true" outlineLevel="0" collapsed="false">
      <c r="A315" s="7" t="s">
        <v>878</v>
      </c>
      <c r="B315" s="26" t="n">
        <v>45780</v>
      </c>
      <c r="C315" s="26" t="n">
        <v>45783</v>
      </c>
      <c r="D315" s="7" t="s">
        <v>815</v>
      </c>
      <c r="E315" s="7" t="s">
        <v>816</v>
      </c>
      <c r="F315" s="7" t="s">
        <v>219</v>
      </c>
      <c r="G315" s="7" t="s">
        <v>160</v>
      </c>
      <c r="H315" s="7" t="s">
        <v>269</v>
      </c>
      <c r="I315" s="7" t="s">
        <v>171</v>
      </c>
      <c r="J315" s="7" t="s">
        <v>304</v>
      </c>
      <c r="K315" s="7" t="s">
        <v>305</v>
      </c>
      <c r="L315" s="7" t="s">
        <v>306</v>
      </c>
      <c r="M315" s="7" t="n">
        <v>3</v>
      </c>
      <c r="N315" s="27" t="n">
        <v>2999</v>
      </c>
      <c r="O315" s="28" t="n">
        <v>0.3</v>
      </c>
      <c r="P315" s="27" t="n">
        <v>6298</v>
      </c>
      <c r="Q315" s="27" t="n">
        <v>6000</v>
      </c>
      <c r="R315" s="27" t="n">
        <v>298</v>
      </c>
      <c r="S315" s="7" t="s">
        <v>60</v>
      </c>
      <c r="T315" s="7" t="str">
        <f aca="false">IF(O315=0,"No discount",IF(O315&lt;=0.2,"Up to 20%","Above 20%"))</f>
        <v>Above 20%</v>
      </c>
    </row>
    <row r="316" customFormat="false" ht="15" hidden="false" customHeight="true" outlineLevel="0" collapsed="false">
      <c r="A316" s="7" t="s">
        <v>879</v>
      </c>
      <c r="B316" s="26" t="n">
        <v>45781</v>
      </c>
      <c r="C316" s="26" t="n">
        <v>45782</v>
      </c>
      <c r="D316" s="7" t="s">
        <v>880</v>
      </c>
      <c r="E316" s="7" t="s">
        <v>881</v>
      </c>
      <c r="F316" s="7" t="s">
        <v>159</v>
      </c>
      <c r="G316" s="7" t="s">
        <v>160</v>
      </c>
      <c r="H316" s="7" t="s">
        <v>269</v>
      </c>
      <c r="I316" s="7" t="s">
        <v>199</v>
      </c>
      <c r="J316" s="7" t="s">
        <v>398</v>
      </c>
      <c r="K316" s="7" t="s">
        <v>399</v>
      </c>
      <c r="L316" s="7" t="s">
        <v>400</v>
      </c>
      <c r="M316" s="7" t="n">
        <v>1</v>
      </c>
      <c r="N316" s="27" t="n">
        <v>749</v>
      </c>
      <c r="O316" s="28" t="n">
        <v>0.1</v>
      </c>
      <c r="P316" s="27" t="n">
        <v>674</v>
      </c>
      <c r="Q316" s="27" t="n">
        <v>350</v>
      </c>
      <c r="R316" s="27" t="n">
        <v>324</v>
      </c>
      <c r="S316" s="7" t="s">
        <v>60</v>
      </c>
      <c r="T316" s="7" t="str">
        <f aca="false">IF(O316=0,"No discount",IF(O316&lt;=0.2,"Up to 20%","Above 20%"))</f>
        <v>Up to 20%</v>
      </c>
    </row>
    <row r="317" customFormat="false" ht="15" hidden="false" customHeight="true" outlineLevel="0" collapsed="false">
      <c r="A317" s="7" t="s">
        <v>882</v>
      </c>
      <c r="B317" s="26" t="n">
        <v>45781</v>
      </c>
      <c r="C317" s="26" t="n">
        <v>45783</v>
      </c>
      <c r="D317" s="7" t="s">
        <v>241</v>
      </c>
      <c r="E317" s="7" t="s">
        <v>242</v>
      </c>
      <c r="F317" s="7" t="s">
        <v>159</v>
      </c>
      <c r="G317" s="7" t="s">
        <v>206</v>
      </c>
      <c r="H317" s="7" t="s">
        <v>207</v>
      </c>
      <c r="I317" s="7" t="s">
        <v>192</v>
      </c>
      <c r="J317" s="7" t="s">
        <v>213</v>
      </c>
      <c r="K317" s="7" t="s">
        <v>214</v>
      </c>
      <c r="L317" s="7" t="s">
        <v>215</v>
      </c>
      <c r="M317" s="7" t="n">
        <v>1</v>
      </c>
      <c r="N317" s="27" t="n">
        <v>5999</v>
      </c>
      <c r="O317" s="28" t="n">
        <v>0.2</v>
      </c>
      <c r="P317" s="27" t="n">
        <v>4799</v>
      </c>
      <c r="Q317" s="27" t="n">
        <v>4600</v>
      </c>
      <c r="R317" s="27" t="n">
        <v>199</v>
      </c>
      <c r="S317" s="7" t="s">
        <v>60</v>
      </c>
      <c r="T317" s="7" t="str">
        <f aca="false">IF(O317=0,"No discount",IF(O317&lt;=0.2,"Up to 20%","Above 20%"))</f>
        <v>Up to 20%</v>
      </c>
    </row>
    <row r="318" customFormat="false" ht="15" hidden="false" customHeight="true" outlineLevel="0" collapsed="false">
      <c r="A318" s="7" t="s">
        <v>883</v>
      </c>
      <c r="B318" s="26" t="n">
        <v>45781</v>
      </c>
      <c r="C318" s="26" t="n">
        <v>45782</v>
      </c>
      <c r="D318" s="7" t="s">
        <v>884</v>
      </c>
      <c r="E318" s="7" t="s">
        <v>885</v>
      </c>
      <c r="F318" s="7" t="s">
        <v>159</v>
      </c>
      <c r="G318" s="7" t="s">
        <v>206</v>
      </c>
      <c r="H318" s="7" t="s">
        <v>207</v>
      </c>
      <c r="I318" s="7" t="s">
        <v>282</v>
      </c>
      <c r="J318" s="7" t="s">
        <v>387</v>
      </c>
      <c r="K318" s="7" t="s">
        <v>691</v>
      </c>
      <c r="L318" s="7" t="s">
        <v>692</v>
      </c>
      <c r="M318" s="7" t="n">
        <v>8</v>
      </c>
      <c r="N318" s="27" t="n">
        <v>499</v>
      </c>
      <c r="O318" s="28" t="n">
        <v>0</v>
      </c>
      <c r="P318" s="27" t="n">
        <v>3992</v>
      </c>
      <c r="Q318" s="27" t="n">
        <v>2080</v>
      </c>
      <c r="R318" s="27" t="n">
        <v>1912</v>
      </c>
      <c r="S318" s="7" t="s">
        <v>60</v>
      </c>
      <c r="T318" s="7" t="str">
        <f aca="false">IF(O318=0,"No discount",IF(O318&lt;=0.2,"Up to 20%","Above 20%"))</f>
        <v>No discount</v>
      </c>
    </row>
    <row r="319" customFormat="false" ht="15" hidden="false" customHeight="true" outlineLevel="0" collapsed="false">
      <c r="A319" s="7" t="s">
        <v>886</v>
      </c>
      <c r="B319" s="26" t="n">
        <v>45781</v>
      </c>
      <c r="C319" s="26" t="n">
        <v>45786</v>
      </c>
      <c r="D319" s="7" t="s">
        <v>659</v>
      </c>
      <c r="E319" s="7" t="s">
        <v>660</v>
      </c>
      <c r="F319" s="7" t="s">
        <v>159</v>
      </c>
      <c r="G319" s="7" t="s">
        <v>160</v>
      </c>
      <c r="H319" s="7" t="s">
        <v>161</v>
      </c>
      <c r="I319" s="7" t="s">
        <v>171</v>
      </c>
      <c r="J319" s="7" t="s">
        <v>172</v>
      </c>
      <c r="K319" s="7" t="s">
        <v>180</v>
      </c>
      <c r="L319" s="7" t="s">
        <v>181</v>
      </c>
      <c r="M319" s="7" t="n">
        <v>1</v>
      </c>
      <c r="N319" s="27" t="n">
        <v>999</v>
      </c>
      <c r="O319" s="28" t="n">
        <v>0.1</v>
      </c>
      <c r="P319" s="27" t="n">
        <v>899</v>
      </c>
      <c r="Q319" s="27" t="n">
        <v>520</v>
      </c>
      <c r="R319" s="27" t="n">
        <v>379</v>
      </c>
      <c r="S319" s="7" t="s">
        <v>60</v>
      </c>
      <c r="T319" s="7" t="str">
        <f aca="false">IF(O319=0,"No discount",IF(O319&lt;=0.2,"Up to 20%","Above 20%"))</f>
        <v>Up to 20%</v>
      </c>
    </row>
    <row r="320" customFormat="false" ht="15" hidden="false" customHeight="true" outlineLevel="0" collapsed="false">
      <c r="A320" s="7" t="s">
        <v>887</v>
      </c>
      <c r="B320" s="26" t="n">
        <v>45781</v>
      </c>
      <c r="C320" s="26" t="n">
        <v>45786</v>
      </c>
      <c r="D320" s="7" t="s">
        <v>496</v>
      </c>
      <c r="E320" s="7" t="s">
        <v>497</v>
      </c>
      <c r="F320" s="7" t="s">
        <v>178</v>
      </c>
      <c r="G320" s="7" t="s">
        <v>169</v>
      </c>
      <c r="H320" s="7" t="s">
        <v>179</v>
      </c>
      <c r="I320" s="7" t="s">
        <v>208</v>
      </c>
      <c r="J320" s="7" t="s">
        <v>209</v>
      </c>
      <c r="K320" s="7" t="s">
        <v>210</v>
      </c>
      <c r="L320" s="7" t="s">
        <v>211</v>
      </c>
      <c r="M320" s="7" t="n">
        <v>4</v>
      </c>
      <c r="N320" s="27" t="n">
        <v>3499</v>
      </c>
      <c r="O320" s="28" t="n">
        <v>0.2</v>
      </c>
      <c r="P320" s="27" t="n">
        <v>11197</v>
      </c>
      <c r="Q320" s="27" t="n">
        <v>8800</v>
      </c>
      <c r="R320" s="27" t="n">
        <v>2397</v>
      </c>
      <c r="S320" s="7" t="s">
        <v>60</v>
      </c>
      <c r="T320" s="7" t="str">
        <f aca="false">IF(O320=0,"No discount",IF(O320&lt;=0.2,"Up to 20%","Above 20%"))</f>
        <v>Up to 20%</v>
      </c>
    </row>
    <row r="321" customFormat="false" ht="15" hidden="false" customHeight="true" outlineLevel="0" collapsed="false">
      <c r="A321" s="7" t="s">
        <v>888</v>
      </c>
      <c r="B321" s="26" t="n">
        <v>45782</v>
      </c>
      <c r="C321" s="26" t="n">
        <v>45788</v>
      </c>
      <c r="D321" s="7" t="s">
        <v>496</v>
      </c>
      <c r="E321" s="7" t="s">
        <v>497</v>
      </c>
      <c r="F321" s="7" t="s">
        <v>178</v>
      </c>
      <c r="G321" s="7" t="s">
        <v>169</v>
      </c>
      <c r="H321" s="7" t="s">
        <v>179</v>
      </c>
      <c r="I321" s="7" t="s">
        <v>162</v>
      </c>
      <c r="J321" s="7" t="s">
        <v>185</v>
      </c>
      <c r="K321" s="7" t="s">
        <v>186</v>
      </c>
      <c r="L321" s="7" t="s">
        <v>187</v>
      </c>
      <c r="M321" s="7" t="n">
        <v>2</v>
      </c>
      <c r="N321" s="27" t="n">
        <v>3299</v>
      </c>
      <c r="O321" s="28" t="n">
        <v>0.4</v>
      </c>
      <c r="P321" s="27" t="n">
        <v>3959</v>
      </c>
      <c r="Q321" s="27" t="n">
        <v>3800</v>
      </c>
      <c r="R321" s="27" t="n">
        <v>159</v>
      </c>
      <c r="S321" s="7" t="s">
        <v>60</v>
      </c>
      <c r="T321" s="7" t="str">
        <f aca="false">IF(O321=0,"No discount",IF(O321&lt;=0.2,"Up to 20%","Above 20%"))</f>
        <v>Above 20%</v>
      </c>
    </row>
    <row r="322" customFormat="false" ht="15" hidden="false" customHeight="true" outlineLevel="0" collapsed="false">
      <c r="A322" s="7" t="s">
        <v>889</v>
      </c>
      <c r="B322" s="26" t="n">
        <v>45783</v>
      </c>
      <c r="C322" s="26" t="n">
        <v>45786</v>
      </c>
      <c r="D322" s="7" t="s">
        <v>462</v>
      </c>
      <c r="E322" s="7" t="s">
        <v>463</v>
      </c>
      <c r="F322" s="7" t="s">
        <v>159</v>
      </c>
      <c r="G322" s="7" t="s">
        <v>169</v>
      </c>
      <c r="H322" s="7" t="s">
        <v>191</v>
      </c>
      <c r="I322" s="7" t="s">
        <v>192</v>
      </c>
      <c r="J322" s="7" t="s">
        <v>213</v>
      </c>
      <c r="K322" s="7" t="s">
        <v>264</v>
      </c>
      <c r="L322" s="7" t="s">
        <v>265</v>
      </c>
      <c r="M322" s="7" t="n">
        <v>2</v>
      </c>
      <c r="N322" s="27" t="n">
        <v>2499</v>
      </c>
      <c r="O322" s="28" t="n">
        <v>0.1</v>
      </c>
      <c r="P322" s="27" t="n">
        <v>4498</v>
      </c>
      <c r="Q322" s="27" t="n">
        <v>3400</v>
      </c>
      <c r="R322" s="27" t="n">
        <v>1098</v>
      </c>
      <c r="S322" s="7" t="s">
        <v>47</v>
      </c>
      <c r="T322" s="7" t="str">
        <f aca="false">IF(O322=0,"No discount",IF(O322&lt;=0.2,"Up to 20%","Above 20%"))</f>
        <v>Up to 20%</v>
      </c>
    </row>
    <row r="323" customFormat="false" ht="15" hidden="false" customHeight="true" outlineLevel="0" collapsed="false">
      <c r="A323" s="7" t="s">
        <v>890</v>
      </c>
      <c r="B323" s="26" t="n">
        <v>45784</v>
      </c>
      <c r="C323" s="26" t="n">
        <v>45791</v>
      </c>
      <c r="D323" s="7" t="s">
        <v>296</v>
      </c>
      <c r="E323" s="7" t="s">
        <v>297</v>
      </c>
      <c r="F323" s="7" t="s">
        <v>178</v>
      </c>
      <c r="G323" s="7" t="s">
        <v>169</v>
      </c>
      <c r="H323" s="7" t="s">
        <v>179</v>
      </c>
      <c r="I323" s="7" t="s">
        <v>162</v>
      </c>
      <c r="J323" s="7" t="s">
        <v>185</v>
      </c>
      <c r="K323" s="7" t="s">
        <v>186</v>
      </c>
      <c r="L323" s="7" t="s">
        <v>187</v>
      </c>
      <c r="M323" s="7" t="n">
        <v>1</v>
      </c>
      <c r="N323" s="27" t="n">
        <v>3299</v>
      </c>
      <c r="O323" s="28" t="n">
        <v>0</v>
      </c>
      <c r="P323" s="27" t="n">
        <v>3299</v>
      </c>
      <c r="Q323" s="27" t="n">
        <v>1900</v>
      </c>
      <c r="R323" s="27" t="n">
        <v>1399</v>
      </c>
      <c r="S323" s="7" t="s">
        <v>60</v>
      </c>
      <c r="T323" s="7" t="str">
        <f aca="false">IF(O323=0,"No discount",IF(O323&lt;=0.2,"Up to 20%","Above 20%"))</f>
        <v>No discount</v>
      </c>
    </row>
    <row r="324" customFormat="false" ht="15" hidden="false" customHeight="true" outlineLevel="0" collapsed="false">
      <c r="A324" s="7" t="s">
        <v>891</v>
      </c>
      <c r="B324" s="26" t="n">
        <v>45784</v>
      </c>
      <c r="C324" s="26" t="n">
        <v>45786</v>
      </c>
      <c r="D324" s="7" t="s">
        <v>555</v>
      </c>
      <c r="E324" s="7" t="s">
        <v>556</v>
      </c>
      <c r="F324" s="7" t="s">
        <v>178</v>
      </c>
      <c r="G324" s="7" t="s">
        <v>206</v>
      </c>
      <c r="H324" s="7" t="s">
        <v>207</v>
      </c>
      <c r="I324" s="7" t="s">
        <v>162</v>
      </c>
      <c r="J324" s="7" t="s">
        <v>185</v>
      </c>
      <c r="K324" s="7" t="s">
        <v>186</v>
      </c>
      <c r="L324" s="7" t="s">
        <v>187</v>
      </c>
      <c r="M324" s="7" t="n">
        <v>1</v>
      </c>
      <c r="N324" s="27" t="n">
        <v>3299</v>
      </c>
      <c r="O324" s="28" t="n">
        <v>0.2</v>
      </c>
      <c r="P324" s="27" t="n">
        <v>2639</v>
      </c>
      <c r="Q324" s="27" t="n">
        <v>1900</v>
      </c>
      <c r="R324" s="27" t="n">
        <v>739</v>
      </c>
      <c r="S324" s="7" t="s">
        <v>60</v>
      </c>
      <c r="T324" s="7" t="str">
        <f aca="false">IF(O324=0,"No discount",IF(O324&lt;=0.2,"Up to 20%","Above 20%"))</f>
        <v>Up to 20%</v>
      </c>
    </row>
    <row r="325" customFormat="false" ht="15" hidden="false" customHeight="true" outlineLevel="0" collapsed="false">
      <c r="A325" s="7" t="s">
        <v>892</v>
      </c>
      <c r="B325" s="26" t="n">
        <v>45784</v>
      </c>
      <c r="C325" s="26" t="n">
        <v>45788</v>
      </c>
      <c r="D325" s="7" t="s">
        <v>567</v>
      </c>
      <c r="E325" s="7" t="s">
        <v>568</v>
      </c>
      <c r="F325" s="7" t="s">
        <v>159</v>
      </c>
      <c r="G325" s="7" t="s">
        <v>169</v>
      </c>
      <c r="H325" s="7" t="s">
        <v>179</v>
      </c>
      <c r="I325" s="7" t="s">
        <v>199</v>
      </c>
      <c r="J325" s="7" t="s">
        <v>223</v>
      </c>
      <c r="K325" s="7" t="s">
        <v>224</v>
      </c>
      <c r="L325" s="7" t="s">
        <v>225</v>
      </c>
      <c r="M325" s="7" t="n">
        <v>1</v>
      </c>
      <c r="N325" s="27" t="n">
        <v>899</v>
      </c>
      <c r="O325" s="28" t="n">
        <v>0.15</v>
      </c>
      <c r="P325" s="27" t="n">
        <v>764</v>
      </c>
      <c r="Q325" s="27" t="n">
        <v>380</v>
      </c>
      <c r="R325" s="27" t="n">
        <v>384</v>
      </c>
      <c r="S325" s="7" t="s">
        <v>60</v>
      </c>
      <c r="T325" s="7" t="str">
        <f aca="false">IF(O325=0,"No discount",IF(O325&lt;=0.2,"Up to 20%","Above 20%"))</f>
        <v>Up to 20%</v>
      </c>
    </row>
    <row r="326" customFormat="false" ht="15" hidden="false" customHeight="true" outlineLevel="0" collapsed="false">
      <c r="A326" s="7" t="s">
        <v>893</v>
      </c>
      <c r="B326" s="26" t="n">
        <v>45784</v>
      </c>
      <c r="C326" s="26" t="n">
        <v>45788</v>
      </c>
      <c r="D326" s="7" t="s">
        <v>571</v>
      </c>
      <c r="E326" s="7" t="s">
        <v>572</v>
      </c>
      <c r="F326" s="7" t="s">
        <v>159</v>
      </c>
      <c r="G326" s="7" t="s">
        <v>160</v>
      </c>
      <c r="H326" s="7" t="s">
        <v>269</v>
      </c>
      <c r="I326" s="7" t="s">
        <v>162</v>
      </c>
      <c r="J326" s="7" t="s">
        <v>163</v>
      </c>
      <c r="K326" s="7" t="s">
        <v>507</v>
      </c>
      <c r="L326" s="7" t="s">
        <v>508</v>
      </c>
      <c r="M326" s="7" t="n">
        <v>1</v>
      </c>
      <c r="N326" s="27" t="n">
        <v>1199</v>
      </c>
      <c r="O326" s="28" t="n">
        <v>0.3</v>
      </c>
      <c r="P326" s="27" t="n">
        <v>839</v>
      </c>
      <c r="Q326" s="27" t="n">
        <v>600</v>
      </c>
      <c r="R326" s="27" t="n">
        <v>239</v>
      </c>
      <c r="S326" s="7" t="s">
        <v>60</v>
      </c>
      <c r="T326" s="7" t="str">
        <f aca="false">IF(O326=0,"No discount",IF(O326&lt;=0.2,"Up to 20%","Above 20%"))</f>
        <v>Above 20%</v>
      </c>
    </row>
    <row r="327" customFormat="false" ht="15" hidden="false" customHeight="true" outlineLevel="0" collapsed="false">
      <c r="A327" s="7" t="s">
        <v>894</v>
      </c>
      <c r="B327" s="26" t="n">
        <v>45784</v>
      </c>
      <c r="C327" s="26" t="n">
        <v>45790</v>
      </c>
      <c r="D327" s="7" t="s">
        <v>479</v>
      </c>
      <c r="E327" s="7" t="s">
        <v>480</v>
      </c>
      <c r="F327" s="7" t="s">
        <v>178</v>
      </c>
      <c r="G327" s="7" t="s">
        <v>169</v>
      </c>
      <c r="H327" s="7" t="s">
        <v>179</v>
      </c>
      <c r="I327" s="7" t="s">
        <v>199</v>
      </c>
      <c r="J327" s="7" t="s">
        <v>398</v>
      </c>
      <c r="K327" s="7" t="s">
        <v>399</v>
      </c>
      <c r="L327" s="7" t="s">
        <v>400</v>
      </c>
      <c r="M327" s="7" t="n">
        <v>1</v>
      </c>
      <c r="N327" s="27" t="n">
        <v>749</v>
      </c>
      <c r="O327" s="28" t="n">
        <v>0</v>
      </c>
      <c r="P327" s="27" t="n">
        <v>749</v>
      </c>
      <c r="Q327" s="27" t="n">
        <v>350</v>
      </c>
      <c r="R327" s="27" t="n">
        <v>399</v>
      </c>
      <c r="S327" s="7" t="s">
        <v>60</v>
      </c>
      <c r="T327" s="7" t="str">
        <f aca="false">IF(O327=0,"No discount",IF(O327&lt;=0.2,"Up to 20%","Above 20%"))</f>
        <v>No discount</v>
      </c>
    </row>
    <row r="328" customFormat="false" ht="15" hidden="false" customHeight="true" outlineLevel="0" collapsed="false">
      <c r="A328" s="7" t="s">
        <v>895</v>
      </c>
      <c r="B328" s="26" t="n">
        <v>45785</v>
      </c>
      <c r="C328" s="26" t="n">
        <v>45791</v>
      </c>
      <c r="D328" s="7" t="s">
        <v>896</v>
      </c>
      <c r="E328" s="7" t="s">
        <v>897</v>
      </c>
      <c r="F328" s="7" t="s">
        <v>159</v>
      </c>
      <c r="G328" s="7" t="s">
        <v>160</v>
      </c>
      <c r="H328" s="7" t="s">
        <v>269</v>
      </c>
      <c r="I328" s="7" t="s">
        <v>208</v>
      </c>
      <c r="J328" s="7" t="s">
        <v>232</v>
      </c>
      <c r="K328" s="7" t="s">
        <v>233</v>
      </c>
      <c r="L328" s="7" t="s">
        <v>234</v>
      </c>
      <c r="M328" s="7" t="n">
        <v>1</v>
      </c>
      <c r="N328" s="27" t="n">
        <v>7999</v>
      </c>
      <c r="O328" s="28" t="n">
        <v>0.15</v>
      </c>
      <c r="P328" s="27" t="n">
        <v>6799</v>
      </c>
      <c r="Q328" s="27" t="n">
        <v>5600</v>
      </c>
      <c r="R328" s="27" t="n">
        <v>1199</v>
      </c>
      <c r="S328" s="7" t="s">
        <v>60</v>
      </c>
      <c r="T328" s="7" t="str">
        <f aca="false">IF(O328=0,"No discount",IF(O328&lt;=0.2,"Up to 20%","Above 20%"))</f>
        <v>Up to 20%</v>
      </c>
    </row>
    <row r="329" customFormat="false" ht="15" hidden="false" customHeight="true" outlineLevel="0" collapsed="false">
      <c r="A329" s="7" t="s">
        <v>898</v>
      </c>
      <c r="B329" s="26" t="n">
        <v>45785</v>
      </c>
      <c r="C329" s="26" t="n">
        <v>45788</v>
      </c>
      <c r="D329" s="7" t="s">
        <v>204</v>
      </c>
      <c r="E329" s="7" t="s">
        <v>205</v>
      </c>
      <c r="F329" s="7" t="s">
        <v>159</v>
      </c>
      <c r="G329" s="7" t="s">
        <v>206</v>
      </c>
      <c r="H329" s="7" t="s">
        <v>207</v>
      </c>
      <c r="I329" s="7" t="s">
        <v>192</v>
      </c>
      <c r="J329" s="7" t="s">
        <v>213</v>
      </c>
      <c r="K329" s="7" t="s">
        <v>214</v>
      </c>
      <c r="L329" s="7" t="s">
        <v>215</v>
      </c>
      <c r="M329" s="7" t="n">
        <v>1</v>
      </c>
      <c r="N329" s="27" t="n">
        <v>5999</v>
      </c>
      <c r="O329" s="28" t="n">
        <v>0.2</v>
      </c>
      <c r="P329" s="27" t="n">
        <v>4799</v>
      </c>
      <c r="Q329" s="27" t="n">
        <v>4600</v>
      </c>
      <c r="R329" s="27" t="n">
        <v>199</v>
      </c>
      <c r="S329" s="7" t="s">
        <v>60</v>
      </c>
      <c r="T329" s="7" t="str">
        <f aca="false">IF(O329=0,"No discount",IF(O329&lt;=0.2,"Up to 20%","Above 20%"))</f>
        <v>Up to 20%</v>
      </c>
    </row>
    <row r="330" customFormat="false" ht="15" hidden="false" customHeight="true" outlineLevel="0" collapsed="false">
      <c r="A330" s="7" t="s">
        <v>899</v>
      </c>
      <c r="B330" s="26" t="n">
        <v>45786</v>
      </c>
      <c r="C330" s="26" t="n">
        <v>45789</v>
      </c>
      <c r="D330" s="7" t="s">
        <v>900</v>
      </c>
      <c r="E330" s="7" t="s">
        <v>901</v>
      </c>
      <c r="F330" s="7" t="s">
        <v>219</v>
      </c>
      <c r="G330" s="7" t="s">
        <v>160</v>
      </c>
      <c r="H330" s="7" t="s">
        <v>269</v>
      </c>
      <c r="I330" s="7" t="s">
        <v>162</v>
      </c>
      <c r="J330" s="7" t="s">
        <v>325</v>
      </c>
      <c r="K330" s="7" t="s">
        <v>381</v>
      </c>
      <c r="L330" s="7" t="s">
        <v>382</v>
      </c>
      <c r="M330" s="7" t="n">
        <v>3</v>
      </c>
      <c r="N330" s="27" t="n">
        <v>1799</v>
      </c>
      <c r="O330" s="28" t="n">
        <v>0.2</v>
      </c>
      <c r="P330" s="27" t="n">
        <v>4318</v>
      </c>
      <c r="Q330" s="27" t="n">
        <v>2850</v>
      </c>
      <c r="R330" s="27" t="n">
        <v>1468</v>
      </c>
      <c r="S330" s="7" t="s">
        <v>60</v>
      </c>
      <c r="T330" s="7" t="str">
        <f aca="false">IF(O330=0,"No discount",IF(O330&lt;=0.2,"Up to 20%","Above 20%"))</f>
        <v>Up to 20%</v>
      </c>
    </row>
    <row r="331" customFormat="false" ht="15" hidden="false" customHeight="true" outlineLevel="0" collapsed="false">
      <c r="A331" s="7" t="s">
        <v>902</v>
      </c>
      <c r="B331" s="26" t="n">
        <v>45787</v>
      </c>
      <c r="C331" s="26" t="n">
        <v>45791</v>
      </c>
      <c r="D331" s="7" t="s">
        <v>903</v>
      </c>
      <c r="E331" s="7" t="s">
        <v>904</v>
      </c>
      <c r="F331" s="7" t="s">
        <v>219</v>
      </c>
      <c r="G331" s="7" t="s">
        <v>206</v>
      </c>
      <c r="H331" s="7" t="s">
        <v>207</v>
      </c>
      <c r="I331" s="7" t="s">
        <v>171</v>
      </c>
      <c r="J331" s="7" t="s">
        <v>304</v>
      </c>
      <c r="K331" s="7" t="s">
        <v>499</v>
      </c>
      <c r="L331" s="7" t="s">
        <v>500</v>
      </c>
      <c r="M331" s="7" t="n">
        <v>1</v>
      </c>
      <c r="N331" s="27" t="n">
        <v>5499</v>
      </c>
      <c r="O331" s="28" t="n">
        <v>0.05</v>
      </c>
      <c r="P331" s="27" t="n">
        <v>5224</v>
      </c>
      <c r="Q331" s="27" t="n">
        <v>3900</v>
      </c>
      <c r="R331" s="27" t="n">
        <v>1324</v>
      </c>
      <c r="S331" s="7" t="s">
        <v>60</v>
      </c>
      <c r="T331" s="7" t="str">
        <f aca="false">IF(O331=0,"No discount",IF(O331&lt;=0.2,"Up to 20%","Above 20%"))</f>
        <v>Up to 20%</v>
      </c>
    </row>
    <row r="332" customFormat="false" ht="15" hidden="false" customHeight="true" outlineLevel="0" collapsed="false">
      <c r="A332" s="7" t="s">
        <v>905</v>
      </c>
      <c r="B332" s="26" t="n">
        <v>45787</v>
      </c>
      <c r="C332" s="26" t="n">
        <v>45789</v>
      </c>
      <c r="D332" s="7" t="s">
        <v>906</v>
      </c>
      <c r="E332" s="7" t="s">
        <v>907</v>
      </c>
      <c r="F332" s="7" t="s">
        <v>159</v>
      </c>
      <c r="G332" s="7" t="s">
        <v>160</v>
      </c>
      <c r="H332" s="7" t="s">
        <v>263</v>
      </c>
      <c r="I332" s="7" t="s">
        <v>171</v>
      </c>
      <c r="J332" s="7" t="s">
        <v>172</v>
      </c>
      <c r="K332" s="7" t="s">
        <v>180</v>
      </c>
      <c r="L332" s="7" t="s">
        <v>181</v>
      </c>
      <c r="M332" s="7" t="n">
        <v>5</v>
      </c>
      <c r="N332" s="27" t="n">
        <v>999</v>
      </c>
      <c r="O332" s="28" t="n">
        <v>0</v>
      </c>
      <c r="P332" s="27" t="n">
        <v>4995</v>
      </c>
      <c r="Q332" s="27" t="n">
        <v>2600</v>
      </c>
      <c r="R332" s="27" t="n">
        <v>2395</v>
      </c>
      <c r="S332" s="7" t="s">
        <v>60</v>
      </c>
      <c r="T332" s="7" t="str">
        <f aca="false">IF(O332=0,"No discount",IF(O332&lt;=0.2,"Up to 20%","Above 20%"))</f>
        <v>No discount</v>
      </c>
    </row>
    <row r="333" customFormat="false" ht="15" hidden="false" customHeight="true" outlineLevel="0" collapsed="false">
      <c r="A333" s="7" t="s">
        <v>908</v>
      </c>
      <c r="B333" s="26" t="n">
        <v>45788</v>
      </c>
      <c r="C333" s="26" t="n">
        <v>45792</v>
      </c>
      <c r="D333" s="7" t="s">
        <v>726</v>
      </c>
      <c r="E333" s="7" t="s">
        <v>727</v>
      </c>
      <c r="F333" s="7" t="s">
        <v>178</v>
      </c>
      <c r="G333" s="7" t="s">
        <v>206</v>
      </c>
      <c r="H333" s="7" t="s">
        <v>207</v>
      </c>
      <c r="I333" s="7" t="s">
        <v>192</v>
      </c>
      <c r="J333" s="7" t="s">
        <v>502</v>
      </c>
      <c r="K333" s="7" t="s">
        <v>526</v>
      </c>
      <c r="L333" s="7" t="s">
        <v>527</v>
      </c>
      <c r="M333" s="7" t="n">
        <v>3</v>
      </c>
      <c r="N333" s="27" t="n">
        <v>6499</v>
      </c>
      <c r="O333" s="28" t="n">
        <v>0.4</v>
      </c>
      <c r="P333" s="27" t="n">
        <v>11698</v>
      </c>
      <c r="Q333" s="27" t="n">
        <v>15000</v>
      </c>
      <c r="R333" s="27" t="n">
        <v>-3302</v>
      </c>
      <c r="S333" s="7" t="s">
        <v>60</v>
      </c>
      <c r="T333" s="7" t="str">
        <f aca="false">IF(O333=0,"No discount",IF(O333&lt;=0.2,"Up to 20%","Above 20%"))</f>
        <v>Above 20%</v>
      </c>
    </row>
    <row r="334" customFormat="false" ht="15" hidden="false" customHeight="true" outlineLevel="0" collapsed="false">
      <c r="A334" s="7" t="s">
        <v>909</v>
      </c>
      <c r="B334" s="26" t="n">
        <v>45788</v>
      </c>
      <c r="C334" s="26" t="n">
        <v>45789</v>
      </c>
      <c r="D334" s="7" t="s">
        <v>651</v>
      </c>
      <c r="E334" s="7" t="s">
        <v>652</v>
      </c>
      <c r="F334" s="7" t="s">
        <v>219</v>
      </c>
      <c r="G334" s="7" t="s">
        <v>206</v>
      </c>
      <c r="H334" s="7" t="s">
        <v>207</v>
      </c>
      <c r="I334" s="7" t="s">
        <v>171</v>
      </c>
      <c r="J334" s="7" t="s">
        <v>304</v>
      </c>
      <c r="K334" s="7" t="s">
        <v>305</v>
      </c>
      <c r="L334" s="7" t="s">
        <v>306</v>
      </c>
      <c r="M334" s="7" t="n">
        <v>3</v>
      </c>
      <c r="N334" s="27" t="n">
        <v>2999</v>
      </c>
      <c r="O334" s="28" t="n">
        <v>0</v>
      </c>
      <c r="P334" s="27" t="n">
        <v>8997</v>
      </c>
      <c r="Q334" s="27" t="n">
        <v>6000</v>
      </c>
      <c r="R334" s="27" t="n">
        <v>2997</v>
      </c>
      <c r="S334" s="7" t="s">
        <v>60</v>
      </c>
      <c r="T334" s="7" t="str">
        <f aca="false">IF(O334=0,"No discount",IF(O334&lt;=0.2,"Up to 20%","Above 20%"))</f>
        <v>No discount</v>
      </c>
    </row>
    <row r="335" customFormat="false" ht="15" hidden="false" customHeight="true" outlineLevel="0" collapsed="false">
      <c r="A335" s="7" t="s">
        <v>910</v>
      </c>
      <c r="B335" s="26" t="n">
        <v>45788</v>
      </c>
      <c r="C335" s="26" t="n">
        <v>45793</v>
      </c>
      <c r="D335" s="7" t="s">
        <v>911</v>
      </c>
      <c r="E335" s="7" t="s">
        <v>912</v>
      </c>
      <c r="F335" s="7" t="s">
        <v>178</v>
      </c>
      <c r="G335" s="7" t="s">
        <v>160</v>
      </c>
      <c r="H335" s="7" t="s">
        <v>269</v>
      </c>
      <c r="I335" s="7" t="s">
        <v>192</v>
      </c>
      <c r="J335" s="7" t="s">
        <v>213</v>
      </c>
      <c r="K335" s="7" t="s">
        <v>264</v>
      </c>
      <c r="L335" s="7" t="s">
        <v>265</v>
      </c>
      <c r="M335" s="7" t="n">
        <v>2</v>
      </c>
      <c r="N335" s="27" t="n">
        <v>2499</v>
      </c>
      <c r="O335" s="28" t="n">
        <v>0.3</v>
      </c>
      <c r="P335" s="27" t="n">
        <v>3499</v>
      </c>
      <c r="Q335" s="27" t="n">
        <v>3400</v>
      </c>
      <c r="R335" s="27" t="n">
        <v>99</v>
      </c>
      <c r="S335" s="7" t="s">
        <v>60</v>
      </c>
      <c r="T335" s="7" t="str">
        <f aca="false">IF(O335=0,"No discount",IF(O335&lt;=0.2,"Up to 20%","Above 20%"))</f>
        <v>Above 20%</v>
      </c>
    </row>
    <row r="336" customFormat="false" ht="15" hidden="false" customHeight="true" outlineLevel="0" collapsed="false">
      <c r="A336" s="7" t="s">
        <v>913</v>
      </c>
      <c r="B336" s="26" t="n">
        <v>45788</v>
      </c>
      <c r="C336" s="26" t="n">
        <v>45792</v>
      </c>
      <c r="D336" s="7" t="s">
        <v>914</v>
      </c>
      <c r="E336" s="7" t="s">
        <v>915</v>
      </c>
      <c r="F336" s="7" t="s">
        <v>159</v>
      </c>
      <c r="G336" s="7" t="s">
        <v>160</v>
      </c>
      <c r="H336" s="7" t="s">
        <v>269</v>
      </c>
      <c r="I336" s="7" t="s">
        <v>171</v>
      </c>
      <c r="J336" s="7" t="s">
        <v>172</v>
      </c>
      <c r="K336" s="7" t="s">
        <v>180</v>
      </c>
      <c r="L336" s="7" t="s">
        <v>181</v>
      </c>
      <c r="M336" s="7" t="n">
        <v>1</v>
      </c>
      <c r="N336" s="27" t="n">
        <v>999</v>
      </c>
      <c r="O336" s="28" t="n">
        <v>0</v>
      </c>
      <c r="P336" s="27" t="n">
        <v>999</v>
      </c>
      <c r="Q336" s="27" t="n">
        <v>520</v>
      </c>
      <c r="R336" s="27" t="n">
        <v>479</v>
      </c>
      <c r="S336" s="7" t="s">
        <v>60</v>
      </c>
      <c r="T336" s="7" t="str">
        <f aca="false">IF(O336=0,"No discount",IF(O336&lt;=0.2,"Up to 20%","Above 20%"))</f>
        <v>No discount</v>
      </c>
    </row>
    <row r="337" customFormat="false" ht="15" hidden="false" customHeight="true" outlineLevel="0" collapsed="false">
      <c r="A337" s="7" t="s">
        <v>916</v>
      </c>
      <c r="B337" s="26" t="n">
        <v>45789</v>
      </c>
      <c r="C337" s="26" t="n">
        <v>45793</v>
      </c>
      <c r="D337" s="7" t="s">
        <v>496</v>
      </c>
      <c r="E337" s="7" t="s">
        <v>497</v>
      </c>
      <c r="F337" s="7" t="s">
        <v>178</v>
      </c>
      <c r="G337" s="7" t="s">
        <v>169</v>
      </c>
      <c r="H337" s="7" t="s">
        <v>179</v>
      </c>
      <c r="I337" s="7" t="s">
        <v>162</v>
      </c>
      <c r="J337" s="7" t="s">
        <v>163</v>
      </c>
      <c r="K337" s="7" t="s">
        <v>164</v>
      </c>
      <c r="L337" s="7" t="s">
        <v>165</v>
      </c>
      <c r="M337" s="7" t="n">
        <v>2</v>
      </c>
      <c r="N337" s="27" t="n">
        <v>1999</v>
      </c>
      <c r="O337" s="28" t="n">
        <v>0.1</v>
      </c>
      <c r="P337" s="27" t="n">
        <v>3598</v>
      </c>
      <c r="Q337" s="27" t="n">
        <v>2100</v>
      </c>
      <c r="R337" s="27" t="n">
        <v>1498</v>
      </c>
      <c r="S337" s="7" t="s">
        <v>60</v>
      </c>
      <c r="T337" s="7" t="str">
        <f aca="false">IF(O337=0,"No discount",IF(O337&lt;=0.2,"Up to 20%","Above 20%"))</f>
        <v>Up to 20%</v>
      </c>
    </row>
    <row r="338" customFormat="false" ht="15" hidden="false" customHeight="true" outlineLevel="0" collapsed="false">
      <c r="A338" s="7" t="s">
        <v>917</v>
      </c>
      <c r="B338" s="26" t="n">
        <v>45789</v>
      </c>
      <c r="C338" s="26" t="n">
        <v>45793</v>
      </c>
      <c r="D338" s="7" t="s">
        <v>375</v>
      </c>
      <c r="E338" s="7" t="s">
        <v>376</v>
      </c>
      <c r="F338" s="7" t="s">
        <v>159</v>
      </c>
      <c r="G338" s="7" t="s">
        <v>160</v>
      </c>
      <c r="H338" s="7" t="s">
        <v>269</v>
      </c>
      <c r="I338" s="7" t="s">
        <v>199</v>
      </c>
      <c r="J338" s="7" t="s">
        <v>223</v>
      </c>
      <c r="K338" s="7" t="s">
        <v>224</v>
      </c>
      <c r="L338" s="7" t="s">
        <v>225</v>
      </c>
      <c r="M338" s="7" t="n">
        <v>2</v>
      </c>
      <c r="N338" s="27" t="n">
        <v>899</v>
      </c>
      <c r="O338" s="28" t="n">
        <v>0.2</v>
      </c>
      <c r="P338" s="27" t="n">
        <v>1438</v>
      </c>
      <c r="Q338" s="27" t="n">
        <v>760</v>
      </c>
      <c r="R338" s="27" t="n">
        <v>678</v>
      </c>
      <c r="S338" s="7" t="s">
        <v>60</v>
      </c>
      <c r="T338" s="7" t="str">
        <f aca="false">IF(O338=0,"No discount",IF(O338&lt;=0.2,"Up to 20%","Above 20%"))</f>
        <v>Up to 20%</v>
      </c>
    </row>
    <row r="339" customFormat="false" ht="15" hidden="false" customHeight="true" outlineLevel="0" collapsed="false">
      <c r="A339" s="7" t="s">
        <v>918</v>
      </c>
      <c r="B339" s="26" t="n">
        <v>45789</v>
      </c>
      <c r="C339" s="26" t="n">
        <v>45790</v>
      </c>
      <c r="D339" s="7" t="s">
        <v>903</v>
      </c>
      <c r="E339" s="7" t="s">
        <v>904</v>
      </c>
      <c r="F339" s="7" t="s">
        <v>219</v>
      </c>
      <c r="G339" s="7" t="s">
        <v>206</v>
      </c>
      <c r="H339" s="7" t="s">
        <v>207</v>
      </c>
      <c r="I339" s="7" t="s">
        <v>199</v>
      </c>
      <c r="J339" s="7" t="s">
        <v>223</v>
      </c>
      <c r="K339" s="7" t="s">
        <v>246</v>
      </c>
      <c r="L339" s="7" t="s">
        <v>247</v>
      </c>
      <c r="M339" s="7" t="n">
        <v>1</v>
      </c>
      <c r="N339" s="27" t="n">
        <v>599</v>
      </c>
      <c r="O339" s="28" t="n">
        <v>0.3</v>
      </c>
      <c r="P339" s="27" t="n">
        <v>419</v>
      </c>
      <c r="Q339" s="27" t="n">
        <v>270</v>
      </c>
      <c r="R339" s="27" t="n">
        <v>149</v>
      </c>
      <c r="S339" s="7" t="s">
        <v>60</v>
      </c>
      <c r="T339" s="7" t="str">
        <f aca="false">IF(O339=0,"No discount",IF(O339&lt;=0.2,"Up to 20%","Above 20%"))</f>
        <v>Above 20%</v>
      </c>
    </row>
    <row r="340" customFormat="false" ht="15" hidden="false" customHeight="true" outlineLevel="0" collapsed="false">
      <c r="A340" s="7" t="s">
        <v>919</v>
      </c>
      <c r="B340" s="26" t="n">
        <v>45789</v>
      </c>
      <c r="C340" s="26" t="n">
        <v>45794</v>
      </c>
      <c r="D340" s="7" t="s">
        <v>920</v>
      </c>
      <c r="E340" s="7" t="s">
        <v>921</v>
      </c>
      <c r="F340" s="7" t="s">
        <v>159</v>
      </c>
      <c r="G340" s="7" t="s">
        <v>169</v>
      </c>
      <c r="H340" s="7" t="s">
        <v>170</v>
      </c>
      <c r="I340" s="7" t="s">
        <v>192</v>
      </c>
      <c r="J340" s="7" t="s">
        <v>502</v>
      </c>
      <c r="K340" s="7" t="s">
        <v>503</v>
      </c>
      <c r="L340" s="7" t="s">
        <v>504</v>
      </c>
      <c r="M340" s="7" t="n">
        <v>2</v>
      </c>
      <c r="N340" s="27" t="n">
        <v>3499</v>
      </c>
      <c r="O340" s="28" t="n">
        <v>0.1</v>
      </c>
      <c r="P340" s="27" t="n">
        <v>6298</v>
      </c>
      <c r="Q340" s="27" t="n">
        <v>5000</v>
      </c>
      <c r="R340" s="27" t="n">
        <v>1298</v>
      </c>
      <c r="S340" s="7" t="s">
        <v>60</v>
      </c>
      <c r="T340" s="7" t="str">
        <f aca="false">IF(O340=0,"No discount",IF(O340&lt;=0.2,"Up to 20%","Above 20%"))</f>
        <v>Up to 20%</v>
      </c>
    </row>
    <row r="341" customFormat="false" ht="15" hidden="false" customHeight="true" outlineLevel="0" collapsed="false">
      <c r="A341" s="7" t="s">
        <v>922</v>
      </c>
      <c r="B341" s="26" t="n">
        <v>45790</v>
      </c>
      <c r="C341" s="26" t="n">
        <v>45794</v>
      </c>
      <c r="D341" s="7" t="s">
        <v>435</v>
      </c>
      <c r="E341" s="7" t="s">
        <v>436</v>
      </c>
      <c r="F341" s="7" t="s">
        <v>159</v>
      </c>
      <c r="G341" s="7" t="s">
        <v>169</v>
      </c>
      <c r="H341" s="7" t="s">
        <v>170</v>
      </c>
      <c r="I341" s="7" t="s">
        <v>208</v>
      </c>
      <c r="J341" s="7" t="s">
        <v>421</v>
      </c>
      <c r="K341" s="7" t="s">
        <v>422</v>
      </c>
      <c r="L341" s="7" t="s">
        <v>423</v>
      </c>
      <c r="M341" s="7" t="n">
        <v>2</v>
      </c>
      <c r="N341" s="27" t="n">
        <v>5999</v>
      </c>
      <c r="O341" s="28" t="n">
        <v>0.05</v>
      </c>
      <c r="P341" s="27" t="n">
        <v>11398</v>
      </c>
      <c r="Q341" s="27" t="n">
        <v>8600</v>
      </c>
      <c r="R341" s="27" t="n">
        <v>2798</v>
      </c>
      <c r="S341" s="7" t="s">
        <v>47</v>
      </c>
      <c r="T341" s="7" t="str">
        <f aca="false">IF(O341=0,"No discount",IF(O341&lt;=0.2,"Up to 20%","Above 20%"))</f>
        <v>Up to 20%</v>
      </c>
    </row>
    <row r="342" customFormat="false" ht="15" hidden="false" customHeight="true" outlineLevel="0" collapsed="false">
      <c r="A342" s="7" t="s">
        <v>923</v>
      </c>
      <c r="B342" s="26" t="n">
        <v>45790</v>
      </c>
      <c r="C342" s="26" t="n">
        <v>45792</v>
      </c>
      <c r="D342" s="7" t="s">
        <v>903</v>
      </c>
      <c r="E342" s="7" t="s">
        <v>904</v>
      </c>
      <c r="F342" s="7" t="s">
        <v>219</v>
      </c>
      <c r="G342" s="7" t="s">
        <v>206</v>
      </c>
      <c r="H342" s="7" t="s">
        <v>207</v>
      </c>
      <c r="I342" s="7" t="s">
        <v>192</v>
      </c>
      <c r="J342" s="7" t="s">
        <v>193</v>
      </c>
      <c r="K342" s="7" t="s">
        <v>194</v>
      </c>
      <c r="L342" s="7" t="s">
        <v>195</v>
      </c>
      <c r="M342" s="7" t="n">
        <v>1</v>
      </c>
      <c r="N342" s="27" t="n">
        <v>8999</v>
      </c>
      <c r="O342" s="28" t="n">
        <v>0.2</v>
      </c>
      <c r="P342" s="27" t="n">
        <v>7199</v>
      </c>
      <c r="Q342" s="27" t="n">
        <v>6800</v>
      </c>
      <c r="R342" s="27" t="n">
        <v>399</v>
      </c>
      <c r="S342" s="7" t="s">
        <v>60</v>
      </c>
      <c r="T342" s="7" t="str">
        <f aca="false">IF(O342=0,"No discount",IF(O342&lt;=0.2,"Up to 20%","Above 20%"))</f>
        <v>Up to 20%</v>
      </c>
    </row>
    <row r="343" customFormat="false" ht="15" hidden="false" customHeight="true" outlineLevel="0" collapsed="false">
      <c r="A343" s="7" t="s">
        <v>924</v>
      </c>
      <c r="B343" s="26" t="n">
        <v>45790</v>
      </c>
      <c r="C343" s="26" t="n">
        <v>45797</v>
      </c>
      <c r="D343" s="7" t="s">
        <v>496</v>
      </c>
      <c r="E343" s="7" t="s">
        <v>497</v>
      </c>
      <c r="F343" s="7" t="s">
        <v>178</v>
      </c>
      <c r="G343" s="7" t="s">
        <v>169</v>
      </c>
      <c r="H343" s="7" t="s">
        <v>179</v>
      </c>
      <c r="I343" s="7" t="s">
        <v>192</v>
      </c>
      <c r="J343" s="7" t="s">
        <v>502</v>
      </c>
      <c r="K343" s="7" t="s">
        <v>503</v>
      </c>
      <c r="L343" s="7" t="s">
        <v>504</v>
      </c>
      <c r="M343" s="7" t="n">
        <v>1</v>
      </c>
      <c r="N343" s="27" t="n">
        <v>3499</v>
      </c>
      <c r="O343" s="28" t="n">
        <v>0.1</v>
      </c>
      <c r="P343" s="27" t="n">
        <v>3149</v>
      </c>
      <c r="Q343" s="27" t="n">
        <v>2500</v>
      </c>
      <c r="R343" s="27" t="n">
        <v>649</v>
      </c>
      <c r="S343" s="7" t="s">
        <v>60</v>
      </c>
      <c r="T343" s="7" t="str">
        <f aca="false">IF(O343=0,"No discount",IF(O343&lt;=0.2,"Up to 20%","Above 20%"))</f>
        <v>Up to 20%</v>
      </c>
    </row>
    <row r="344" customFormat="false" ht="15" hidden="false" customHeight="true" outlineLevel="0" collapsed="false">
      <c r="A344" s="7" t="s">
        <v>925</v>
      </c>
      <c r="B344" s="26" t="n">
        <v>45790</v>
      </c>
      <c r="C344" s="26" t="n">
        <v>45795</v>
      </c>
      <c r="D344" s="7" t="s">
        <v>700</v>
      </c>
      <c r="E344" s="7" t="s">
        <v>701</v>
      </c>
      <c r="F344" s="7" t="s">
        <v>159</v>
      </c>
      <c r="G344" s="7" t="s">
        <v>160</v>
      </c>
      <c r="H344" s="7" t="s">
        <v>269</v>
      </c>
      <c r="I344" s="7" t="s">
        <v>192</v>
      </c>
      <c r="J344" s="7" t="s">
        <v>213</v>
      </c>
      <c r="K344" s="7" t="s">
        <v>214</v>
      </c>
      <c r="L344" s="7" t="s">
        <v>215</v>
      </c>
      <c r="M344" s="7" t="n">
        <v>1</v>
      </c>
      <c r="N344" s="27" t="n">
        <v>5999</v>
      </c>
      <c r="O344" s="28" t="n">
        <v>0.4</v>
      </c>
      <c r="P344" s="27" t="n">
        <v>3599</v>
      </c>
      <c r="Q344" s="27" t="n">
        <v>4600</v>
      </c>
      <c r="R344" s="27" t="n">
        <v>-1001</v>
      </c>
      <c r="S344" s="7" t="s">
        <v>60</v>
      </c>
      <c r="T344" s="7" t="str">
        <f aca="false">IF(O344=0,"No discount",IF(O344&lt;=0.2,"Up to 20%","Above 20%"))</f>
        <v>Above 20%</v>
      </c>
    </row>
    <row r="345" customFormat="false" ht="15" hidden="false" customHeight="true" outlineLevel="0" collapsed="false">
      <c r="A345" s="7" t="s">
        <v>926</v>
      </c>
      <c r="B345" s="26" t="n">
        <v>45790</v>
      </c>
      <c r="C345" s="26" t="n">
        <v>45793</v>
      </c>
      <c r="D345" s="7" t="s">
        <v>290</v>
      </c>
      <c r="E345" s="7" t="s">
        <v>291</v>
      </c>
      <c r="F345" s="7" t="s">
        <v>219</v>
      </c>
      <c r="G345" s="7" t="s">
        <v>169</v>
      </c>
      <c r="H345" s="7" t="s">
        <v>179</v>
      </c>
      <c r="I345" s="7" t="s">
        <v>162</v>
      </c>
      <c r="J345" s="7" t="s">
        <v>325</v>
      </c>
      <c r="K345" s="7" t="s">
        <v>381</v>
      </c>
      <c r="L345" s="7" t="s">
        <v>382</v>
      </c>
      <c r="M345" s="7" t="n">
        <v>1</v>
      </c>
      <c r="N345" s="27" t="n">
        <v>1799</v>
      </c>
      <c r="O345" s="28" t="n">
        <v>0.2</v>
      </c>
      <c r="P345" s="27" t="n">
        <v>1439</v>
      </c>
      <c r="Q345" s="27" t="n">
        <v>950</v>
      </c>
      <c r="R345" s="27" t="n">
        <v>489</v>
      </c>
      <c r="S345" s="7" t="s">
        <v>60</v>
      </c>
      <c r="T345" s="7" t="str">
        <f aca="false">IF(O345=0,"No discount",IF(O345&lt;=0.2,"Up to 20%","Above 20%"))</f>
        <v>Up to 20%</v>
      </c>
    </row>
    <row r="346" customFormat="false" ht="15" hidden="false" customHeight="true" outlineLevel="0" collapsed="false">
      <c r="A346" s="7" t="s">
        <v>927</v>
      </c>
      <c r="B346" s="26" t="n">
        <v>45790</v>
      </c>
      <c r="C346" s="26" t="n">
        <v>45794</v>
      </c>
      <c r="D346" s="7" t="s">
        <v>345</v>
      </c>
      <c r="E346" s="7" t="s">
        <v>346</v>
      </c>
      <c r="F346" s="7" t="s">
        <v>159</v>
      </c>
      <c r="G346" s="7" t="s">
        <v>160</v>
      </c>
      <c r="H346" s="7" t="s">
        <v>161</v>
      </c>
      <c r="I346" s="7" t="s">
        <v>208</v>
      </c>
      <c r="J346" s="7" t="s">
        <v>232</v>
      </c>
      <c r="K346" s="7" t="s">
        <v>671</v>
      </c>
      <c r="L346" s="7" t="s">
        <v>672</v>
      </c>
      <c r="M346" s="7" t="n">
        <v>4</v>
      </c>
      <c r="N346" s="27" t="n">
        <v>3299</v>
      </c>
      <c r="O346" s="28" t="n">
        <v>0</v>
      </c>
      <c r="P346" s="27" t="n">
        <v>13196</v>
      </c>
      <c r="Q346" s="27" t="n">
        <v>8400</v>
      </c>
      <c r="R346" s="27" t="n">
        <v>4796</v>
      </c>
      <c r="S346" s="7" t="s">
        <v>60</v>
      </c>
      <c r="T346" s="7" t="str">
        <f aca="false">IF(O346=0,"No discount",IF(O346&lt;=0.2,"Up to 20%","Above 20%"))</f>
        <v>No discount</v>
      </c>
    </row>
    <row r="347" customFormat="false" ht="15" hidden="false" customHeight="true" outlineLevel="0" collapsed="false">
      <c r="A347" s="7" t="s">
        <v>928</v>
      </c>
      <c r="B347" s="26" t="n">
        <v>45791</v>
      </c>
      <c r="C347" s="26" t="n">
        <v>45793</v>
      </c>
      <c r="D347" s="7" t="s">
        <v>929</v>
      </c>
      <c r="E347" s="7" t="s">
        <v>930</v>
      </c>
      <c r="F347" s="7" t="s">
        <v>159</v>
      </c>
      <c r="G347" s="7" t="s">
        <v>160</v>
      </c>
      <c r="H347" s="7" t="s">
        <v>161</v>
      </c>
      <c r="I347" s="7" t="s">
        <v>171</v>
      </c>
      <c r="J347" s="7" t="s">
        <v>172</v>
      </c>
      <c r="K347" s="7" t="s">
        <v>593</v>
      </c>
      <c r="L347" s="7" t="s">
        <v>594</v>
      </c>
      <c r="M347" s="7" t="n">
        <v>2</v>
      </c>
      <c r="N347" s="27" t="n">
        <v>1199</v>
      </c>
      <c r="O347" s="28" t="n">
        <v>0.05</v>
      </c>
      <c r="P347" s="27" t="n">
        <v>2278</v>
      </c>
      <c r="Q347" s="27" t="n">
        <v>1300</v>
      </c>
      <c r="R347" s="27" t="n">
        <v>978</v>
      </c>
      <c r="S347" s="7" t="s">
        <v>60</v>
      </c>
      <c r="T347" s="7" t="str">
        <f aca="false">IF(O347=0,"No discount",IF(O347&lt;=0.2,"Up to 20%","Above 20%"))</f>
        <v>Up to 20%</v>
      </c>
    </row>
    <row r="348" customFormat="false" ht="15" hidden="false" customHeight="true" outlineLevel="0" collapsed="false">
      <c r="A348" s="7" t="s">
        <v>931</v>
      </c>
      <c r="B348" s="26" t="n">
        <v>45792</v>
      </c>
      <c r="C348" s="26" t="n">
        <v>45798</v>
      </c>
      <c r="D348" s="7" t="s">
        <v>465</v>
      </c>
      <c r="E348" s="7" t="s">
        <v>466</v>
      </c>
      <c r="F348" s="7" t="s">
        <v>219</v>
      </c>
      <c r="G348" s="7" t="s">
        <v>323</v>
      </c>
      <c r="H348" s="7" t="s">
        <v>324</v>
      </c>
      <c r="I348" s="7" t="s">
        <v>282</v>
      </c>
      <c r="J348" s="7" t="s">
        <v>427</v>
      </c>
      <c r="K348" s="7" t="s">
        <v>428</v>
      </c>
      <c r="L348" s="7" t="s">
        <v>429</v>
      </c>
      <c r="M348" s="7" t="n">
        <v>6</v>
      </c>
      <c r="N348" s="27" t="n">
        <v>149</v>
      </c>
      <c r="O348" s="28" t="n">
        <v>0</v>
      </c>
      <c r="P348" s="27" t="n">
        <v>894</v>
      </c>
      <c r="Q348" s="27" t="n">
        <v>420</v>
      </c>
      <c r="R348" s="27" t="n">
        <v>474</v>
      </c>
      <c r="S348" s="7" t="s">
        <v>60</v>
      </c>
      <c r="T348" s="7" t="str">
        <f aca="false">IF(O348=0,"No discount",IF(O348&lt;=0.2,"Up to 20%","Above 20%"))</f>
        <v>No discount</v>
      </c>
    </row>
    <row r="349" customFormat="false" ht="15" hidden="false" customHeight="true" outlineLevel="0" collapsed="false">
      <c r="A349" s="7" t="s">
        <v>932</v>
      </c>
      <c r="B349" s="26" t="n">
        <v>45792</v>
      </c>
      <c r="C349" s="26" t="n">
        <v>45794</v>
      </c>
      <c r="D349" s="7" t="s">
        <v>167</v>
      </c>
      <c r="E349" s="7" t="s">
        <v>168</v>
      </c>
      <c r="F349" s="7" t="s">
        <v>159</v>
      </c>
      <c r="G349" s="7" t="s">
        <v>169</v>
      </c>
      <c r="H349" s="7" t="s">
        <v>170</v>
      </c>
      <c r="I349" s="7" t="s">
        <v>192</v>
      </c>
      <c r="J349" s="7" t="s">
        <v>502</v>
      </c>
      <c r="K349" s="7" t="s">
        <v>503</v>
      </c>
      <c r="L349" s="7" t="s">
        <v>504</v>
      </c>
      <c r="M349" s="7" t="n">
        <v>4</v>
      </c>
      <c r="N349" s="27" t="n">
        <v>3499</v>
      </c>
      <c r="O349" s="28" t="n">
        <v>0.4</v>
      </c>
      <c r="P349" s="27" t="n">
        <v>8398</v>
      </c>
      <c r="Q349" s="27" t="n">
        <v>10000</v>
      </c>
      <c r="R349" s="27" t="n">
        <v>-1602</v>
      </c>
      <c r="S349" s="7" t="s">
        <v>60</v>
      </c>
      <c r="T349" s="7" t="str">
        <f aca="false">IF(O349=0,"No discount",IF(O349&lt;=0.2,"Up to 20%","Above 20%"))</f>
        <v>Above 20%</v>
      </c>
    </row>
    <row r="350" customFormat="false" ht="15" hidden="false" customHeight="true" outlineLevel="0" collapsed="false">
      <c r="A350" s="7" t="s">
        <v>933</v>
      </c>
      <c r="B350" s="26" t="n">
        <v>45792</v>
      </c>
      <c r="C350" s="26" t="n">
        <v>45799</v>
      </c>
      <c r="D350" s="7" t="s">
        <v>308</v>
      </c>
      <c r="E350" s="7" t="s">
        <v>309</v>
      </c>
      <c r="F350" s="7" t="s">
        <v>159</v>
      </c>
      <c r="G350" s="7" t="s">
        <v>169</v>
      </c>
      <c r="H350" s="7" t="s">
        <v>179</v>
      </c>
      <c r="I350" s="7" t="s">
        <v>162</v>
      </c>
      <c r="J350" s="7" t="s">
        <v>185</v>
      </c>
      <c r="K350" s="7" t="s">
        <v>186</v>
      </c>
      <c r="L350" s="7" t="s">
        <v>187</v>
      </c>
      <c r="M350" s="7" t="n">
        <v>1</v>
      </c>
      <c r="N350" s="27" t="n">
        <v>3299</v>
      </c>
      <c r="O350" s="28" t="n">
        <v>0.2</v>
      </c>
      <c r="P350" s="27" t="n">
        <v>2639</v>
      </c>
      <c r="Q350" s="27" t="n">
        <v>1900</v>
      </c>
      <c r="R350" s="27" t="n">
        <v>739</v>
      </c>
      <c r="S350" s="7" t="s">
        <v>60</v>
      </c>
      <c r="T350" s="7" t="str">
        <f aca="false">IF(O350=0,"No discount",IF(O350&lt;=0.2,"Up to 20%","Above 20%"))</f>
        <v>Up to 20%</v>
      </c>
    </row>
    <row r="351" customFormat="false" ht="15" hidden="false" customHeight="true" outlineLevel="0" collapsed="false">
      <c r="A351" s="7" t="s">
        <v>934</v>
      </c>
      <c r="B351" s="26" t="n">
        <v>45792</v>
      </c>
      <c r="C351" s="26" t="n">
        <v>45795</v>
      </c>
      <c r="D351" s="7" t="s">
        <v>935</v>
      </c>
      <c r="E351" s="7" t="s">
        <v>936</v>
      </c>
      <c r="F351" s="7" t="s">
        <v>159</v>
      </c>
      <c r="G351" s="7" t="s">
        <v>169</v>
      </c>
      <c r="H351" s="7" t="s">
        <v>170</v>
      </c>
      <c r="I351" s="7" t="s">
        <v>162</v>
      </c>
      <c r="J351" s="7" t="s">
        <v>185</v>
      </c>
      <c r="K351" s="7" t="s">
        <v>186</v>
      </c>
      <c r="L351" s="7" t="s">
        <v>187</v>
      </c>
      <c r="M351" s="7" t="n">
        <v>1</v>
      </c>
      <c r="N351" s="27" t="n">
        <v>3299</v>
      </c>
      <c r="O351" s="28" t="n">
        <v>0.1</v>
      </c>
      <c r="P351" s="27" t="n">
        <v>2969</v>
      </c>
      <c r="Q351" s="27" t="n">
        <v>1900</v>
      </c>
      <c r="R351" s="27" t="n">
        <v>1069</v>
      </c>
      <c r="S351" s="7" t="s">
        <v>60</v>
      </c>
      <c r="T351" s="7" t="str">
        <f aca="false">IF(O351=0,"No discount",IF(O351&lt;=0.2,"Up to 20%","Above 20%"))</f>
        <v>Up to 20%</v>
      </c>
    </row>
    <row r="352" customFormat="false" ht="15" hidden="false" customHeight="true" outlineLevel="0" collapsed="false">
      <c r="A352" s="7" t="s">
        <v>937</v>
      </c>
      <c r="B352" s="26" t="n">
        <v>45793</v>
      </c>
      <c r="C352" s="26" t="n">
        <v>45795</v>
      </c>
      <c r="D352" s="7" t="s">
        <v>792</v>
      </c>
      <c r="E352" s="7" t="s">
        <v>793</v>
      </c>
      <c r="F352" s="7" t="s">
        <v>219</v>
      </c>
      <c r="G352" s="7" t="s">
        <v>160</v>
      </c>
      <c r="H352" s="7" t="s">
        <v>161</v>
      </c>
      <c r="I352" s="7" t="s">
        <v>171</v>
      </c>
      <c r="J352" s="7" t="s">
        <v>304</v>
      </c>
      <c r="K352" s="7" t="s">
        <v>305</v>
      </c>
      <c r="L352" s="7" t="s">
        <v>306</v>
      </c>
      <c r="M352" s="7" t="n">
        <v>1</v>
      </c>
      <c r="N352" s="27" t="n">
        <v>2999</v>
      </c>
      <c r="O352" s="28" t="n">
        <v>0.3</v>
      </c>
      <c r="P352" s="27" t="n">
        <v>2099</v>
      </c>
      <c r="Q352" s="27" t="n">
        <v>2000</v>
      </c>
      <c r="R352" s="27" t="n">
        <v>99</v>
      </c>
      <c r="S352" s="7" t="s">
        <v>60</v>
      </c>
      <c r="T352" s="7" t="str">
        <f aca="false">IF(O352=0,"No discount",IF(O352&lt;=0.2,"Up to 20%","Above 20%"))</f>
        <v>Above 20%</v>
      </c>
    </row>
    <row r="353" customFormat="false" ht="15" hidden="false" customHeight="true" outlineLevel="0" collapsed="false">
      <c r="A353" s="7" t="s">
        <v>938</v>
      </c>
      <c r="B353" s="26" t="n">
        <v>45794</v>
      </c>
      <c r="C353" s="26" t="n">
        <v>45796</v>
      </c>
      <c r="D353" s="7" t="s">
        <v>167</v>
      </c>
      <c r="E353" s="7" t="s">
        <v>168</v>
      </c>
      <c r="F353" s="7" t="s">
        <v>159</v>
      </c>
      <c r="G353" s="7" t="s">
        <v>169</v>
      </c>
      <c r="H353" s="7" t="s">
        <v>170</v>
      </c>
      <c r="I353" s="7" t="s">
        <v>192</v>
      </c>
      <c r="J353" s="7" t="s">
        <v>213</v>
      </c>
      <c r="K353" s="7" t="s">
        <v>264</v>
      </c>
      <c r="L353" s="7" t="s">
        <v>265</v>
      </c>
      <c r="M353" s="7" t="n">
        <v>3</v>
      </c>
      <c r="N353" s="27" t="n">
        <v>2499</v>
      </c>
      <c r="O353" s="28" t="n">
        <v>0.3</v>
      </c>
      <c r="P353" s="27" t="n">
        <v>5248</v>
      </c>
      <c r="Q353" s="27" t="n">
        <v>5100</v>
      </c>
      <c r="R353" s="27" t="n">
        <v>148</v>
      </c>
      <c r="S353" s="7" t="s">
        <v>60</v>
      </c>
      <c r="T353" s="7" t="str">
        <f aca="false">IF(O353=0,"No discount",IF(O353&lt;=0.2,"Up to 20%","Above 20%"))</f>
        <v>Above 20%</v>
      </c>
    </row>
    <row r="354" customFormat="false" ht="15" hidden="false" customHeight="true" outlineLevel="0" collapsed="false">
      <c r="A354" s="7" t="s">
        <v>939</v>
      </c>
      <c r="B354" s="26" t="n">
        <v>45794</v>
      </c>
      <c r="C354" s="26" t="n">
        <v>45796</v>
      </c>
      <c r="D354" s="7" t="s">
        <v>940</v>
      </c>
      <c r="E354" s="7" t="s">
        <v>941</v>
      </c>
      <c r="F354" s="7" t="s">
        <v>159</v>
      </c>
      <c r="G354" s="7" t="s">
        <v>169</v>
      </c>
      <c r="H354" s="7" t="s">
        <v>170</v>
      </c>
      <c r="I354" s="7" t="s">
        <v>162</v>
      </c>
      <c r="J354" s="7" t="s">
        <v>185</v>
      </c>
      <c r="K354" s="7" t="s">
        <v>186</v>
      </c>
      <c r="L354" s="7" t="s">
        <v>187</v>
      </c>
      <c r="M354" s="7" t="n">
        <v>1</v>
      </c>
      <c r="N354" s="27" t="n">
        <v>3299</v>
      </c>
      <c r="O354" s="28" t="n">
        <v>0.1</v>
      </c>
      <c r="P354" s="27" t="n">
        <v>2969</v>
      </c>
      <c r="Q354" s="27" t="n">
        <v>1900</v>
      </c>
      <c r="R354" s="27" t="n">
        <v>1069</v>
      </c>
      <c r="S354" s="7" t="s">
        <v>60</v>
      </c>
      <c r="T354" s="7" t="str">
        <f aca="false">IF(O354=0,"No discount",IF(O354&lt;=0.2,"Up to 20%","Above 20%"))</f>
        <v>Up to 20%</v>
      </c>
    </row>
    <row r="355" customFormat="false" ht="15" hidden="false" customHeight="true" outlineLevel="0" collapsed="false">
      <c r="A355" s="7" t="s">
        <v>942</v>
      </c>
      <c r="B355" s="26" t="n">
        <v>45795</v>
      </c>
      <c r="C355" s="26" t="n">
        <v>45796</v>
      </c>
      <c r="D355" s="7" t="s">
        <v>943</v>
      </c>
      <c r="E355" s="7" t="s">
        <v>944</v>
      </c>
      <c r="F355" s="7" t="s">
        <v>159</v>
      </c>
      <c r="G355" s="7" t="s">
        <v>160</v>
      </c>
      <c r="H355" s="7" t="s">
        <v>269</v>
      </c>
      <c r="I355" s="7" t="s">
        <v>208</v>
      </c>
      <c r="J355" s="7" t="s">
        <v>232</v>
      </c>
      <c r="K355" s="7" t="s">
        <v>233</v>
      </c>
      <c r="L355" s="7" t="s">
        <v>234</v>
      </c>
      <c r="M355" s="7" t="n">
        <v>3</v>
      </c>
      <c r="N355" s="27" t="n">
        <v>7999</v>
      </c>
      <c r="O355" s="28" t="n">
        <v>0.1</v>
      </c>
      <c r="P355" s="27" t="n">
        <v>21597</v>
      </c>
      <c r="Q355" s="27" t="n">
        <v>16800</v>
      </c>
      <c r="R355" s="27" t="n">
        <v>4797</v>
      </c>
      <c r="S355" s="7" t="s">
        <v>60</v>
      </c>
      <c r="T355" s="7" t="str">
        <f aca="false">IF(O355=0,"No discount",IF(O355&lt;=0.2,"Up to 20%","Above 20%"))</f>
        <v>Up to 20%</v>
      </c>
    </row>
    <row r="356" customFormat="false" ht="15" hidden="false" customHeight="true" outlineLevel="0" collapsed="false">
      <c r="A356" s="7" t="s">
        <v>945</v>
      </c>
      <c r="B356" s="26" t="n">
        <v>45795</v>
      </c>
      <c r="C356" s="26" t="n">
        <v>45796</v>
      </c>
      <c r="D356" s="7" t="s">
        <v>357</v>
      </c>
      <c r="E356" s="7" t="s">
        <v>358</v>
      </c>
      <c r="F356" s="7" t="s">
        <v>219</v>
      </c>
      <c r="G356" s="7" t="s">
        <v>160</v>
      </c>
      <c r="H356" s="7" t="s">
        <v>161</v>
      </c>
      <c r="I356" s="7" t="s">
        <v>192</v>
      </c>
      <c r="J356" s="7" t="s">
        <v>502</v>
      </c>
      <c r="K356" s="7" t="s">
        <v>526</v>
      </c>
      <c r="L356" s="7" t="s">
        <v>527</v>
      </c>
      <c r="M356" s="7" t="n">
        <v>1</v>
      </c>
      <c r="N356" s="27" t="n">
        <v>6499</v>
      </c>
      <c r="O356" s="28" t="n">
        <v>0.2</v>
      </c>
      <c r="P356" s="27" t="n">
        <v>5199</v>
      </c>
      <c r="Q356" s="27" t="n">
        <v>5000</v>
      </c>
      <c r="R356" s="27" t="n">
        <v>199</v>
      </c>
      <c r="S356" s="7" t="s">
        <v>60</v>
      </c>
      <c r="T356" s="7" t="str">
        <f aca="false">IF(O356=0,"No discount",IF(O356&lt;=0.2,"Up to 20%","Above 20%"))</f>
        <v>Up to 20%</v>
      </c>
    </row>
    <row r="357" customFormat="false" ht="15" hidden="false" customHeight="true" outlineLevel="0" collapsed="false">
      <c r="A357" s="7" t="s">
        <v>946</v>
      </c>
      <c r="B357" s="26" t="n">
        <v>45795</v>
      </c>
      <c r="C357" s="26" t="n">
        <v>45799</v>
      </c>
      <c r="D357" s="7" t="s">
        <v>947</v>
      </c>
      <c r="E357" s="7" t="s">
        <v>948</v>
      </c>
      <c r="F357" s="7" t="s">
        <v>159</v>
      </c>
      <c r="G357" s="7" t="s">
        <v>160</v>
      </c>
      <c r="H357" s="7" t="s">
        <v>269</v>
      </c>
      <c r="I357" s="7" t="s">
        <v>171</v>
      </c>
      <c r="J357" s="7" t="s">
        <v>314</v>
      </c>
      <c r="K357" s="7" t="s">
        <v>315</v>
      </c>
      <c r="L357" s="7" t="s">
        <v>316</v>
      </c>
      <c r="M357" s="7" t="n">
        <v>5</v>
      </c>
      <c r="N357" s="27" t="n">
        <v>1299</v>
      </c>
      <c r="O357" s="28" t="n">
        <v>0</v>
      </c>
      <c r="P357" s="27" t="n">
        <v>6495</v>
      </c>
      <c r="Q357" s="27" t="n">
        <v>3500</v>
      </c>
      <c r="R357" s="27" t="n">
        <v>2995</v>
      </c>
      <c r="S357" s="7" t="s">
        <v>60</v>
      </c>
      <c r="T357" s="7" t="str">
        <f aca="false">IF(O357=0,"No discount",IF(O357&lt;=0.2,"Up to 20%","Above 20%"))</f>
        <v>No discount</v>
      </c>
    </row>
    <row r="358" customFormat="false" ht="15" hidden="false" customHeight="true" outlineLevel="0" collapsed="false">
      <c r="A358" s="7" t="s">
        <v>949</v>
      </c>
      <c r="B358" s="26" t="n">
        <v>45795</v>
      </c>
      <c r="C358" s="26" t="n">
        <v>45801</v>
      </c>
      <c r="D358" s="7" t="s">
        <v>438</v>
      </c>
      <c r="E358" s="7" t="s">
        <v>439</v>
      </c>
      <c r="F358" s="7" t="s">
        <v>159</v>
      </c>
      <c r="G358" s="7" t="s">
        <v>323</v>
      </c>
      <c r="H358" s="7" t="s">
        <v>324</v>
      </c>
      <c r="I358" s="7" t="s">
        <v>162</v>
      </c>
      <c r="J358" s="7" t="s">
        <v>325</v>
      </c>
      <c r="K358" s="7" t="s">
        <v>381</v>
      </c>
      <c r="L358" s="7" t="s">
        <v>382</v>
      </c>
      <c r="M358" s="7" t="n">
        <v>1</v>
      </c>
      <c r="N358" s="27" t="n">
        <v>1799</v>
      </c>
      <c r="O358" s="28" t="n">
        <v>0.4</v>
      </c>
      <c r="P358" s="27" t="n">
        <v>1079</v>
      </c>
      <c r="Q358" s="27" t="n">
        <v>950</v>
      </c>
      <c r="R358" s="27" t="n">
        <v>129</v>
      </c>
      <c r="S358" s="7" t="s">
        <v>60</v>
      </c>
      <c r="T358" s="7" t="str">
        <f aca="false">IF(O358=0,"No discount",IF(O358&lt;=0.2,"Up to 20%","Above 20%"))</f>
        <v>Above 20%</v>
      </c>
    </row>
    <row r="359" customFormat="false" ht="15" hidden="false" customHeight="true" outlineLevel="0" collapsed="false">
      <c r="A359" s="7" t="s">
        <v>950</v>
      </c>
      <c r="B359" s="26" t="n">
        <v>45796</v>
      </c>
      <c r="C359" s="26" t="n">
        <v>45800</v>
      </c>
      <c r="D359" s="7" t="s">
        <v>465</v>
      </c>
      <c r="E359" s="7" t="s">
        <v>466</v>
      </c>
      <c r="F359" s="7" t="s">
        <v>219</v>
      </c>
      <c r="G359" s="7" t="s">
        <v>323</v>
      </c>
      <c r="H359" s="7" t="s">
        <v>324</v>
      </c>
      <c r="I359" s="7" t="s">
        <v>162</v>
      </c>
      <c r="J359" s="7" t="s">
        <v>325</v>
      </c>
      <c r="K359" s="7" t="s">
        <v>326</v>
      </c>
      <c r="L359" s="7" t="s">
        <v>327</v>
      </c>
      <c r="M359" s="7" t="n">
        <v>1</v>
      </c>
      <c r="N359" s="27" t="n">
        <v>799</v>
      </c>
      <c r="O359" s="28" t="n">
        <v>0.3</v>
      </c>
      <c r="P359" s="27" t="n">
        <v>559</v>
      </c>
      <c r="Q359" s="27" t="n">
        <v>380</v>
      </c>
      <c r="R359" s="27" t="n">
        <v>179</v>
      </c>
      <c r="S359" s="7" t="s">
        <v>47</v>
      </c>
      <c r="T359" s="7" t="str">
        <f aca="false">IF(O359=0,"No discount",IF(O359&lt;=0.2,"Up to 20%","Above 20%"))</f>
        <v>Above 20%</v>
      </c>
    </row>
    <row r="360" customFormat="false" ht="15" hidden="false" customHeight="true" outlineLevel="0" collapsed="false">
      <c r="A360" s="7" t="s">
        <v>951</v>
      </c>
      <c r="B360" s="26" t="n">
        <v>45796</v>
      </c>
      <c r="C360" s="26" t="n">
        <v>45797</v>
      </c>
      <c r="D360" s="7" t="s">
        <v>244</v>
      </c>
      <c r="E360" s="7" t="s">
        <v>245</v>
      </c>
      <c r="F360" s="7" t="s">
        <v>178</v>
      </c>
      <c r="G360" s="7" t="s">
        <v>206</v>
      </c>
      <c r="H360" s="7" t="s">
        <v>207</v>
      </c>
      <c r="I360" s="7" t="s">
        <v>171</v>
      </c>
      <c r="J360" s="7" t="s">
        <v>172</v>
      </c>
      <c r="K360" s="7" t="s">
        <v>173</v>
      </c>
      <c r="L360" s="7" t="s">
        <v>174</v>
      </c>
      <c r="M360" s="7" t="n">
        <v>1</v>
      </c>
      <c r="N360" s="27" t="n">
        <v>699</v>
      </c>
      <c r="O360" s="28" t="n">
        <v>0.1</v>
      </c>
      <c r="P360" s="27" t="n">
        <v>629</v>
      </c>
      <c r="Q360" s="27" t="n">
        <v>320</v>
      </c>
      <c r="R360" s="27" t="n">
        <v>309</v>
      </c>
      <c r="S360" s="7" t="s">
        <v>60</v>
      </c>
      <c r="T360" s="7" t="str">
        <f aca="false">IF(O360=0,"No discount",IF(O360&lt;=0.2,"Up to 20%","Above 20%"))</f>
        <v>Up to 20%</v>
      </c>
    </row>
    <row r="361" customFormat="false" ht="15" hidden="false" customHeight="true" outlineLevel="0" collapsed="false">
      <c r="A361" s="7" t="s">
        <v>952</v>
      </c>
      <c r="B361" s="26" t="n">
        <v>45796</v>
      </c>
      <c r="C361" s="26" t="n">
        <v>45798</v>
      </c>
      <c r="D361" s="7" t="s">
        <v>538</v>
      </c>
      <c r="E361" s="7" t="s">
        <v>539</v>
      </c>
      <c r="F361" s="7" t="s">
        <v>159</v>
      </c>
      <c r="G361" s="7" t="s">
        <v>169</v>
      </c>
      <c r="H361" s="7" t="s">
        <v>191</v>
      </c>
      <c r="I361" s="7" t="s">
        <v>192</v>
      </c>
      <c r="J361" s="7" t="s">
        <v>502</v>
      </c>
      <c r="K361" s="7" t="s">
        <v>526</v>
      </c>
      <c r="L361" s="7" t="s">
        <v>527</v>
      </c>
      <c r="M361" s="7" t="n">
        <v>2</v>
      </c>
      <c r="N361" s="27" t="n">
        <v>6499</v>
      </c>
      <c r="O361" s="28" t="n">
        <v>0.2</v>
      </c>
      <c r="P361" s="27" t="n">
        <v>10398</v>
      </c>
      <c r="Q361" s="27" t="n">
        <v>10000</v>
      </c>
      <c r="R361" s="27" t="n">
        <v>398</v>
      </c>
      <c r="S361" s="7" t="s">
        <v>60</v>
      </c>
      <c r="T361" s="7" t="str">
        <f aca="false">IF(O361=0,"No discount",IF(O361&lt;=0.2,"Up to 20%","Above 20%"))</f>
        <v>Up to 20%</v>
      </c>
    </row>
    <row r="362" customFormat="false" ht="15" hidden="false" customHeight="true" outlineLevel="0" collapsed="false">
      <c r="A362" s="7" t="s">
        <v>953</v>
      </c>
      <c r="B362" s="26" t="n">
        <v>45796</v>
      </c>
      <c r="C362" s="26" t="n">
        <v>45800</v>
      </c>
      <c r="D362" s="7" t="s">
        <v>321</v>
      </c>
      <c r="E362" s="7" t="s">
        <v>322</v>
      </c>
      <c r="F362" s="7" t="s">
        <v>219</v>
      </c>
      <c r="G362" s="7" t="s">
        <v>323</v>
      </c>
      <c r="H362" s="7" t="s">
        <v>324</v>
      </c>
      <c r="I362" s="7" t="s">
        <v>192</v>
      </c>
      <c r="J362" s="7" t="s">
        <v>193</v>
      </c>
      <c r="K362" s="7" t="s">
        <v>194</v>
      </c>
      <c r="L362" s="7" t="s">
        <v>195</v>
      </c>
      <c r="M362" s="7" t="n">
        <v>2</v>
      </c>
      <c r="N362" s="27" t="n">
        <v>8999</v>
      </c>
      <c r="O362" s="28" t="n">
        <v>0.2</v>
      </c>
      <c r="P362" s="27" t="n">
        <v>14398</v>
      </c>
      <c r="Q362" s="27" t="n">
        <v>13600</v>
      </c>
      <c r="R362" s="27" t="n">
        <v>798</v>
      </c>
      <c r="S362" s="7" t="s">
        <v>60</v>
      </c>
      <c r="T362" s="7" t="str">
        <f aca="false">IF(O362=0,"No discount",IF(O362&lt;=0.2,"Up to 20%","Above 20%"))</f>
        <v>Up to 20%</v>
      </c>
    </row>
    <row r="363" customFormat="false" ht="15" hidden="false" customHeight="true" outlineLevel="0" collapsed="false">
      <c r="A363" s="7" t="s">
        <v>954</v>
      </c>
      <c r="B363" s="26" t="n">
        <v>45796</v>
      </c>
      <c r="C363" s="26" t="n">
        <v>45803</v>
      </c>
      <c r="D363" s="7" t="s">
        <v>290</v>
      </c>
      <c r="E363" s="7" t="s">
        <v>291</v>
      </c>
      <c r="F363" s="7" t="s">
        <v>219</v>
      </c>
      <c r="G363" s="7" t="s">
        <v>169</v>
      </c>
      <c r="H363" s="7" t="s">
        <v>179</v>
      </c>
      <c r="I363" s="7" t="s">
        <v>199</v>
      </c>
      <c r="J363" s="7" t="s">
        <v>223</v>
      </c>
      <c r="K363" s="7" t="s">
        <v>224</v>
      </c>
      <c r="L363" s="7" t="s">
        <v>225</v>
      </c>
      <c r="M363" s="7" t="n">
        <v>5</v>
      </c>
      <c r="N363" s="27" t="n">
        <v>899</v>
      </c>
      <c r="O363" s="28" t="n">
        <v>0.3</v>
      </c>
      <c r="P363" s="27" t="n">
        <v>3146</v>
      </c>
      <c r="Q363" s="27" t="n">
        <v>1900</v>
      </c>
      <c r="R363" s="27" t="n">
        <v>1246</v>
      </c>
      <c r="S363" s="7" t="s">
        <v>60</v>
      </c>
      <c r="T363" s="7" t="str">
        <f aca="false">IF(O363=0,"No discount",IF(O363&lt;=0.2,"Up to 20%","Above 20%"))</f>
        <v>Above 20%</v>
      </c>
    </row>
    <row r="364" customFormat="false" ht="15" hidden="false" customHeight="true" outlineLevel="0" collapsed="false">
      <c r="A364" s="7" t="s">
        <v>955</v>
      </c>
      <c r="B364" s="26" t="n">
        <v>45797</v>
      </c>
      <c r="C364" s="26" t="n">
        <v>45800</v>
      </c>
      <c r="D364" s="7" t="s">
        <v>719</v>
      </c>
      <c r="E364" s="7" t="s">
        <v>720</v>
      </c>
      <c r="F364" s="7" t="s">
        <v>159</v>
      </c>
      <c r="G364" s="7" t="s">
        <v>323</v>
      </c>
      <c r="H364" s="7" t="s">
        <v>324</v>
      </c>
      <c r="I364" s="7" t="s">
        <v>171</v>
      </c>
      <c r="J364" s="7" t="s">
        <v>172</v>
      </c>
      <c r="K364" s="7" t="s">
        <v>173</v>
      </c>
      <c r="L364" s="7" t="s">
        <v>174</v>
      </c>
      <c r="M364" s="7" t="n">
        <v>1</v>
      </c>
      <c r="N364" s="27" t="n">
        <v>699</v>
      </c>
      <c r="O364" s="28" t="n">
        <v>0.1</v>
      </c>
      <c r="P364" s="27" t="n">
        <v>629</v>
      </c>
      <c r="Q364" s="27" t="n">
        <v>320</v>
      </c>
      <c r="R364" s="27" t="n">
        <v>309</v>
      </c>
      <c r="S364" s="7" t="s">
        <v>60</v>
      </c>
      <c r="T364" s="7" t="str">
        <f aca="false">IF(O364=0,"No discount",IF(O364&lt;=0.2,"Up to 20%","Above 20%"))</f>
        <v>Up to 20%</v>
      </c>
    </row>
    <row r="365" customFormat="false" ht="15" hidden="false" customHeight="true" outlineLevel="0" collapsed="false">
      <c r="A365" s="7" t="s">
        <v>956</v>
      </c>
      <c r="B365" s="26" t="n">
        <v>45797</v>
      </c>
      <c r="C365" s="26" t="n">
        <v>45804</v>
      </c>
      <c r="D365" s="7" t="s">
        <v>627</v>
      </c>
      <c r="E365" s="7" t="s">
        <v>628</v>
      </c>
      <c r="F365" s="7" t="s">
        <v>219</v>
      </c>
      <c r="G365" s="7" t="s">
        <v>206</v>
      </c>
      <c r="H365" s="7" t="s">
        <v>207</v>
      </c>
      <c r="I365" s="7" t="s">
        <v>282</v>
      </c>
      <c r="J365" s="7" t="s">
        <v>427</v>
      </c>
      <c r="K365" s="7" t="s">
        <v>428</v>
      </c>
      <c r="L365" s="7" t="s">
        <v>429</v>
      </c>
      <c r="M365" s="7" t="n">
        <v>1</v>
      </c>
      <c r="N365" s="27" t="n">
        <v>149</v>
      </c>
      <c r="O365" s="28" t="n">
        <v>0.1</v>
      </c>
      <c r="P365" s="27" t="n">
        <v>134</v>
      </c>
      <c r="Q365" s="27" t="n">
        <v>70</v>
      </c>
      <c r="R365" s="27" t="n">
        <v>64</v>
      </c>
      <c r="S365" s="7" t="s">
        <v>60</v>
      </c>
      <c r="T365" s="7" t="str">
        <f aca="false">IF(O365=0,"No discount",IF(O365&lt;=0.2,"Up to 20%","Above 20%"))</f>
        <v>Up to 20%</v>
      </c>
    </row>
    <row r="366" customFormat="false" ht="15" hidden="false" customHeight="true" outlineLevel="0" collapsed="false">
      <c r="A366" s="7" t="s">
        <v>957</v>
      </c>
      <c r="B366" s="26" t="n">
        <v>45798</v>
      </c>
      <c r="C366" s="26" t="n">
        <v>45800</v>
      </c>
      <c r="D366" s="7" t="s">
        <v>419</v>
      </c>
      <c r="E366" s="7" t="s">
        <v>420</v>
      </c>
      <c r="F366" s="7" t="s">
        <v>178</v>
      </c>
      <c r="G366" s="7" t="s">
        <v>169</v>
      </c>
      <c r="H366" s="7" t="s">
        <v>179</v>
      </c>
      <c r="I366" s="7" t="s">
        <v>171</v>
      </c>
      <c r="J366" s="7" t="s">
        <v>304</v>
      </c>
      <c r="K366" s="7" t="s">
        <v>499</v>
      </c>
      <c r="L366" s="7" t="s">
        <v>500</v>
      </c>
      <c r="M366" s="7" t="n">
        <v>3</v>
      </c>
      <c r="N366" s="27" t="n">
        <v>5499</v>
      </c>
      <c r="O366" s="28" t="n">
        <v>0</v>
      </c>
      <c r="P366" s="27" t="n">
        <v>16497</v>
      </c>
      <c r="Q366" s="27" t="n">
        <v>11700</v>
      </c>
      <c r="R366" s="27" t="n">
        <v>4797</v>
      </c>
      <c r="S366" s="7" t="s">
        <v>60</v>
      </c>
      <c r="T366" s="7" t="str">
        <f aca="false">IF(O366=0,"No discount",IF(O366&lt;=0.2,"Up to 20%","Above 20%"))</f>
        <v>No discount</v>
      </c>
    </row>
    <row r="367" customFormat="false" ht="15" hidden="false" customHeight="true" outlineLevel="0" collapsed="false">
      <c r="A367" s="7" t="s">
        <v>958</v>
      </c>
      <c r="B367" s="26" t="n">
        <v>45798</v>
      </c>
      <c r="C367" s="26" t="n">
        <v>45804</v>
      </c>
      <c r="D367" s="7" t="s">
        <v>959</v>
      </c>
      <c r="E367" s="7" t="s">
        <v>960</v>
      </c>
      <c r="F367" s="7" t="s">
        <v>219</v>
      </c>
      <c r="G367" s="7" t="s">
        <v>323</v>
      </c>
      <c r="H367" s="7" t="s">
        <v>324</v>
      </c>
      <c r="I367" s="7" t="s">
        <v>192</v>
      </c>
      <c r="J367" s="7" t="s">
        <v>213</v>
      </c>
      <c r="K367" s="7" t="s">
        <v>264</v>
      </c>
      <c r="L367" s="7" t="s">
        <v>265</v>
      </c>
      <c r="M367" s="7" t="n">
        <v>2</v>
      </c>
      <c r="N367" s="27" t="n">
        <v>2499</v>
      </c>
      <c r="O367" s="28" t="n">
        <v>0.2</v>
      </c>
      <c r="P367" s="27" t="n">
        <v>3998</v>
      </c>
      <c r="Q367" s="27" t="n">
        <v>3400</v>
      </c>
      <c r="R367" s="27" t="n">
        <v>598</v>
      </c>
      <c r="S367" s="7" t="s">
        <v>60</v>
      </c>
      <c r="T367" s="7" t="str">
        <f aca="false">IF(O367=0,"No discount",IF(O367&lt;=0.2,"Up to 20%","Above 20%"))</f>
        <v>Up to 20%</v>
      </c>
    </row>
    <row r="368" customFormat="false" ht="15" hidden="false" customHeight="true" outlineLevel="0" collapsed="false">
      <c r="A368" s="7" t="s">
        <v>961</v>
      </c>
      <c r="B368" s="26" t="n">
        <v>45799</v>
      </c>
      <c r="C368" s="26" t="n">
        <v>45806</v>
      </c>
      <c r="D368" s="7" t="s">
        <v>267</v>
      </c>
      <c r="E368" s="7" t="s">
        <v>268</v>
      </c>
      <c r="F368" s="7" t="s">
        <v>159</v>
      </c>
      <c r="G368" s="7" t="s">
        <v>160</v>
      </c>
      <c r="H368" s="7" t="s">
        <v>269</v>
      </c>
      <c r="I368" s="7" t="s">
        <v>199</v>
      </c>
      <c r="J368" s="7" t="s">
        <v>292</v>
      </c>
      <c r="K368" s="7" t="s">
        <v>293</v>
      </c>
      <c r="L368" s="7" t="s">
        <v>294</v>
      </c>
      <c r="M368" s="7" t="n">
        <v>3</v>
      </c>
      <c r="N368" s="27" t="n">
        <v>1599</v>
      </c>
      <c r="O368" s="28" t="n">
        <v>0.3</v>
      </c>
      <c r="P368" s="27" t="n">
        <v>3358</v>
      </c>
      <c r="Q368" s="27" t="n">
        <v>2250</v>
      </c>
      <c r="R368" s="27" t="n">
        <v>1108</v>
      </c>
      <c r="S368" s="7" t="s">
        <v>60</v>
      </c>
      <c r="T368" s="7" t="str">
        <f aca="false">IF(O368=0,"No discount",IF(O368&lt;=0.2,"Up to 20%","Above 20%"))</f>
        <v>Above 20%</v>
      </c>
    </row>
    <row r="369" customFormat="false" ht="15" hidden="false" customHeight="true" outlineLevel="0" collapsed="false">
      <c r="A369" s="7" t="s">
        <v>962</v>
      </c>
      <c r="B369" s="26" t="n">
        <v>45799</v>
      </c>
      <c r="C369" s="26" t="n">
        <v>45801</v>
      </c>
      <c r="D369" s="7" t="s">
        <v>277</v>
      </c>
      <c r="E369" s="7" t="s">
        <v>278</v>
      </c>
      <c r="F369" s="7" t="s">
        <v>159</v>
      </c>
      <c r="G369" s="7" t="s">
        <v>206</v>
      </c>
      <c r="H369" s="7" t="s">
        <v>207</v>
      </c>
      <c r="I369" s="7" t="s">
        <v>199</v>
      </c>
      <c r="J369" s="7" t="s">
        <v>398</v>
      </c>
      <c r="K369" s="7" t="s">
        <v>399</v>
      </c>
      <c r="L369" s="7" t="s">
        <v>400</v>
      </c>
      <c r="M369" s="7" t="n">
        <v>1</v>
      </c>
      <c r="N369" s="27" t="n">
        <v>749</v>
      </c>
      <c r="O369" s="28" t="n">
        <v>0.1</v>
      </c>
      <c r="P369" s="27" t="n">
        <v>674</v>
      </c>
      <c r="Q369" s="27" t="n">
        <v>350</v>
      </c>
      <c r="R369" s="27" t="n">
        <v>324</v>
      </c>
      <c r="S369" s="7" t="s">
        <v>60</v>
      </c>
      <c r="T369" s="7" t="str">
        <f aca="false">IF(O369=0,"No discount",IF(O369&lt;=0.2,"Up to 20%","Above 20%"))</f>
        <v>Up to 20%</v>
      </c>
    </row>
    <row r="370" customFormat="false" ht="15" hidden="false" customHeight="true" outlineLevel="0" collapsed="false">
      <c r="A370" s="7" t="s">
        <v>963</v>
      </c>
      <c r="B370" s="26" t="n">
        <v>45799</v>
      </c>
      <c r="C370" s="26" t="n">
        <v>45806</v>
      </c>
      <c r="D370" s="7" t="s">
        <v>964</v>
      </c>
      <c r="E370" s="7" t="s">
        <v>965</v>
      </c>
      <c r="F370" s="7" t="s">
        <v>178</v>
      </c>
      <c r="G370" s="7" t="s">
        <v>206</v>
      </c>
      <c r="H370" s="7" t="s">
        <v>207</v>
      </c>
      <c r="I370" s="7" t="s">
        <v>162</v>
      </c>
      <c r="J370" s="7" t="s">
        <v>163</v>
      </c>
      <c r="K370" s="7" t="s">
        <v>164</v>
      </c>
      <c r="L370" s="7" t="s">
        <v>165</v>
      </c>
      <c r="M370" s="7" t="n">
        <v>2</v>
      </c>
      <c r="N370" s="27" t="n">
        <v>1999</v>
      </c>
      <c r="O370" s="28" t="n">
        <v>0.2</v>
      </c>
      <c r="P370" s="27" t="n">
        <v>3198</v>
      </c>
      <c r="Q370" s="27" t="n">
        <v>2100</v>
      </c>
      <c r="R370" s="27" t="n">
        <v>1098</v>
      </c>
      <c r="S370" s="7" t="s">
        <v>47</v>
      </c>
      <c r="T370" s="7" t="str">
        <f aca="false">IF(O370=0,"No discount",IF(O370&lt;=0.2,"Up to 20%","Above 20%"))</f>
        <v>Up to 20%</v>
      </c>
    </row>
    <row r="371" customFormat="false" ht="15" hidden="false" customHeight="true" outlineLevel="0" collapsed="false">
      <c r="A371" s="7" t="s">
        <v>966</v>
      </c>
      <c r="B371" s="26" t="n">
        <v>45799</v>
      </c>
      <c r="C371" s="26" t="n">
        <v>45803</v>
      </c>
      <c r="D371" s="7" t="s">
        <v>378</v>
      </c>
      <c r="E371" s="7" t="s">
        <v>379</v>
      </c>
      <c r="F371" s="7" t="s">
        <v>159</v>
      </c>
      <c r="G371" s="7" t="s">
        <v>160</v>
      </c>
      <c r="H371" s="7" t="s">
        <v>269</v>
      </c>
      <c r="I371" s="7" t="s">
        <v>208</v>
      </c>
      <c r="J371" s="7" t="s">
        <v>209</v>
      </c>
      <c r="K371" s="7" t="s">
        <v>641</v>
      </c>
      <c r="L371" s="7" t="s">
        <v>642</v>
      </c>
      <c r="M371" s="7" t="n">
        <v>2</v>
      </c>
      <c r="N371" s="27" t="n">
        <v>1499</v>
      </c>
      <c r="O371" s="28" t="n">
        <v>0.1</v>
      </c>
      <c r="P371" s="27" t="n">
        <v>2698</v>
      </c>
      <c r="Q371" s="27" t="n">
        <v>1800</v>
      </c>
      <c r="R371" s="27" t="n">
        <v>898</v>
      </c>
      <c r="S371" s="7" t="s">
        <v>60</v>
      </c>
      <c r="T371" s="7" t="str">
        <f aca="false">IF(O371=0,"No discount",IF(O371&lt;=0.2,"Up to 20%","Above 20%"))</f>
        <v>Up to 20%</v>
      </c>
    </row>
    <row r="372" customFormat="false" ht="15" hidden="false" customHeight="true" outlineLevel="0" collapsed="false">
      <c r="A372" s="7" t="s">
        <v>967</v>
      </c>
      <c r="B372" s="26" t="n">
        <v>45799</v>
      </c>
      <c r="C372" s="26" t="n">
        <v>45806</v>
      </c>
      <c r="D372" s="7" t="s">
        <v>345</v>
      </c>
      <c r="E372" s="7" t="s">
        <v>346</v>
      </c>
      <c r="F372" s="7" t="s">
        <v>159</v>
      </c>
      <c r="G372" s="7" t="s">
        <v>160</v>
      </c>
      <c r="H372" s="7" t="s">
        <v>161</v>
      </c>
      <c r="I372" s="7" t="s">
        <v>171</v>
      </c>
      <c r="J372" s="7" t="s">
        <v>172</v>
      </c>
      <c r="K372" s="7" t="s">
        <v>173</v>
      </c>
      <c r="L372" s="7" t="s">
        <v>174</v>
      </c>
      <c r="M372" s="7" t="n">
        <v>1</v>
      </c>
      <c r="N372" s="27" t="n">
        <v>699</v>
      </c>
      <c r="O372" s="28" t="n">
        <v>0.2</v>
      </c>
      <c r="P372" s="27" t="n">
        <v>559</v>
      </c>
      <c r="Q372" s="27" t="n">
        <v>320</v>
      </c>
      <c r="R372" s="27" t="n">
        <v>239</v>
      </c>
      <c r="S372" s="7" t="s">
        <v>60</v>
      </c>
      <c r="T372" s="7" t="str">
        <f aca="false">IF(O372=0,"No discount",IF(O372&lt;=0.2,"Up to 20%","Above 20%"))</f>
        <v>Up to 20%</v>
      </c>
    </row>
    <row r="373" customFormat="false" ht="15" hidden="false" customHeight="true" outlineLevel="0" collapsed="false">
      <c r="A373" s="7" t="s">
        <v>968</v>
      </c>
      <c r="B373" s="26" t="n">
        <v>45800</v>
      </c>
      <c r="C373" s="26" t="n">
        <v>45805</v>
      </c>
      <c r="D373" s="7" t="s">
        <v>267</v>
      </c>
      <c r="E373" s="7" t="s">
        <v>268</v>
      </c>
      <c r="F373" s="7" t="s">
        <v>159</v>
      </c>
      <c r="G373" s="7" t="s">
        <v>160</v>
      </c>
      <c r="H373" s="7" t="s">
        <v>269</v>
      </c>
      <c r="I373" s="7" t="s">
        <v>199</v>
      </c>
      <c r="J373" s="7" t="s">
        <v>398</v>
      </c>
      <c r="K373" s="7" t="s">
        <v>399</v>
      </c>
      <c r="L373" s="7" t="s">
        <v>400</v>
      </c>
      <c r="M373" s="7" t="n">
        <v>1</v>
      </c>
      <c r="N373" s="27" t="n">
        <v>749</v>
      </c>
      <c r="O373" s="28" t="n">
        <v>0.15</v>
      </c>
      <c r="P373" s="27" t="n">
        <v>637</v>
      </c>
      <c r="Q373" s="27" t="n">
        <v>350</v>
      </c>
      <c r="R373" s="27" t="n">
        <v>287</v>
      </c>
      <c r="S373" s="7" t="s">
        <v>60</v>
      </c>
      <c r="T373" s="7" t="str">
        <f aca="false">IF(O373=0,"No discount",IF(O373&lt;=0.2,"Up to 20%","Above 20%"))</f>
        <v>Up to 20%</v>
      </c>
    </row>
    <row r="374" customFormat="false" ht="15" hidden="false" customHeight="true" outlineLevel="0" collapsed="false">
      <c r="A374" s="7" t="s">
        <v>969</v>
      </c>
      <c r="B374" s="26" t="n">
        <v>45801</v>
      </c>
      <c r="C374" s="26" t="n">
        <v>45804</v>
      </c>
      <c r="D374" s="7" t="s">
        <v>970</v>
      </c>
      <c r="E374" s="7" t="s">
        <v>971</v>
      </c>
      <c r="F374" s="7" t="s">
        <v>159</v>
      </c>
      <c r="G374" s="7" t="s">
        <v>160</v>
      </c>
      <c r="H374" s="7" t="s">
        <v>161</v>
      </c>
      <c r="I374" s="7" t="s">
        <v>282</v>
      </c>
      <c r="J374" s="7" t="s">
        <v>387</v>
      </c>
      <c r="K374" s="7" t="s">
        <v>388</v>
      </c>
      <c r="L374" s="7" t="s">
        <v>389</v>
      </c>
      <c r="M374" s="7" t="n">
        <v>6</v>
      </c>
      <c r="N374" s="27" t="n">
        <v>1299</v>
      </c>
      <c r="O374" s="28" t="n">
        <v>0.05</v>
      </c>
      <c r="P374" s="27" t="n">
        <v>7404</v>
      </c>
      <c r="Q374" s="27" t="n">
        <v>4680</v>
      </c>
      <c r="R374" s="27" t="n">
        <v>2724</v>
      </c>
      <c r="S374" s="7" t="s">
        <v>60</v>
      </c>
      <c r="T374" s="7" t="str">
        <f aca="false">IF(O374=0,"No discount",IF(O374&lt;=0.2,"Up to 20%","Above 20%"))</f>
        <v>Up to 20%</v>
      </c>
    </row>
    <row r="375" customFormat="false" ht="15" hidden="false" customHeight="true" outlineLevel="0" collapsed="false">
      <c r="A375" s="7" t="s">
        <v>972</v>
      </c>
      <c r="B375" s="26" t="n">
        <v>45802</v>
      </c>
      <c r="C375" s="26" t="n">
        <v>45807</v>
      </c>
      <c r="D375" s="7" t="s">
        <v>973</v>
      </c>
      <c r="E375" s="7" t="s">
        <v>974</v>
      </c>
      <c r="F375" s="7" t="s">
        <v>159</v>
      </c>
      <c r="G375" s="7" t="s">
        <v>160</v>
      </c>
      <c r="H375" s="7" t="s">
        <v>269</v>
      </c>
      <c r="I375" s="7" t="s">
        <v>208</v>
      </c>
      <c r="J375" s="7" t="s">
        <v>209</v>
      </c>
      <c r="K375" s="7" t="s">
        <v>637</v>
      </c>
      <c r="L375" s="7" t="s">
        <v>638</v>
      </c>
      <c r="M375" s="7" t="n">
        <v>2</v>
      </c>
      <c r="N375" s="27" t="n">
        <v>899</v>
      </c>
      <c r="O375" s="28" t="n">
        <v>0</v>
      </c>
      <c r="P375" s="27" t="n">
        <v>1798</v>
      </c>
      <c r="Q375" s="27" t="n">
        <v>960</v>
      </c>
      <c r="R375" s="27" t="n">
        <v>838</v>
      </c>
      <c r="S375" s="7" t="s">
        <v>60</v>
      </c>
      <c r="T375" s="7" t="str">
        <f aca="false">IF(O375=0,"No discount",IF(O375&lt;=0.2,"Up to 20%","Above 20%"))</f>
        <v>No discount</v>
      </c>
    </row>
    <row r="376" customFormat="false" ht="15" hidden="false" customHeight="true" outlineLevel="0" collapsed="false">
      <c r="A376" s="7" t="s">
        <v>975</v>
      </c>
      <c r="B376" s="26" t="n">
        <v>45802</v>
      </c>
      <c r="C376" s="26" t="n">
        <v>45805</v>
      </c>
      <c r="D376" s="7" t="s">
        <v>456</v>
      </c>
      <c r="E376" s="7" t="s">
        <v>457</v>
      </c>
      <c r="F376" s="7" t="s">
        <v>159</v>
      </c>
      <c r="G376" s="7" t="s">
        <v>169</v>
      </c>
      <c r="H376" s="7" t="s">
        <v>170</v>
      </c>
      <c r="I376" s="7" t="s">
        <v>282</v>
      </c>
      <c r="J376" s="7" t="s">
        <v>427</v>
      </c>
      <c r="K376" s="7" t="s">
        <v>428</v>
      </c>
      <c r="L376" s="7" t="s">
        <v>429</v>
      </c>
      <c r="M376" s="7" t="n">
        <v>3</v>
      </c>
      <c r="N376" s="27" t="n">
        <v>149</v>
      </c>
      <c r="O376" s="28" t="n">
        <v>0</v>
      </c>
      <c r="P376" s="27" t="n">
        <v>447</v>
      </c>
      <c r="Q376" s="27" t="n">
        <v>210</v>
      </c>
      <c r="R376" s="27" t="n">
        <v>237</v>
      </c>
      <c r="S376" s="7" t="s">
        <v>60</v>
      </c>
      <c r="T376" s="7" t="str">
        <f aca="false">IF(O376=0,"No discount",IF(O376&lt;=0.2,"Up to 20%","Above 20%"))</f>
        <v>No discount</v>
      </c>
    </row>
    <row r="377" customFormat="false" ht="15" hidden="false" customHeight="true" outlineLevel="0" collapsed="false">
      <c r="A377" s="7" t="s">
        <v>976</v>
      </c>
      <c r="B377" s="26" t="n">
        <v>45803</v>
      </c>
      <c r="C377" s="26" t="n">
        <v>45808</v>
      </c>
      <c r="D377" s="7" t="s">
        <v>336</v>
      </c>
      <c r="E377" s="7" t="s">
        <v>337</v>
      </c>
      <c r="F377" s="7" t="s">
        <v>219</v>
      </c>
      <c r="G377" s="7" t="s">
        <v>206</v>
      </c>
      <c r="H377" s="7" t="s">
        <v>207</v>
      </c>
      <c r="I377" s="7" t="s">
        <v>192</v>
      </c>
      <c r="J377" s="7" t="s">
        <v>502</v>
      </c>
      <c r="K377" s="7" t="s">
        <v>503</v>
      </c>
      <c r="L377" s="7" t="s">
        <v>504</v>
      </c>
      <c r="M377" s="7" t="n">
        <v>1</v>
      </c>
      <c r="N377" s="27" t="n">
        <v>3499</v>
      </c>
      <c r="O377" s="28" t="n">
        <v>0.1</v>
      </c>
      <c r="P377" s="27" t="n">
        <v>3149</v>
      </c>
      <c r="Q377" s="27" t="n">
        <v>2500</v>
      </c>
      <c r="R377" s="27" t="n">
        <v>649</v>
      </c>
      <c r="S377" s="7" t="s">
        <v>60</v>
      </c>
      <c r="T377" s="7" t="str">
        <f aca="false">IF(O377=0,"No discount",IF(O377&lt;=0.2,"Up to 20%","Above 20%"))</f>
        <v>Up to 20%</v>
      </c>
    </row>
    <row r="378" customFormat="false" ht="15" hidden="false" customHeight="true" outlineLevel="0" collapsed="false">
      <c r="A378" s="7" t="s">
        <v>977</v>
      </c>
      <c r="B378" s="26" t="n">
        <v>45803</v>
      </c>
      <c r="C378" s="26" t="n">
        <v>45806</v>
      </c>
      <c r="D378" s="7" t="s">
        <v>978</v>
      </c>
      <c r="E378" s="7" t="s">
        <v>979</v>
      </c>
      <c r="F378" s="7" t="s">
        <v>159</v>
      </c>
      <c r="G378" s="7" t="s">
        <v>160</v>
      </c>
      <c r="H378" s="7" t="s">
        <v>269</v>
      </c>
      <c r="I378" s="7" t="s">
        <v>192</v>
      </c>
      <c r="J378" s="7" t="s">
        <v>193</v>
      </c>
      <c r="K378" s="7" t="s">
        <v>194</v>
      </c>
      <c r="L378" s="7" t="s">
        <v>195</v>
      </c>
      <c r="M378" s="7" t="n">
        <v>2</v>
      </c>
      <c r="N378" s="27" t="n">
        <v>8999</v>
      </c>
      <c r="O378" s="28" t="n">
        <v>0.2</v>
      </c>
      <c r="P378" s="27" t="n">
        <v>14398</v>
      </c>
      <c r="Q378" s="27" t="n">
        <v>13600</v>
      </c>
      <c r="R378" s="27" t="n">
        <v>798</v>
      </c>
      <c r="S378" s="7" t="s">
        <v>60</v>
      </c>
      <c r="T378" s="7" t="str">
        <f aca="false">IF(O378=0,"No discount",IF(O378&lt;=0.2,"Up to 20%","Above 20%"))</f>
        <v>Up to 20%</v>
      </c>
    </row>
    <row r="379" customFormat="false" ht="15" hidden="false" customHeight="true" outlineLevel="0" collapsed="false">
      <c r="A379" s="7" t="s">
        <v>980</v>
      </c>
      <c r="B379" s="26" t="n">
        <v>45803</v>
      </c>
      <c r="C379" s="26" t="n">
        <v>45809</v>
      </c>
      <c r="D379" s="7" t="s">
        <v>517</v>
      </c>
      <c r="E379" s="7" t="s">
        <v>518</v>
      </c>
      <c r="F379" s="7" t="s">
        <v>159</v>
      </c>
      <c r="G379" s="7" t="s">
        <v>206</v>
      </c>
      <c r="H379" s="7" t="s">
        <v>207</v>
      </c>
      <c r="I379" s="7" t="s">
        <v>199</v>
      </c>
      <c r="J379" s="7" t="s">
        <v>200</v>
      </c>
      <c r="K379" s="7" t="s">
        <v>201</v>
      </c>
      <c r="L379" s="7" t="s">
        <v>202</v>
      </c>
      <c r="M379" s="7" t="n">
        <v>1</v>
      </c>
      <c r="N379" s="27" t="n">
        <v>399</v>
      </c>
      <c r="O379" s="28" t="n">
        <v>0.15</v>
      </c>
      <c r="P379" s="27" t="n">
        <v>339</v>
      </c>
      <c r="Q379" s="27" t="n">
        <v>160</v>
      </c>
      <c r="R379" s="27" t="n">
        <v>179</v>
      </c>
      <c r="S379" s="7" t="s">
        <v>60</v>
      </c>
      <c r="T379" s="7" t="str">
        <f aca="false">IF(O379=0,"No discount",IF(O379&lt;=0.2,"Up to 20%","Above 20%"))</f>
        <v>Up to 20%</v>
      </c>
    </row>
    <row r="380" customFormat="false" ht="15" hidden="false" customHeight="true" outlineLevel="0" collapsed="false">
      <c r="A380" s="7" t="s">
        <v>981</v>
      </c>
      <c r="B380" s="26" t="n">
        <v>45803</v>
      </c>
      <c r="C380" s="26" t="n">
        <v>45805</v>
      </c>
      <c r="D380" s="7" t="s">
        <v>982</v>
      </c>
      <c r="E380" s="7" t="s">
        <v>983</v>
      </c>
      <c r="F380" s="7" t="s">
        <v>219</v>
      </c>
      <c r="G380" s="7" t="s">
        <v>169</v>
      </c>
      <c r="H380" s="7" t="s">
        <v>170</v>
      </c>
      <c r="I380" s="7" t="s">
        <v>171</v>
      </c>
      <c r="J380" s="7" t="s">
        <v>304</v>
      </c>
      <c r="K380" s="7" t="s">
        <v>499</v>
      </c>
      <c r="L380" s="7" t="s">
        <v>500</v>
      </c>
      <c r="M380" s="7" t="n">
        <v>4</v>
      </c>
      <c r="N380" s="27" t="n">
        <v>5499</v>
      </c>
      <c r="O380" s="28" t="n">
        <v>0.05</v>
      </c>
      <c r="P380" s="27" t="n">
        <v>20896</v>
      </c>
      <c r="Q380" s="27" t="n">
        <v>15600</v>
      </c>
      <c r="R380" s="27" t="n">
        <v>5296</v>
      </c>
      <c r="S380" s="7" t="s">
        <v>60</v>
      </c>
      <c r="T380" s="7" t="str">
        <f aca="false">IF(O380=0,"No discount",IF(O380&lt;=0.2,"Up to 20%","Above 20%"))</f>
        <v>Up to 20%</v>
      </c>
    </row>
    <row r="381" customFormat="false" ht="15" hidden="false" customHeight="true" outlineLevel="0" collapsed="false">
      <c r="A381" s="7" t="s">
        <v>984</v>
      </c>
      <c r="B381" s="26" t="n">
        <v>45803</v>
      </c>
      <c r="C381" s="26" t="n">
        <v>45809</v>
      </c>
      <c r="D381" s="7" t="s">
        <v>985</v>
      </c>
      <c r="E381" s="7" t="s">
        <v>986</v>
      </c>
      <c r="F381" s="7" t="s">
        <v>159</v>
      </c>
      <c r="G381" s="7" t="s">
        <v>169</v>
      </c>
      <c r="H381" s="7" t="s">
        <v>191</v>
      </c>
      <c r="I381" s="7" t="s">
        <v>192</v>
      </c>
      <c r="J381" s="7" t="s">
        <v>213</v>
      </c>
      <c r="K381" s="7" t="s">
        <v>214</v>
      </c>
      <c r="L381" s="7" t="s">
        <v>215</v>
      </c>
      <c r="M381" s="7" t="n">
        <v>1</v>
      </c>
      <c r="N381" s="27" t="n">
        <v>5999</v>
      </c>
      <c r="O381" s="28" t="n">
        <v>0.2</v>
      </c>
      <c r="P381" s="27" t="n">
        <v>4799</v>
      </c>
      <c r="Q381" s="27" t="n">
        <v>4600</v>
      </c>
      <c r="R381" s="27" t="n">
        <v>199</v>
      </c>
      <c r="S381" s="7" t="s">
        <v>60</v>
      </c>
      <c r="T381" s="7" t="str">
        <f aca="false">IF(O381=0,"No discount",IF(O381&lt;=0.2,"Up to 20%","Above 20%"))</f>
        <v>Up to 20%</v>
      </c>
    </row>
    <row r="382" customFormat="false" ht="15" hidden="false" customHeight="true" outlineLevel="0" collapsed="false">
      <c r="A382" s="7" t="s">
        <v>987</v>
      </c>
      <c r="B382" s="26" t="n">
        <v>45803</v>
      </c>
      <c r="C382" s="26" t="n">
        <v>45806</v>
      </c>
      <c r="D382" s="7" t="s">
        <v>988</v>
      </c>
      <c r="E382" s="7" t="s">
        <v>989</v>
      </c>
      <c r="F382" s="7" t="s">
        <v>159</v>
      </c>
      <c r="G382" s="7" t="s">
        <v>160</v>
      </c>
      <c r="H382" s="7" t="s">
        <v>269</v>
      </c>
      <c r="I382" s="7" t="s">
        <v>199</v>
      </c>
      <c r="J382" s="7" t="s">
        <v>292</v>
      </c>
      <c r="K382" s="7" t="s">
        <v>293</v>
      </c>
      <c r="L382" s="7" t="s">
        <v>294</v>
      </c>
      <c r="M382" s="7" t="n">
        <v>2</v>
      </c>
      <c r="N382" s="27" t="n">
        <v>1599</v>
      </c>
      <c r="O382" s="28" t="n">
        <v>0.3</v>
      </c>
      <c r="P382" s="27" t="n">
        <v>2239</v>
      </c>
      <c r="Q382" s="27" t="n">
        <v>1500</v>
      </c>
      <c r="R382" s="27" t="n">
        <v>739</v>
      </c>
      <c r="S382" s="7" t="s">
        <v>60</v>
      </c>
      <c r="T382" s="7" t="str">
        <f aca="false">IF(O382=0,"No discount",IF(O382&lt;=0.2,"Up to 20%","Above 20%"))</f>
        <v>Above 20%</v>
      </c>
    </row>
    <row r="383" customFormat="false" ht="15" hidden="false" customHeight="true" outlineLevel="0" collapsed="false">
      <c r="A383" s="7" t="s">
        <v>990</v>
      </c>
      <c r="B383" s="26" t="n">
        <v>45803</v>
      </c>
      <c r="C383" s="26" t="n">
        <v>45806</v>
      </c>
      <c r="D383" s="7" t="s">
        <v>330</v>
      </c>
      <c r="E383" s="7" t="s">
        <v>331</v>
      </c>
      <c r="F383" s="7" t="s">
        <v>219</v>
      </c>
      <c r="G383" s="7" t="s">
        <v>206</v>
      </c>
      <c r="H383" s="7" t="s">
        <v>207</v>
      </c>
      <c r="I383" s="7" t="s">
        <v>171</v>
      </c>
      <c r="J383" s="7" t="s">
        <v>172</v>
      </c>
      <c r="K383" s="7" t="s">
        <v>173</v>
      </c>
      <c r="L383" s="7" t="s">
        <v>174</v>
      </c>
      <c r="M383" s="7" t="n">
        <v>2</v>
      </c>
      <c r="N383" s="27" t="n">
        <v>699</v>
      </c>
      <c r="O383" s="28" t="n">
        <v>0.05</v>
      </c>
      <c r="P383" s="27" t="n">
        <v>1328</v>
      </c>
      <c r="Q383" s="27" t="n">
        <v>640</v>
      </c>
      <c r="R383" s="27" t="n">
        <v>688</v>
      </c>
      <c r="S383" s="7" t="s">
        <v>60</v>
      </c>
      <c r="T383" s="7" t="str">
        <f aca="false">IF(O383=0,"No discount",IF(O383&lt;=0.2,"Up to 20%","Above 20%"))</f>
        <v>Up to 20%</v>
      </c>
    </row>
    <row r="384" customFormat="false" ht="15" hidden="false" customHeight="true" outlineLevel="0" collapsed="false">
      <c r="A384" s="7" t="s">
        <v>991</v>
      </c>
      <c r="B384" s="26" t="n">
        <v>45804</v>
      </c>
      <c r="C384" s="26" t="n">
        <v>45807</v>
      </c>
      <c r="D384" s="7" t="s">
        <v>781</v>
      </c>
      <c r="E384" s="7" t="s">
        <v>782</v>
      </c>
      <c r="F384" s="7" t="s">
        <v>219</v>
      </c>
      <c r="G384" s="7" t="s">
        <v>160</v>
      </c>
      <c r="H384" s="7" t="s">
        <v>269</v>
      </c>
      <c r="I384" s="7" t="s">
        <v>199</v>
      </c>
      <c r="J384" s="7" t="s">
        <v>398</v>
      </c>
      <c r="K384" s="7" t="s">
        <v>399</v>
      </c>
      <c r="L384" s="7" t="s">
        <v>400</v>
      </c>
      <c r="M384" s="7" t="n">
        <v>3</v>
      </c>
      <c r="N384" s="27" t="n">
        <v>749</v>
      </c>
      <c r="O384" s="28" t="n">
        <v>0.1</v>
      </c>
      <c r="P384" s="27" t="n">
        <v>2022</v>
      </c>
      <c r="Q384" s="27" t="n">
        <v>1050</v>
      </c>
      <c r="R384" s="27" t="n">
        <v>972</v>
      </c>
      <c r="S384" s="7" t="s">
        <v>60</v>
      </c>
      <c r="T384" s="7" t="str">
        <f aca="false">IF(O384=0,"No discount",IF(O384&lt;=0.2,"Up to 20%","Above 20%"))</f>
        <v>Up to 20%</v>
      </c>
    </row>
    <row r="385" customFormat="false" ht="15" hidden="false" customHeight="true" outlineLevel="0" collapsed="false">
      <c r="A385" s="7" t="s">
        <v>992</v>
      </c>
      <c r="B385" s="26" t="n">
        <v>45804</v>
      </c>
      <c r="C385" s="26" t="n">
        <v>45808</v>
      </c>
      <c r="D385" s="7" t="s">
        <v>993</v>
      </c>
      <c r="E385" s="7" t="s">
        <v>994</v>
      </c>
      <c r="F385" s="7" t="s">
        <v>219</v>
      </c>
      <c r="G385" s="7" t="s">
        <v>160</v>
      </c>
      <c r="H385" s="7" t="s">
        <v>263</v>
      </c>
      <c r="I385" s="7" t="s">
        <v>162</v>
      </c>
      <c r="J385" s="7" t="s">
        <v>163</v>
      </c>
      <c r="K385" s="7" t="s">
        <v>164</v>
      </c>
      <c r="L385" s="7" t="s">
        <v>165</v>
      </c>
      <c r="M385" s="7" t="n">
        <v>1</v>
      </c>
      <c r="N385" s="27" t="n">
        <v>1999</v>
      </c>
      <c r="O385" s="28" t="n">
        <v>0.5</v>
      </c>
      <c r="P385" s="27" t="n">
        <v>1000</v>
      </c>
      <c r="Q385" s="27" t="n">
        <v>1050</v>
      </c>
      <c r="R385" s="27" t="n">
        <v>-50</v>
      </c>
      <c r="S385" s="7" t="s">
        <v>60</v>
      </c>
      <c r="T385" s="7" t="str">
        <f aca="false">IF(O385=0,"No discount",IF(O385&lt;=0.2,"Up to 20%","Above 20%"))</f>
        <v>Above 20%</v>
      </c>
    </row>
    <row r="386" customFormat="false" ht="15" hidden="false" customHeight="true" outlineLevel="0" collapsed="false">
      <c r="A386" s="7" t="s">
        <v>995</v>
      </c>
      <c r="B386" s="26" t="n">
        <v>45804</v>
      </c>
      <c r="C386" s="26" t="n">
        <v>45808</v>
      </c>
      <c r="D386" s="7" t="s">
        <v>462</v>
      </c>
      <c r="E386" s="7" t="s">
        <v>463</v>
      </c>
      <c r="F386" s="7" t="s">
        <v>159</v>
      </c>
      <c r="G386" s="7" t="s">
        <v>169</v>
      </c>
      <c r="H386" s="7" t="s">
        <v>191</v>
      </c>
      <c r="I386" s="7" t="s">
        <v>282</v>
      </c>
      <c r="J386" s="7" t="s">
        <v>387</v>
      </c>
      <c r="K386" s="7" t="s">
        <v>388</v>
      </c>
      <c r="L386" s="7" t="s">
        <v>389</v>
      </c>
      <c r="M386" s="7" t="n">
        <v>8</v>
      </c>
      <c r="N386" s="27" t="n">
        <v>1299</v>
      </c>
      <c r="O386" s="28" t="n">
        <v>0</v>
      </c>
      <c r="P386" s="27" t="n">
        <v>10392</v>
      </c>
      <c r="Q386" s="27" t="n">
        <v>6240</v>
      </c>
      <c r="R386" s="27" t="n">
        <v>4152</v>
      </c>
      <c r="S386" s="7" t="s">
        <v>47</v>
      </c>
      <c r="T386" s="7" t="str">
        <f aca="false">IF(O386=0,"No discount",IF(O386&lt;=0.2,"Up to 20%","Above 20%"))</f>
        <v>No discount</v>
      </c>
    </row>
    <row r="387" customFormat="false" ht="15" hidden="false" customHeight="true" outlineLevel="0" collapsed="false">
      <c r="A387" s="7" t="s">
        <v>996</v>
      </c>
      <c r="B387" s="26" t="n">
        <v>45805</v>
      </c>
      <c r="C387" s="26" t="n">
        <v>45810</v>
      </c>
      <c r="D387" s="7" t="s">
        <v>947</v>
      </c>
      <c r="E387" s="7" t="s">
        <v>948</v>
      </c>
      <c r="F387" s="7" t="s">
        <v>159</v>
      </c>
      <c r="G387" s="7" t="s">
        <v>160</v>
      </c>
      <c r="H387" s="7" t="s">
        <v>269</v>
      </c>
      <c r="I387" s="7" t="s">
        <v>208</v>
      </c>
      <c r="J387" s="7" t="s">
        <v>209</v>
      </c>
      <c r="K387" s="7" t="s">
        <v>637</v>
      </c>
      <c r="L387" s="7" t="s">
        <v>638</v>
      </c>
      <c r="M387" s="7" t="n">
        <v>1</v>
      </c>
      <c r="N387" s="27" t="n">
        <v>899</v>
      </c>
      <c r="O387" s="28" t="n">
        <v>0</v>
      </c>
      <c r="P387" s="27" t="n">
        <v>899</v>
      </c>
      <c r="Q387" s="27" t="n">
        <v>480</v>
      </c>
      <c r="R387" s="27" t="n">
        <v>419</v>
      </c>
      <c r="S387" s="7" t="s">
        <v>60</v>
      </c>
      <c r="T387" s="7" t="str">
        <f aca="false">IF(O387=0,"No discount",IF(O387&lt;=0.2,"Up to 20%","Above 20%"))</f>
        <v>No discount</v>
      </c>
    </row>
    <row r="388" customFormat="false" ht="15" hidden="false" customHeight="true" outlineLevel="0" collapsed="false">
      <c r="A388" s="7" t="s">
        <v>997</v>
      </c>
      <c r="B388" s="26" t="n">
        <v>45805</v>
      </c>
      <c r="C388" s="26" t="n">
        <v>45811</v>
      </c>
      <c r="D388" s="7" t="s">
        <v>258</v>
      </c>
      <c r="E388" s="7" t="s">
        <v>259</v>
      </c>
      <c r="F388" s="7" t="s">
        <v>159</v>
      </c>
      <c r="G388" s="7" t="s">
        <v>206</v>
      </c>
      <c r="H388" s="7" t="s">
        <v>207</v>
      </c>
      <c r="I388" s="7" t="s">
        <v>192</v>
      </c>
      <c r="J388" s="7" t="s">
        <v>502</v>
      </c>
      <c r="K388" s="7" t="s">
        <v>526</v>
      </c>
      <c r="L388" s="7" t="s">
        <v>527</v>
      </c>
      <c r="M388" s="7" t="n">
        <v>3</v>
      </c>
      <c r="N388" s="27" t="n">
        <v>6499</v>
      </c>
      <c r="O388" s="28" t="n">
        <v>0.1</v>
      </c>
      <c r="P388" s="27" t="n">
        <v>17547</v>
      </c>
      <c r="Q388" s="27" t="n">
        <v>15000</v>
      </c>
      <c r="R388" s="27" t="n">
        <v>2547</v>
      </c>
      <c r="S388" s="7" t="s">
        <v>60</v>
      </c>
      <c r="T388" s="7" t="str">
        <f aca="false">IF(O388=0,"No discount",IF(O388&lt;=0.2,"Up to 20%","Above 20%"))</f>
        <v>Up to 20%</v>
      </c>
    </row>
    <row r="389" customFormat="false" ht="15" hidden="false" customHeight="true" outlineLevel="0" collapsed="false">
      <c r="A389" s="7" t="s">
        <v>998</v>
      </c>
      <c r="B389" s="26" t="n">
        <v>45805</v>
      </c>
      <c r="C389" s="26" t="n">
        <v>45810</v>
      </c>
      <c r="D389" s="7" t="s">
        <v>999</v>
      </c>
      <c r="E389" s="7" t="s">
        <v>1000</v>
      </c>
      <c r="F389" s="7" t="s">
        <v>219</v>
      </c>
      <c r="G389" s="7" t="s">
        <v>160</v>
      </c>
      <c r="H389" s="7" t="s">
        <v>161</v>
      </c>
      <c r="I389" s="7" t="s">
        <v>282</v>
      </c>
      <c r="J389" s="7" t="s">
        <v>387</v>
      </c>
      <c r="K389" s="7" t="s">
        <v>691</v>
      </c>
      <c r="L389" s="7" t="s">
        <v>692</v>
      </c>
      <c r="M389" s="7" t="n">
        <v>1</v>
      </c>
      <c r="N389" s="27" t="n">
        <v>499</v>
      </c>
      <c r="O389" s="28" t="n">
        <v>0.05</v>
      </c>
      <c r="P389" s="27" t="n">
        <v>474</v>
      </c>
      <c r="Q389" s="27" t="n">
        <v>260</v>
      </c>
      <c r="R389" s="27" t="n">
        <v>214</v>
      </c>
      <c r="S389" s="7" t="s">
        <v>60</v>
      </c>
      <c r="T389" s="7" t="str">
        <f aca="false">IF(O389=0,"No discount",IF(O389&lt;=0.2,"Up to 20%","Above 20%"))</f>
        <v>Up to 20%</v>
      </c>
    </row>
    <row r="390" customFormat="false" ht="15" hidden="false" customHeight="true" outlineLevel="0" collapsed="false">
      <c r="A390" s="7" t="s">
        <v>1001</v>
      </c>
      <c r="B390" s="26" t="n">
        <v>45805</v>
      </c>
      <c r="C390" s="26" t="n">
        <v>45810</v>
      </c>
      <c r="D390" s="7" t="s">
        <v>675</v>
      </c>
      <c r="E390" s="7" t="s">
        <v>676</v>
      </c>
      <c r="F390" s="7" t="s">
        <v>159</v>
      </c>
      <c r="G390" s="7" t="s">
        <v>169</v>
      </c>
      <c r="H390" s="7" t="s">
        <v>170</v>
      </c>
      <c r="I390" s="7" t="s">
        <v>208</v>
      </c>
      <c r="J390" s="7" t="s">
        <v>232</v>
      </c>
      <c r="K390" s="7" t="s">
        <v>233</v>
      </c>
      <c r="L390" s="7" t="s">
        <v>234</v>
      </c>
      <c r="M390" s="7" t="n">
        <v>4</v>
      </c>
      <c r="N390" s="27" t="n">
        <v>7999</v>
      </c>
      <c r="O390" s="28" t="n">
        <v>0.05</v>
      </c>
      <c r="P390" s="27" t="n">
        <v>30396</v>
      </c>
      <c r="Q390" s="27" t="n">
        <v>22400</v>
      </c>
      <c r="R390" s="27" t="n">
        <v>7996</v>
      </c>
      <c r="S390" s="7" t="s">
        <v>60</v>
      </c>
      <c r="T390" s="7" t="str">
        <f aca="false">IF(O390=0,"No discount",IF(O390&lt;=0.2,"Up to 20%","Above 20%"))</f>
        <v>Up to 20%</v>
      </c>
    </row>
    <row r="391" customFormat="false" ht="15" hidden="false" customHeight="true" outlineLevel="0" collapsed="false">
      <c r="A391" s="7" t="s">
        <v>1002</v>
      </c>
      <c r="B391" s="26" t="n">
        <v>45806</v>
      </c>
      <c r="C391" s="26" t="n">
        <v>45812</v>
      </c>
      <c r="D391" s="7" t="s">
        <v>1003</v>
      </c>
      <c r="E391" s="7" t="s">
        <v>1004</v>
      </c>
      <c r="F391" s="7" t="s">
        <v>159</v>
      </c>
      <c r="G391" s="7" t="s">
        <v>206</v>
      </c>
      <c r="H391" s="7" t="s">
        <v>207</v>
      </c>
      <c r="I391" s="7" t="s">
        <v>162</v>
      </c>
      <c r="J391" s="7" t="s">
        <v>251</v>
      </c>
      <c r="K391" s="7" t="s">
        <v>252</v>
      </c>
      <c r="L391" s="7" t="s">
        <v>253</v>
      </c>
      <c r="M391" s="7" t="n">
        <v>1</v>
      </c>
      <c r="N391" s="27" t="n">
        <v>3999</v>
      </c>
      <c r="O391" s="28" t="n">
        <v>0</v>
      </c>
      <c r="P391" s="27" t="n">
        <v>3999</v>
      </c>
      <c r="Q391" s="27" t="n">
        <v>2400</v>
      </c>
      <c r="R391" s="27" t="n">
        <v>1599</v>
      </c>
      <c r="S391" s="7" t="s">
        <v>60</v>
      </c>
      <c r="T391" s="7" t="str">
        <f aca="false">IF(O391=0,"No discount",IF(O391&lt;=0.2,"Up to 20%","Above 20%"))</f>
        <v>No discount</v>
      </c>
    </row>
    <row r="392" customFormat="false" ht="15" hidden="false" customHeight="true" outlineLevel="0" collapsed="false">
      <c r="A392" s="7" t="s">
        <v>1005</v>
      </c>
      <c r="B392" s="26" t="n">
        <v>45806</v>
      </c>
      <c r="C392" s="26" t="n">
        <v>45808</v>
      </c>
      <c r="D392" s="7" t="s">
        <v>1006</v>
      </c>
      <c r="E392" s="7" t="s">
        <v>1007</v>
      </c>
      <c r="F392" s="7" t="s">
        <v>159</v>
      </c>
      <c r="G392" s="7" t="s">
        <v>160</v>
      </c>
      <c r="H392" s="7" t="s">
        <v>269</v>
      </c>
      <c r="I392" s="7" t="s">
        <v>162</v>
      </c>
      <c r="J392" s="7" t="s">
        <v>163</v>
      </c>
      <c r="K392" s="7" t="s">
        <v>164</v>
      </c>
      <c r="L392" s="7" t="s">
        <v>165</v>
      </c>
      <c r="M392" s="7" t="n">
        <v>3</v>
      </c>
      <c r="N392" s="27" t="n">
        <v>1999</v>
      </c>
      <c r="O392" s="28" t="n">
        <v>0.5</v>
      </c>
      <c r="P392" s="27" t="n">
        <v>2998</v>
      </c>
      <c r="Q392" s="27" t="n">
        <v>3150</v>
      </c>
      <c r="R392" s="27" t="n">
        <v>-152</v>
      </c>
      <c r="S392" s="7" t="s">
        <v>60</v>
      </c>
      <c r="T392" s="7" t="str">
        <f aca="false">IF(O392=0,"No discount",IF(O392&lt;=0.2,"Up to 20%","Above 20%"))</f>
        <v>Above 20%</v>
      </c>
    </row>
    <row r="393" customFormat="false" ht="15" hidden="false" customHeight="true" outlineLevel="0" collapsed="false">
      <c r="A393" s="7" t="s">
        <v>1008</v>
      </c>
      <c r="B393" s="26" t="n">
        <v>45806</v>
      </c>
      <c r="C393" s="26" t="n">
        <v>45808</v>
      </c>
      <c r="D393" s="7" t="s">
        <v>896</v>
      </c>
      <c r="E393" s="7" t="s">
        <v>897</v>
      </c>
      <c r="F393" s="7" t="s">
        <v>159</v>
      </c>
      <c r="G393" s="7" t="s">
        <v>160</v>
      </c>
      <c r="H393" s="7" t="s">
        <v>269</v>
      </c>
      <c r="I393" s="7" t="s">
        <v>199</v>
      </c>
      <c r="J393" s="7" t="s">
        <v>200</v>
      </c>
      <c r="K393" s="7" t="s">
        <v>201</v>
      </c>
      <c r="L393" s="7" t="s">
        <v>202</v>
      </c>
      <c r="M393" s="7" t="n">
        <v>1</v>
      </c>
      <c r="N393" s="27" t="n">
        <v>399</v>
      </c>
      <c r="O393" s="28" t="n">
        <v>0.3</v>
      </c>
      <c r="P393" s="27" t="n">
        <v>279</v>
      </c>
      <c r="Q393" s="27" t="n">
        <v>160</v>
      </c>
      <c r="R393" s="27" t="n">
        <v>119</v>
      </c>
      <c r="S393" s="7" t="s">
        <v>60</v>
      </c>
      <c r="T393" s="7" t="str">
        <f aca="false">IF(O393=0,"No discount",IF(O393&lt;=0.2,"Up to 20%","Above 20%"))</f>
        <v>Above 20%</v>
      </c>
    </row>
    <row r="394" customFormat="false" ht="15" hidden="false" customHeight="true" outlineLevel="0" collapsed="false">
      <c r="A394" s="7" t="s">
        <v>1009</v>
      </c>
      <c r="B394" s="26" t="n">
        <v>45806</v>
      </c>
      <c r="C394" s="26" t="n">
        <v>45809</v>
      </c>
      <c r="D394" s="7" t="s">
        <v>530</v>
      </c>
      <c r="E394" s="7" t="s">
        <v>531</v>
      </c>
      <c r="F394" s="7" t="s">
        <v>159</v>
      </c>
      <c r="G394" s="7" t="s">
        <v>169</v>
      </c>
      <c r="H394" s="7" t="s">
        <v>179</v>
      </c>
      <c r="I394" s="7" t="s">
        <v>171</v>
      </c>
      <c r="J394" s="7" t="s">
        <v>172</v>
      </c>
      <c r="K394" s="7" t="s">
        <v>593</v>
      </c>
      <c r="L394" s="7" t="s">
        <v>594</v>
      </c>
      <c r="M394" s="7" t="n">
        <v>1</v>
      </c>
      <c r="N394" s="27" t="n">
        <v>1199</v>
      </c>
      <c r="O394" s="28" t="n">
        <v>0.2</v>
      </c>
      <c r="P394" s="27" t="n">
        <v>959</v>
      </c>
      <c r="Q394" s="27" t="n">
        <v>650</v>
      </c>
      <c r="R394" s="27" t="n">
        <v>309</v>
      </c>
      <c r="S394" s="7" t="s">
        <v>60</v>
      </c>
      <c r="T394" s="7" t="str">
        <f aca="false">IF(O394=0,"No discount",IF(O394&lt;=0.2,"Up to 20%","Above 20%"))</f>
        <v>Up to 20%</v>
      </c>
    </row>
    <row r="395" customFormat="false" ht="15" hidden="false" customHeight="true" outlineLevel="0" collapsed="false">
      <c r="A395" s="7" t="s">
        <v>1010</v>
      </c>
      <c r="B395" s="26" t="n">
        <v>45807</v>
      </c>
      <c r="C395" s="26" t="n">
        <v>45811</v>
      </c>
      <c r="D395" s="7" t="s">
        <v>345</v>
      </c>
      <c r="E395" s="7" t="s">
        <v>346</v>
      </c>
      <c r="F395" s="7" t="s">
        <v>159</v>
      </c>
      <c r="G395" s="7" t="s">
        <v>160</v>
      </c>
      <c r="H395" s="7" t="s">
        <v>161</v>
      </c>
      <c r="I395" s="7" t="s">
        <v>208</v>
      </c>
      <c r="J395" s="7" t="s">
        <v>232</v>
      </c>
      <c r="K395" s="7" t="s">
        <v>1011</v>
      </c>
      <c r="L395" s="7" t="s">
        <v>1012</v>
      </c>
      <c r="M395" s="7" t="n">
        <v>1</v>
      </c>
      <c r="N395" s="27" t="n">
        <v>2499</v>
      </c>
      <c r="O395" s="28" t="n">
        <v>0.1</v>
      </c>
      <c r="P395" s="27" t="n">
        <v>2249</v>
      </c>
      <c r="Q395" s="27" t="n">
        <v>1500</v>
      </c>
      <c r="R395" s="27" t="n">
        <v>749</v>
      </c>
      <c r="S395" s="7" t="s">
        <v>60</v>
      </c>
      <c r="T395" s="7" t="str">
        <f aca="false">IF(O395=0,"No discount",IF(O395&lt;=0.2,"Up to 20%","Above 20%"))</f>
        <v>Up to 20%</v>
      </c>
    </row>
    <row r="396" customFormat="false" ht="15" hidden="false" customHeight="true" outlineLevel="0" collapsed="false">
      <c r="A396" s="7" t="s">
        <v>1013</v>
      </c>
      <c r="B396" s="26" t="n">
        <v>45807</v>
      </c>
      <c r="C396" s="26" t="n">
        <v>45810</v>
      </c>
      <c r="D396" s="7" t="s">
        <v>330</v>
      </c>
      <c r="E396" s="7" t="s">
        <v>331</v>
      </c>
      <c r="F396" s="7" t="s">
        <v>219</v>
      </c>
      <c r="G396" s="7" t="s">
        <v>206</v>
      </c>
      <c r="H396" s="7" t="s">
        <v>207</v>
      </c>
      <c r="I396" s="7" t="s">
        <v>162</v>
      </c>
      <c r="J396" s="7" t="s">
        <v>185</v>
      </c>
      <c r="K396" s="7" t="s">
        <v>186</v>
      </c>
      <c r="L396" s="7" t="s">
        <v>187</v>
      </c>
      <c r="M396" s="7" t="n">
        <v>1</v>
      </c>
      <c r="N396" s="27" t="n">
        <v>3299</v>
      </c>
      <c r="O396" s="28" t="n">
        <v>0.2</v>
      </c>
      <c r="P396" s="27" t="n">
        <v>2639</v>
      </c>
      <c r="Q396" s="27" t="n">
        <v>1900</v>
      </c>
      <c r="R396" s="27" t="n">
        <v>739</v>
      </c>
      <c r="S396" s="7" t="s">
        <v>60</v>
      </c>
      <c r="T396" s="7" t="str">
        <f aca="false">IF(O396=0,"No discount",IF(O396&lt;=0.2,"Up to 20%","Above 20%"))</f>
        <v>Up to 20%</v>
      </c>
    </row>
    <row r="397" customFormat="false" ht="15" hidden="false" customHeight="true" outlineLevel="0" collapsed="false">
      <c r="A397" s="7" t="s">
        <v>1014</v>
      </c>
      <c r="B397" s="26" t="n">
        <v>45808</v>
      </c>
      <c r="C397" s="26" t="n">
        <v>45810</v>
      </c>
      <c r="D397" s="7" t="s">
        <v>357</v>
      </c>
      <c r="E397" s="7" t="s">
        <v>358</v>
      </c>
      <c r="F397" s="7" t="s">
        <v>219</v>
      </c>
      <c r="G397" s="7" t="s">
        <v>160</v>
      </c>
      <c r="H397" s="7" t="s">
        <v>161</v>
      </c>
      <c r="I397" s="7" t="s">
        <v>282</v>
      </c>
      <c r="J397" s="7" t="s">
        <v>387</v>
      </c>
      <c r="K397" s="7" t="s">
        <v>547</v>
      </c>
      <c r="L397" s="7" t="s">
        <v>548</v>
      </c>
      <c r="M397" s="7" t="n">
        <v>3</v>
      </c>
      <c r="N397" s="27" t="n">
        <v>249</v>
      </c>
      <c r="O397" s="28" t="n">
        <v>0</v>
      </c>
      <c r="P397" s="27" t="n">
        <v>747</v>
      </c>
      <c r="Q397" s="27" t="n">
        <v>360</v>
      </c>
      <c r="R397" s="27" t="n">
        <v>387</v>
      </c>
      <c r="S397" s="7" t="s">
        <v>60</v>
      </c>
      <c r="T397" s="7" t="str">
        <f aca="false">IF(O397=0,"No discount",IF(O397&lt;=0.2,"Up to 20%","Above 20%"))</f>
        <v>No discount</v>
      </c>
    </row>
    <row r="398" customFormat="false" ht="15" hidden="false" customHeight="true" outlineLevel="0" collapsed="false">
      <c r="A398" s="7" t="s">
        <v>1015</v>
      </c>
      <c r="B398" s="26" t="n">
        <v>45808</v>
      </c>
      <c r="C398" s="26" t="n">
        <v>45814</v>
      </c>
      <c r="D398" s="7" t="s">
        <v>167</v>
      </c>
      <c r="E398" s="7" t="s">
        <v>168</v>
      </c>
      <c r="F398" s="7" t="s">
        <v>159</v>
      </c>
      <c r="G398" s="7" t="s">
        <v>169</v>
      </c>
      <c r="H398" s="7" t="s">
        <v>170</v>
      </c>
      <c r="I398" s="7" t="s">
        <v>199</v>
      </c>
      <c r="J398" s="7" t="s">
        <v>223</v>
      </c>
      <c r="K398" s="7" t="s">
        <v>224</v>
      </c>
      <c r="L398" s="7" t="s">
        <v>225</v>
      </c>
      <c r="M398" s="7" t="n">
        <v>2</v>
      </c>
      <c r="N398" s="27" t="n">
        <v>899</v>
      </c>
      <c r="O398" s="28" t="n">
        <v>0.15</v>
      </c>
      <c r="P398" s="27" t="n">
        <v>1528</v>
      </c>
      <c r="Q398" s="27" t="n">
        <v>760</v>
      </c>
      <c r="R398" s="27" t="n">
        <v>768</v>
      </c>
      <c r="S398" s="7" t="s">
        <v>60</v>
      </c>
      <c r="T398" s="7" t="str">
        <f aca="false">IF(O398=0,"No discount",IF(O398&lt;=0.2,"Up to 20%","Above 20%"))</f>
        <v>Up to 20%</v>
      </c>
    </row>
    <row r="399" customFormat="false" ht="15" hidden="false" customHeight="true" outlineLevel="0" collapsed="false">
      <c r="A399" s="7" t="s">
        <v>1016</v>
      </c>
      <c r="B399" s="26" t="n">
        <v>45808</v>
      </c>
      <c r="C399" s="26" t="n">
        <v>45810</v>
      </c>
      <c r="D399" s="7" t="s">
        <v>330</v>
      </c>
      <c r="E399" s="7" t="s">
        <v>331</v>
      </c>
      <c r="F399" s="7" t="s">
        <v>219</v>
      </c>
      <c r="G399" s="7" t="s">
        <v>206</v>
      </c>
      <c r="H399" s="7" t="s">
        <v>207</v>
      </c>
      <c r="I399" s="7" t="s">
        <v>282</v>
      </c>
      <c r="J399" s="7" t="s">
        <v>387</v>
      </c>
      <c r="K399" s="7" t="s">
        <v>388</v>
      </c>
      <c r="L399" s="7" t="s">
        <v>389</v>
      </c>
      <c r="M399" s="7" t="n">
        <v>2</v>
      </c>
      <c r="N399" s="27" t="n">
        <v>1299</v>
      </c>
      <c r="O399" s="28" t="n">
        <v>0</v>
      </c>
      <c r="P399" s="27" t="n">
        <v>2598</v>
      </c>
      <c r="Q399" s="27" t="n">
        <v>1560</v>
      </c>
      <c r="R399" s="27" t="n">
        <v>1038</v>
      </c>
      <c r="S399" s="7" t="s">
        <v>60</v>
      </c>
      <c r="T399" s="7" t="str">
        <f aca="false">IF(O399=0,"No discount",IF(O399&lt;=0.2,"Up to 20%","Above 20%"))</f>
        <v>No discount</v>
      </c>
    </row>
    <row r="400" customFormat="false" ht="15" hidden="false" customHeight="true" outlineLevel="0" collapsed="false">
      <c r="A400" s="7" t="s">
        <v>1017</v>
      </c>
      <c r="B400" s="26" t="n">
        <v>45808</v>
      </c>
      <c r="C400" s="26" t="n">
        <v>45811</v>
      </c>
      <c r="D400" s="7" t="s">
        <v>496</v>
      </c>
      <c r="E400" s="7" t="s">
        <v>497</v>
      </c>
      <c r="F400" s="7" t="s">
        <v>178</v>
      </c>
      <c r="G400" s="7" t="s">
        <v>169</v>
      </c>
      <c r="H400" s="7" t="s">
        <v>179</v>
      </c>
      <c r="I400" s="7" t="s">
        <v>282</v>
      </c>
      <c r="J400" s="7" t="s">
        <v>387</v>
      </c>
      <c r="K400" s="7" t="s">
        <v>547</v>
      </c>
      <c r="L400" s="7" t="s">
        <v>548</v>
      </c>
      <c r="M400" s="7" t="n">
        <v>5</v>
      </c>
      <c r="N400" s="27" t="n">
        <v>249</v>
      </c>
      <c r="O400" s="28" t="n">
        <v>0</v>
      </c>
      <c r="P400" s="27" t="n">
        <v>1245</v>
      </c>
      <c r="Q400" s="27" t="n">
        <v>600</v>
      </c>
      <c r="R400" s="27" t="n">
        <v>645</v>
      </c>
      <c r="S400" s="7" t="s">
        <v>60</v>
      </c>
      <c r="T400" s="7" t="str">
        <f aca="false">IF(O400=0,"No discount",IF(O400&lt;=0.2,"Up to 20%","Above 20%"))</f>
        <v>No discount</v>
      </c>
    </row>
    <row r="401" customFormat="false" ht="15" hidden="false" customHeight="true" outlineLevel="0" collapsed="false">
      <c r="A401" s="7" t="s">
        <v>1018</v>
      </c>
      <c r="B401" s="26" t="n">
        <v>45809</v>
      </c>
      <c r="C401" s="26" t="n">
        <v>45810</v>
      </c>
      <c r="D401" s="7" t="s">
        <v>330</v>
      </c>
      <c r="E401" s="7" t="s">
        <v>331</v>
      </c>
      <c r="F401" s="7" t="s">
        <v>219</v>
      </c>
      <c r="G401" s="7" t="s">
        <v>206</v>
      </c>
      <c r="H401" s="7" t="s">
        <v>207</v>
      </c>
      <c r="I401" s="7" t="s">
        <v>208</v>
      </c>
      <c r="J401" s="7" t="s">
        <v>232</v>
      </c>
      <c r="K401" s="7" t="s">
        <v>233</v>
      </c>
      <c r="L401" s="7" t="s">
        <v>234</v>
      </c>
      <c r="M401" s="7" t="n">
        <v>1</v>
      </c>
      <c r="N401" s="27" t="n">
        <v>7999</v>
      </c>
      <c r="O401" s="28" t="n">
        <v>0</v>
      </c>
      <c r="P401" s="27" t="n">
        <v>7999</v>
      </c>
      <c r="Q401" s="27" t="n">
        <v>5600</v>
      </c>
      <c r="R401" s="27" t="n">
        <v>2399</v>
      </c>
      <c r="S401" s="7" t="s">
        <v>60</v>
      </c>
      <c r="T401" s="7" t="str">
        <f aca="false">IF(O401=0,"No discount",IF(O401&lt;=0.2,"Up to 20%","Above 20%"))</f>
        <v>No discount</v>
      </c>
    </row>
    <row r="402" customFormat="false" ht="15" hidden="false" customHeight="true" outlineLevel="0" collapsed="false">
      <c r="A402" s="7" t="s">
        <v>1019</v>
      </c>
      <c r="B402" s="26" t="n">
        <v>45809</v>
      </c>
      <c r="C402" s="26" t="n">
        <v>45816</v>
      </c>
      <c r="D402" s="7" t="s">
        <v>491</v>
      </c>
      <c r="E402" s="7" t="s">
        <v>492</v>
      </c>
      <c r="F402" s="7" t="s">
        <v>159</v>
      </c>
      <c r="G402" s="7" t="s">
        <v>169</v>
      </c>
      <c r="H402" s="7" t="s">
        <v>179</v>
      </c>
      <c r="I402" s="7" t="s">
        <v>208</v>
      </c>
      <c r="J402" s="7" t="s">
        <v>209</v>
      </c>
      <c r="K402" s="7" t="s">
        <v>210</v>
      </c>
      <c r="L402" s="7" t="s">
        <v>211</v>
      </c>
      <c r="M402" s="7" t="n">
        <v>1</v>
      </c>
      <c r="N402" s="27" t="n">
        <v>3499</v>
      </c>
      <c r="O402" s="28" t="n">
        <v>0.2</v>
      </c>
      <c r="P402" s="27" t="n">
        <v>2799</v>
      </c>
      <c r="Q402" s="27" t="n">
        <v>2200</v>
      </c>
      <c r="R402" s="27" t="n">
        <v>599</v>
      </c>
      <c r="S402" s="7" t="s">
        <v>60</v>
      </c>
      <c r="T402" s="7" t="str">
        <f aca="false">IF(O402=0,"No discount",IF(O402&lt;=0.2,"Up to 20%","Above 20%"))</f>
        <v>Up to 20%</v>
      </c>
    </row>
    <row r="403" customFormat="false" ht="15" hidden="false" customHeight="true" outlineLevel="0" collapsed="false">
      <c r="A403" s="7" t="s">
        <v>1020</v>
      </c>
      <c r="B403" s="26" t="n">
        <v>45809</v>
      </c>
      <c r="C403" s="26" t="n">
        <v>45812</v>
      </c>
      <c r="D403" s="7" t="s">
        <v>330</v>
      </c>
      <c r="E403" s="7" t="s">
        <v>331</v>
      </c>
      <c r="F403" s="7" t="s">
        <v>219</v>
      </c>
      <c r="G403" s="7" t="s">
        <v>206</v>
      </c>
      <c r="H403" s="7" t="s">
        <v>207</v>
      </c>
      <c r="I403" s="7" t="s">
        <v>192</v>
      </c>
      <c r="J403" s="7" t="s">
        <v>213</v>
      </c>
      <c r="K403" s="7" t="s">
        <v>214</v>
      </c>
      <c r="L403" s="7" t="s">
        <v>215</v>
      </c>
      <c r="M403" s="7" t="n">
        <v>4</v>
      </c>
      <c r="N403" s="27" t="n">
        <v>5999</v>
      </c>
      <c r="O403" s="28" t="n">
        <v>0.3</v>
      </c>
      <c r="P403" s="27" t="n">
        <v>16797</v>
      </c>
      <c r="Q403" s="27" t="n">
        <v>18400</v>
      </c>
      <c r="R403" s="27" t="n">
        <v>-1603</v>
      </c>
      <c r="S403" s="7" t="s">
        <v>60</v>
      </c>
      <c r="T403" s="7" t="str">
        <f aca="false">IF(O403=0,"No discount",IF(O403&lt;=0.2,"Up to 20%","Above 20%"))</f>
        <v>Above 20%</v>
      </c>
    </row>
    <row r="404" customFormat="false" ht="15" hidden="false" customHeight="true" outlineLevel="0" collapsed="false">
      <c r="A404" s="7" t="s">
        <v>1021</v>
      </c>
      <c r="B404" s="26" t="n">
        <v>45809</v>
      </c>
      <c r="C404" s="26" t="n">
        <v>45811</v>
      </c>
      <c r="D404" s="7" t="s">
        <v>357</v>
      </c>
      <c r="E404" s="7" t="s">
        <v>358</v>
      </c>
      <c r="F404" s="7" t="s">
        <v>219</v>
      </c>
      <c r="G404" s="7" t="s">
        <v>160</v>
      </c>
      <c r="H404" s="7" t="s">
        <v>161</v>
      </c>
      <c r="I404" s="7" t="s">
        <v>199</v>
      </c>
      <c r="J404" s="7" t="s">
        <v>292</v>
      </c>
      <c r="K404" s="7" t="s">
        <v>293</v>
      </c>
      <c r="L404" s="7" t="s">
        <v>294</v>
      </c>
      <c r="M404" s="7" t="n">
        <v>1</v>
      </c>
      <c r="N404" s="27" t="n">
        <v>1599</v>
      </c>
      <c r="O404" s="28" t="n">
        <v>0</v>
      </c>
      <c r="P404" s="27" t="n">
        <v>1599</v>
      </c>
      <c r="Q404" s="27" t="n">
        <v>750</v>
      </c>
      <c r="R404" s="27" t="n">
        <v>849</v>
      </c>
      <c r="S404" s="7" t="s">
        <v>60</v>
      </c>
      <c r="T404" s="7" t="str">
        <f aca="false">IF(O404=0,"No discount",IF(O404&lt;=0.2,"Up to 20%","Above 20%"))</f>
        <v>No discount</v>
      </c>
    </row>
    <row r="405" customFormat="false" ht="15" hidden="false" customHeight="true" outlineLevel="0" collapsed="false">
      <c r="A405" s="7" t="s">
        <v>1022</v>
      </c>
      <c r="B405" s="26" t="n">
        <v>45809</v>
      </c>
      <c r="C405" s="26" t="n">
        <v>45815</v>
      </c>
      <c r="D405" s="7" t="s">
        <v>372</v>
      </c>
      <c r="E405" s="7" t="s">
        <v>373</v>
      </c>
      <c r="F405" s="7" t="s">
        <v>219</v>
      </c>
      <c r="G405" s="7" t="s">
        <v>160</v>
      </c>
      <c r="H405" s="7" t="s">
        <v>269</v>
      </c>
      <c r="I405" s="7" t="s">
        <v>192</v>
      </c>
      <c r="J405" s="7" t="s">
        <v>502</v>
      </c>
      <c r="K405" s="7" t="s">
        <v>526</v>
      </c>
      <c r="L405" s="7" t="s">
        <v>527</v>
      </c>
      <c r="M405" s="7" t="n">
        <v>1</v>
      </c>
      <c r="N405" s="27" t="n">
        <v>6499</v>
      </c>
      <c r="O405" s="28" t="n">
        <v>0.2</v>
      </c>
      <c r="P405" s="27" t="n">
        <v>5199</v>
      </c>
      <c r="Q405" s="27" t="n">
        <v>5000</v>
      </c>
      <c r="R405" s="27" t="n">
        <v>199</v>
      </c>
      <c r="S405" s="7" t="s">
        <v>60</v>
      </c>
      <c r="T405" s="7" t="str">
        <f aca="false">IF(O405=0,"No discount",IF(O405&lt;=0.2,"Up to 20%","Above 20%"))</f>
        <v>Up to 20%</v>
      </c>
    </row>
    <row r="406" customFormat="false" ht="15" hidden="false" customHeight="true" outlineLevel="0" collapsed="false">
      <c r="A406" s="7" t="s">
        <v>1023</v>
      </c>
      <c r="B406" s="26" t="n">
        <v>45809</v>
      </c>
      <c r="C406" s="26" t="n">
        <v>45816</v>
      </c>
      <c r="D406" s="7" t="s">
        <v>351</v>
      </c>
      <c r="E406" s="7" t="s">
        <v>352</v>
      </c>
      <c r="F406" s="7" t="s">
        <v>178</v>
      </c>
      <c r="G406" s="7" t="s">
        <v>169</v>
      </c>
      <c r="H406" s="7" t="s">
        <v>179</v>
      </c>
      <c r="I406" s="7" t="s">
        <v>208</v>
      </c>
      <c r="J406" s="7" t="s">
        <v>209</v>
      </c>
      <c r="K406" s="7" t="s">
        <v>238</v>
      </c>
      <c r="L406" s="7" t="s">
        <v>239</v>
      </c>
      <c r="M406" s="7" t="n">
        <v>3</v>
      </c>
      <c r="N406" s="27" t="n">
        <v>2199</v>
      </c>
      <c r="O406" s="28" t="n">
        <v>0.05</v>
      </c>
      <c r="P406" s="27" t="n">
        <v>6267</v>
      </c>
      <c r="Q406" s="27" t="n">
        <v>4200</v>
      </c>
      <c r="R406" s="27" t="n">
        <v>2067</v>
      </c>
      <c r="S406" s="7" t="s">
        <v>60</v>
      </c>
      <c r="T406" s="7" t="str">
        <f aca="false">IF(O406=0,"No discount",IF(O406&lt;=0.2,"Up to 20%","Above 20%"))</f>
        <v>Up to 20%</v>
      </c>
    </row>
    <row r="407" customFormat="false" ht="15" hidden="false" customHeight="true" outlineLevel="0" collapsed="false">
      <c r="A407" s="7" t="s">
        <v>1024</v>
      </c>
      <c r="B407" s="26" t="n">
        <v>45809</v>
      </c>
      <c r="C407" s="26" t="n">
        <v>45810</v>
      </c>
      <c r="D407" s="7" t="s">
        <v>321</v>
      </c>
      <c r="E407" s="7" t="s">
        <v>322</v>
      </c>
      <c r="F407" s="7" t="s">
        <v>219</v>
      </c>
      <c r="G407" s="7" t="s">
        <v>323</v>
      </c>
      <c r="H407" s="7" t="s">
        <v>324</v>
      </c>
      <c r="I407" s="7" t="s">
        <v>208</v>
      </c>
      <c r="J407" s="7" t="s">
        <v>209</v>
      </c>
      <c r="K407" s="7" t="s">
        <v>210</v>
      </c>
      <c r="L407" s="7" t="s">
        <v>211</v>
      </c>
      <c r="M407" s="7" t="n">
        <v>2</v>
      </c>
      <c r="N407" s="27" t="n">
        <v>3499</v>
      </c>
      <c r="O407" s="28" t="n">
        <v>0.05</v>
      </c>
      <c r="P407" s="27" t="n">
        <v>6648</v>
      </c>
      <c r="Q407" s="27" t="n">
        <v>4400</v>
      </c>
      <c r="R407" s="27" t="n">
        <v>2248</v>
      </c>
      <c r="S407" s="7" t="s">
        <v>60</v>
      </c>
      <c r="T407" s="7" t="str">
        <f aca="false">IF(O407=0,"No discount",IF(O407&lt;=0.2,"Up to 20%","Above 20%"))</f>
        <v>Up to 20%</v>
      </c>
    </row>
    <row r="408" customFormat="false" ht="15" hidden="false" customHeight="true" outlineLevel="0" collapsed="false">
      <c r="A408" s="7" t="s">
        <v>1025</v>
      </c>
      <c r="B408" s="26" t="n">
        <v>45810</v>
      </c>
      <c r="C408" s="26" t="n">
        <v>45812</v>
      </c>
      <c r="D408" s="7" t="s">
        <v>321</v>
      </c>
      <c r="E408" s="7" t="s">
        <v>322</v>
      </c>
      <c r="F408" s="7" t="s">
        <v>219</v>
      </c>
      <c r="G408" s="7" t="s">
        <v>323</v>
      </c>
      <c r="H408" s="7" t="s">
        <v>324</v>
      </c>
      <c r="I408" s="7" t="s">
        <v>162</v>
      </c>
      <c r="J408" s="7" t="s">
        <v>185</v>
      </c>
      <c r="K408" s="7" t="s">
        <v>186</v>
      </c>
      <c r="L408" s="7" t="s">
        <v>187</v>
      </c>
      <c r="M408" s="7" t="n">
        <v>5</v>
      </c>
      <c r="N408" s="27" t="n">
        <v>3299</v>
      </c>
      <c r="O408" s="28" t="n">
        <v>0</v>
      </c>
      <c r="P408" s="27" t="n">
        <v>16495</v>
      </c>
      <c r="Q408" s="27" t="n">
        <v>9500</v>
      </c>
      <c r="R408" s="27" t="n">
        <v>6995</v>
      </c>
      <c r="S408" s="7" t="s">
        <v>60</v>
      </c>
      <c r="T408" s="7" t="str">
        <f aca="false">IF(O408=0,"No discount",IF(O408&lt;=0.2,"Up to 20%","Above 20%"))</f>
        <v>No discount</v>
      </c>
    </row>
    <row r="409" customFormat="false" ht="15" hidden="false" customHeight="true" outlineLevel="0" collapsed="false">
      <c r="A409" s="7" t="s">
        <v>1026</v>
      </c>
      <c r="B409" s="26" t="n">
        <v>45810</v>
      </c>
      <c r="C409" s="26" t="n">
        <v>45812</v>
      </c>
      <c r="D409" s="7" t="s">
        <v>1027</v>
      </c>
      <c r="E409" s="7" t="s">
        <v>1028</v>
      </c>
      <c r="F409" s="7" t="s">
        <v>159</v>
      </c>
      <c r="G409" s="7" t="s">
        <v>169</v>
      </c>
      <c r="H409" s="7" t="s">
        <v>170</v>
      </c>
      <c r="I409" s="7" t="s">
        <v>171</v>
      </c>
      <c r="J409" s="7" t="s">
        <v>304</v>
      </c>
      <c r="K409" s="7" t="s">
        <v>305</v>
      </c>
      <c r="L409" s="7" t="s">
        <v>306</v>
      </c>
      <c r="M409" s="7" t="n">
        <v>2</v>
      </c>
      <c r="N409" s="27" t="n">
        <v>2999</v>
      </c>
      <c r="O409" s="28" t="n">
        <v>0.05</v>
      </c>
      <c r="P409" s="27" t="n">
        <v>5698</v>
      </c>
      <c r="Q409" s="27" t="n">
        <v>4000</v>
      </c>
      <c r="R409" s="27" t="n">
        <v>1698</v>
      </c>
      <c r="S409" s="7" t="s">
        <v>47</v>
      </c>
      <c r="T409" s="7" t="str">
        <f aca="false">IF(O409=0,"No discount",IF(O409&lt;=0.2,"Up to 20%","Above 20%"))</f>
        <v>Up to 20%</v>
      </c>
    </row>
    <row r="410" customFormat="false" ht="15" hidden="false" customHeight="true" outlineLevel="0" collapsed="false">
      <c r="A410" s="7" t="s">
        <v>1029</v>
      </c>
      <c r="B410" s="26" t="n">
        <v>45810</v>
      </c>
      <c r="C410" s="26" t="n">
        <v>45813</v>
      </c>
      <c r="D410" s="7" t="s">
        <v>419</v>
      </c>
      <c r="E410" s="7" t="s">
        <v>420</v>
      </c>
      <c r="F410" s="7" t="s">
        <v>178</v>
      </c>
      <c r="G410" s="7" t="s">
        <v>169</v>
      </c>
      <c r="H410" s="7" t="s">
        <v>179</v>
      </c>
      <c r="I410" s="7" t="s">
        <v>199</v>
      </c>
      <c r="J410" s="7" t="s">
        <v>200</v>
      </c>
      <c r="K410" s="7" t="s">
        <v>201</v>
      </c>
      <c r="L410" s="7" t="s">
        <v>202</v>
      </c>
      <c r="M410" s="7" t="n">
        <v>1</v>
      </c>
      <c r="N410" s="27" t="n">
        <v>399</v>
      </c>
      <c r="O410" s="28" t="n">
        <v>0</v>
      </c>
      <c r="P410" s="27" t="n">
        <v>399</v>
      </c>
      <c r="Q410" s="27" t="n">
        <v>160</v>
      </c>
      <c r="R410" s="27" t="n">
        <v>239</v>
      </c>
      <c r="S410" s="7" t="s">
        <v>60</v>
      </c>
      <c r="T410" s="7" t="str">
        <f aca="false">IF(O410=0,"No discount",IF(O410&lt;=0.2,"Up to 20%","Above 20%"))</f>
        <v>No discount</v>
      </c>
    </row>
    <row r="411" customFormat="false" ht="15" hidden="false" customHeight="true" outlineLevel="0" collapsed="false">
      <c r="A411" s="7" t="s">
        <v>1030</v>
      </c>
      <c r="B411" s="26" t="n">
        <v>45811</v>
      </c>
      <c r="C411" s="26" t="n">
        <v>45813</v>
      </c>
      <c r="D411" s="7" t="s">
        <v>372</v>
      </c>
      <c r="E411" s="7" t="s">
        <v>373</v>
      </c>
      <c r="F411" s="7" t="s">
        <v>219</v>
      </c>
      <c r="G411" s="7" t="s">
        <v>160</v>
      </c>
      <c r="H411" s="7" t="s">
        <v>269</v>
      </c>
      <c r="I411" s="7" t="s">
        <v>282</v>
      </c>
      <c r="J411" s="7" t="s">
        <v>387</v>
      </c>
      <c r="K411" s="7" t="s">
        <v>388</v>
      </c>
      <c r="L411" s="7" t="s">
        <v>389</v>
      </c>
      <c r="M411" s="7" t="n">
        <v>8</v>
      </c>
      <c r="N411" s="27" t="n">
        <v>1299</v>
      </c>
      <c r="O411" s="28" t="n">
        <v>0</v>
      </c>
      <c r="P411" s="27" t="n">
        <v>10392</v>
      </c>
      <c r="Q411" s="27" t="n">
        <v>6240</v>
      </c>
      <c r="R411" s="27" t="n">
        <v>4152</v>
      </c>
      <c r="S411" s="7" t="s">
        <v>60</v>
      </c>
      <c r="T411" s="7" t="str">
        <f aca="false">IF(O411=0,"No discount",IF(O411&lt;=0.2,"Up to 20%","Above 20%"))</f>
        <v>No discount</v>
      </c>
    </row>
    <row r="412" customFormat="false" ht="15" hidden="false" customHeight="true" outlineLevel="0" collapsed="false">
      <c r="A412" s="7" t="s">
        <v>1031</v>
      </c>
      <c r="B412" s="26" t="n">
        <v>45811</v>
      </c>
      <c r="C412" s="26" t="n">
        <v>45813</v>
      </c>
      <c r="D412" s="7" t="s">
        <v>1032</v>
      </c>
      <c r="E412" s="7" t="s">
        <v>1033</v>
      </c>
      <c r="F412" s="7" t="s">
        <v>219</v>
      </c>
      <c r="G412" s="7" t="s">
        <v>206</v>
      </c>
      <c r="H412" s="7" t="s">
        <v>207</v>
      </c>
      <c r="I412" s="7" t="s">
        <v>199</v>
      </c>
      <c r="J412" s="7" t="s">
        <v>223</v>
      </c>
      <c r="K412" s="7" t="s">
        <v>246</v>
      </c>
      <c r="L412" s="7" t="s">
        <v>247</v>
      </c>
      <c r="M412" s="7" t="n">
        <v>1</v>
      </c>
      <c r="N412" s="27" t="n">
        <v>599</v>
      </c>
      <c r="O412" s="28" t="n">
        <v>0.2</v>
      </c>
      <c r="P412" s="27" t="n">
        <v>479</v>
      </c>
      <c r="Q412" s="27" t="n">
        <v>270</v>
      </c>
      <c r="R412" s="27" t="n">
        <v>209</v>
      </c>
      <c r="S412" s="7" t="s">
        <v>60</v>
      </c>
      <c r="T412" s="7" t="str">
        <f aca="false">IF(O412=0,"No discount",IF(O412&lt;=0.2,"Up to 20%","Above 20%"))</f>
        <v>Up to 20%</v>
      </c>
    </row>
    <row r="413" customFormat="false" ht="15" hidden="false" customHeight="true" outlineLevel="0" collapsed="false">
      <c r="A413" s="7" t="s">
        <v>1034</v>
      </c>
      <c r="B413" s="26" t="n">
        <v>45812</v>
      </c>
      <c r="C413" s="26" t="n">
        <v>45819</v>
      </c>
      <c r="D413" s="7" t="s">
        <v>1035</v>
      </c>
      <c r="E413" s="7" t="s">
        <v>1036</v>
      </c>
      <c r="F413" s="7" t="s">
        <v>159</v>
      </c>
      <c r="G413" s="7" t="s">
        <v>160</v>
      </c>
      <c r="H413" s="7" t="s">
        <v>269</v>
      </c>
      <c r="I413" s="7" t="s">
        <v>171</v>
      </c>
      <c r="J413" s="7" t="s">
        <v>172</v>
      </c>
      <c r="K413" s="7" t="s">
        <v>593</v>
      </c>
      <c r="L413" s="7" t="s">
        <v>594</v>
      </c>
      <c r="M413" s="7" t="n">
        <v>1</v>
      </c>
      <c r="N413" s="27" t="n">
        <v>1199</v>
      </c>
      <c r="O413" s="28" t="n">
        <v>0.05</v>
      </c>
      <c r="P413" s="27" t="n">
        <v>1139</v>
      </c>
      <c r="Q413" s="27" t="n">
        <v>650</v>
      </c>
      <c r="R413" s="27" t="n">
        <v>489</v>
      </c>
      <c r="S413" s="7" t="s">
        <v>60</v>
      </c>
      <c r="T413" s="7" t="str">
        <f aca="false">IF(O413=0,"No discount",IF(O413&lt;=0.2,"Up to 20%","Above 20%"))</f>
        <v>Up to 20%</v>
      </c>
    </row>
    <row r="414" customFormat="false" ht="15" hidden="false" customHeight="true" outlineLevel="0" collapsed="false">
      <c r="A414" s="7" t="s">
        <v>1037</v>
      </c>
      <c r="B414" s="26" t="n">
        <v>45813</v>
      </c>
      <c r="C414" s="26" t="n">
        <v>45820</v>
      </c>
      <c r="D414" s="7" t="s">
        <v>290</v>
      </c>
      <c r="E414" s="7" t="s">
        <v>291</v>
      </c>
      <c r="F414" s="7" t="s">
        <v>219</v>
      </c>
      <c r="G414" s="7" t="s">
        <v>169</v>
      </c>
      <c r="H414" s="7" t="s">
        <v>179</v>
      </c>
      <c r="I414" s="7" t="s">
        <v>171</v>
      </c>
      <c r="J414" s="7" t="s">
        <v>304</v>
      </c>
      <c r="K414" s="7" t="s">
        <v>305</v>
      </c>
      <c r="L414" s="7" t="s">
        <v>306</v>
      </c>
      <c r="M414" s="7" t="n">
        <v>2</v>
      </c>
      <c r="N414" s="27" t="n">
        <v>2999</v>
      </c>
      <c r="O414" s="28" t="n">
        <v>0.05</v>
      </c>
      <c r="P414" s="27" t="n">
        <v>5698</v>
      </c>
      <c r="Q414" s="27" t="n">
        <v>4000</v>
      </c>
      <c r="R414" s="27" t="n">
        <v>1698</v>
      </c>
      <c r="S414" s="7" t="s">
        <v>60</v>
      </c>
      <c r="T414" s="7" t="str">
        <f aca="false">IF(O414=0,"No discount",IF(O414&lt;=0.2,"Up to 20%","Above 20%"))</f>
        <v>Up to 20%</v>
      </c>
    </row>
    <row r="415" customFormat="false" ht="15" hidden="false" customHeight="true" outlineLevel="0" collapsed="false">
      <c r="A415" s="7" t="s">
        <v>1038</v>
      </c>
      <c r="B415" s="26" t="n">
        <v>45813</v>
      </c>
      <c r="C415" s="26" t="n">
        <v>45814</v>
      </c>
      <c r="D415" s="7" t="s">
        <v>277</v>
      </c>
      <c r="E415" s="7" t="s">
        <v>278</v>
      </c>
      <c r="F415" s="7" t="s">
        <v>159</v>
      </c>
      <c r="G415" s="7" t="s">
        <v>206</v>
      </c>
      <c r="H415" s="7" t="s">
        <v>207</v>
      </c>
      <c r="I415" s="7" t="s">
        <v>208</v>
      </c>
      <c r="J415" s="7" t="s">
        <v>209</v>
      </c>
      <c r="K415" s="7" t="s">
        <v>210</v>
      </c>
      <c r="L415" s="7" t="s">
        <v>211</v>
      </c>
      <c r="M415" s="7" t="n">
        <v>1</v>
      </c>
      <c r="N415" s="27" t="n">
        <v>3499</v>
      </c>
      <c r="O415" s="28" t="n">
        <v>0</v>
      </c>
      <c r="P415" s="27" t="n">
        <v>3499</v>
      </c>
      <c r="Q415" s="27" t="n">
        <v>2200</v>
      </c>
      <c r="R415" s="27" t="n">
        <v>1299</v>
      </c>
      <c r="S415" s="7" t="s">
        <v>60</v>
      </c>
      <c r="T415" s="7" t="str">
        <f aca="false">IF(O415=0,"No discount",IF(O415&lt;=0.2,"Up to 20%","Above 20%"))</f>
        <v>No discount</v>
      </c>
    </row>
    <row r="416" customFormat="false" ht="15" hidden="false" customHeight="true" outlineLevel="0" collapsed="false">
      <c r="A416" s="7" t="s">
        <v>1039</v>
      </c>
      <c r="B416" s="26" t="n">
        <v>45813</v>
      </c>
      <c r="C416" s="26" t="n">
        <v>45815</v>
      </c>
      <c r="D416" s="7" t="s">
        <v>757</v>
      </c>
      <c r="E416" s="7" t="s">
        <v>758</v>
      </c>
      <c r="F416" s="7" t="s">
        <v>159</v>
      </c>
      <c r="G416" s="7" t="s">
        <v>160</v>
      </c>
      <c r="H416" s="7" t="s">
        <v>161</v>
      </c>
      <c r="I416" s="7" t="s">
        <v>208</v>
      </c>
      <c r="J416" s="7" t="s">
        <v>232</v>
      </c>
      <c r="K416" s="7" t="s">
        <v>233</v>
      </c>
      <c r="L416" s="7" t="s">
        <v>234</v>
      </c>
      <c r="M416" s="7" t="n">
        <v>5</v>
      </c>
      <c r="N416" s="27" t="n">
        <v>7999</v>
      </c>
      <c r="O416" s="28" t="n">
        <v>0.15</v>
      </c>
      <c r="P416" s="27" t="n">
        <v>33996</v>
      </c>
      <c r="Q416" s="27" t="n">
        <v>28000</v>
      </c>
      <c r="R416" s="27" t="n">
        <v>5996</v>
      </c>
      <c r="S416" s="7" t="s">
        <v>60</v>
      </c>
      <c r="T416" s="7" t="str">
        <f aca="false">IF(O416=0,"No discount",IF(O416&lt;=0.2,"Up to 20%","Above 20%"))</f>
        <v>Up to 20%</v>
      </c>
    </row>
    <row r="417" customFormat="false" ht="15" hidden="false" customHeight="true" outlineLevel="0" collapsed="false">
      <c r="A417" s="7" t="s">
        <v>1040</v>
      </c>
      <c r="B417" s="26" t="n">
        <v>45814</v>
      </c>
      <c r="C417" s="26" t="n">
        <v>45820</v>
      </c>
      <c r="D417" s="7" t="s">
        <v>757</v>
      </c>
      <c r="E417" s="7" t="s">
        <v>758</v>
      </c>
      <c r="F417" s="7" t="s">
        <v>159</v>
      </c>
      <c r="G417" s="7" t="s">
        <v>160</v>
      </c>
      <c r="H417" s="7" t="s">
        <v>161</v>
      </c>
      <c r="I417" s="7" t="s">
        <v>162</v>
      </c>
      <c r="J417" s="7" t="s">
        <v>163</v>
      </c>
      <c r="K417" s="7" t="s">
        <v>164</v>
      </c>
      <c r="L417" s="7" t="s">
        <v>165</v>
      </c>
      <c r="M417" s="7" t="n">
        <v>1</v>
      </c>
      <c r="N417" s="27" t="n">
        <v>1999</v>
      </c>
      <c r="O417" s="28" t="n">
        <v>0</v>
      </c>
      <c r="P417" s="27" t="n">
        <v>1999</v>
      </c>
      <c r="Q417" s="27" t="n">
        <v>1050</v>
      </c>
      <c r="R417" s="27" t="n">
        <v>949</v>
      </c>
      <c r="S417" s="7" t="s">
        <v>60</v>
      </c>
      <c r="T417" s="7" t="str">
        <f aca="false">IF(O417=0,"No discount",IF(O417&lt;=0.2,"Up to 20%","Above 20%"))</f>
        <v>No discount</v>
      </c>
    </row>
    <row r="418" customFormat="false" ht="15" hidden="false" customHeight="true" outlineLevel="0" collapsed="false">
      <c r="A418" s="7" t="s">
        <v>1041</v>
      </c>
      <c r="B418" s="26" t="n">
        <v>45814</v>
      </c>
      <c r="C418" s="26" t="n">
        <v>45820</v>
      </c>
      <c r="D418" s="7" t="s">
        <v>176</v>
      </c>
      <c r="E418" s="7" t="s">
        <v>177</v>
      </c>
      <c r="F418" s="7" t="s">
        <v>178</v>
      </c>
      <c r="G418" s="7" t="s">
        <v>169</v>
      </c>
      <c r="H418" s="7" t="s">
        <v>179</v>
      </c>
      <c r="I418" s="7" t="s">
        <v>282</v>
      </c>
      <c r="J418" s="7" t="s">
        <v>387</v>
      </c>
      <c r="K418" s="7" t="s">
        <v>388</v>
      </c>
      <c r="L418" s="7" t="s">
        <v>389</v>
      </c>
      <c r="M418" s="7" t="n">
        <v>2</v>
      </c>
      <c r="N418" s="27" t="n">
        <v>1299</v>
      </c>
      <c r="O418" s="28" t="n">
        <v>0</v>
      </c>
      <c r="P418" s="27" t="n">
        <v>2598</v>
      </c>
      <c r="Q418" s="27" t="n">
        <v>1560</v>
      </c>
      <c r="R418" s="27" t="n">
        <v>1038</v>
      </c>
      <c r="S418" s="7" t="s">
        <v>60</v>
      </c>
      <c r="T418" s="7" t="str">
        <f aca="false">IF(O418=0,"No discount",IF(O418&lt;=0.2,"Up to 20%","Above 20%"))</f>
        <v>No discount</v>
      </c>
    </row>
    <row r="419" customFormat="false" ht="15" hidden="false" customHeight="true" outlineLevel="0" collapsed="false">
      <c r="A419" s="7" t="s">
        <v>1042</v>
      </c>
      <c r="B419" s="26" t="n">
        <v>45815</v>
      </c>
      <c r="C419" s="26" t="n">
        <v>45818</v>
      </c>
      <c r="D419" s="7" t="s">
        <v>621</v>
      </c>
      <c r="E419" s="7" t="s">
        <v>622</v>
      </c>
      <c r="F419" s="7" t="s">
        <v>219</v>
      </c>
      <c r="G419" s="7" t="s">
        <v>323</v>
      </c>
      <c r="H419" s="7" t="s">
        <v>324</v>
      </c>
      <c r="I419" s="7" t="s">
        <v>282</v>
      </c>
      <c r="J419" s="7" t="s">
        <v>427</v>
      </c>
      <c r="K419" s="7" t="s">
        <v>428</v>
      </c>
      <c r="L419" s="7" t="s">
        <v>429</v>
      </c>
      <c r="M419" s="7" t="n">
        <v>4</v>
      </c>
      <c r="N419" s="27" t="n">
        <v>149</v>
      </c>
      <c r="O419" s="28" t="n">
        <v>0</v>
      </c>
      <c r="P419" s="27" t="n">
        <v>596</v>
      </c>
      <c r="Q419" s="27" t="n">
        <v>280</v>
      </c>
      <c r="R419" s="27" t="n">
        <v>316</v>
      </c>
      <c r="S419" s="7" t="s">
        <v>60</v>
      </c>
      <c r="T419" s="7" t="str">
        <f aca="false">IF(O419=0,"No discount",IF(O419&lt;=0.2,"Up to 20%","Above 20%"))</f>
        <v>No discount</v>
      </c>
    </row>
    <row r="420" customFormat="false" ht="15" hidden="false" customHeight="true" outlineLevel="0" collapsed="false">
      <c r="A420" s="7" t="s">
        <v>1043</v>
      </c>
      <c r="B420" s="26" t="n">
        <v>45815</v>
      </c>
      <c r="C420" s="26" t="n">
        <v>45820</v>
      </c>
      <c r="D420" s="7" t="s">
        <v>299</v>
      </c>
      <c r="E420" s="7" t="s">
        <v>300</v>
      </c>
      <c r="F420" s="7" t="s">
        <v>159</v>
      </c>
      <c r="G420" s="7" t="s">
        <v>160</v>
      </c>
      <c r="H420" s="7" t="s">
        <v>269</v>
      </c>
      <c r="I420" s="7" t="s">
        <v>192</v>
      </c>
      <c r="J420" s="7" t="s">
        <v>213</v>
      </c>
      <c r="K420" s="7" t="s">
        <v>214</v>
      </c>
      <c r="L420" s="7" t="s">
        <v>215</v>
      </c>
      <c r="M420" s="7" t="n">
        <v>1</v>
      </c>
      <c r="N420" s="27" t="n">
        <v>5999</v>
      </c>
      <c r="O420" s="28" t="n">
        <v>0.4</v>
      </c>
      <c r="P420" s="27" t="n">
        <v>3599</v>
      </c>
      <c r="Q420" s="27" t="n">
        <v>4600</v>
      </c>
      <c r="R420" s="27" t="n">
        <v>-1001</v>
      </c>
      <c r="S420" s="7" t="s">
        <v>60</v>
      </c>
      <c r="T420" s="7" t="str">
        <f aca="false">IF(O420=0,"No discount",IF(O420&lt;=0.2,"Up to 20%","Above 20%"))</f>
        <v>Above 20%</v>
      </c>
    </row>
    <row r="421" customFormat="false" ht="15" hidden="false" customHeight="true" outlineLevel="0" collapsed="false">
      <c r="A421" s="7" t="s">
        <v>1044</v>
      </c>
      <c r="B421" s="26" t="n">
        <v>45815</v>
      </c>
      <c r="C421" s="26" t="n">
        <v>45820</v>
      </c>
      <c r="D421" s="7" t="s">
        <v>496</v>
      </c>
      <c r="E421" s="7" t="s">
        <v>497</v>
      </c>
      <c r="F421" s="7" t="s">
        <v>178</v>
      </c>
      <c r="G421" s="7" t="s">
        <v>169</v>
      </c>
      <c r="H421" s="7" t="s">
        <v>179</v>
      </c>
      <c r="I421" s="7" t="s">
        <v>162</v>
      </c>
      <c r="J421" s="7" t="s">
        <v>163</v>
      </c>
      <c r="K421" s="7" t="s">
        <v>164</v>
      </c>
      <c r="L421" s="7" t="s">
        <v>165</v>
      </c>
      <c r="M421" s="7" t="n">
        <v>5</v>
      </c>
      <c r="N421" s="27" t="n">
        <v>1999</v>
      </c>
      <c r="O421" s="28" t="n">
        <v>0.2</v>
      </c>
      <c r="P421" s="27" t="n">
        <v>7996</v>
      </c>
      <c r="Q421" s="27" t="n">
        <v>5250</v>
      </c>
      <c r="R421" s="27" t="n">
        <v>2746</v>
      </c>
      <c r="S421" s="7" t="s">
        <v>60</v>
      </c>
      <c r="T421" s="7" t="str">
        <f aca="false">IF(O421=0,"No discount",IF(O421&lt;=0.2,"Up to 20%","Above 20%"))</f>
        <v>Up to 20%</v>
      </c>
    </row>
    <row r="422" customFormat="false" ht="15" hidden="false" customHeight="true" outlineLevel="0" collapsed="false">
      <c r="A422" s="7" t="s">
        <v>1045</v>
      </c>
      <c r="B422" s="26" t="n">
        <v>45815</v>
      </c>
      <c r="C422" s="26" t="n">
        <v>45817</v>
      </c>
      <c r="D422" s="7" t="s">
        <v>267</v>
      </c>
      <c r="E422" s="7" t="s">
        <v>268</v>
      </c>
      <c r="F422" s="7" t="s">
        <v>159</v>
      </c>
      <c r="G422" s="7" t="s">
        <v>160</v>
      </c>
      <c r="H422" s="7" t="s">
        <v>269</v>
      </c>
      <c r="I422" s="7" t="s">
        <v>208</v>
      </c>
      <c r="J422" s="7" t="s">
        <v>232</v>
      </c>
      <c r="K422" s="7" t="s">
        <v>233</v>
      </c>
      <c r="L422" s="7" t="s">
        <v>234</v>
      </c>
      <c r="M422" s="7" t="n">
        <v>2</v>
      </c>
      <c r="N422" s="27" t="n">
        <v>7999</v>
      </c>
      <c r="O422" s="28" t="n">
        <v>0</v>
      </c>
      <c r="P422" s="27" t="n">
        <v>15998</v>
      </c>
      <c r="Q422" s="27" t="n">
        <v>11200</v>
      </c>
      <c r="R422" s="27" t="n">
        <v>4798</v>
      </c>
      <c r="S422" s="7" t="s">
        <v>60</v>
      </c>
      <c r="T422" s="7" t="str">
        <f aca="false">IF(O422=0,"No discount",IF(O422&lt;=0.2,"Up to 20%","Above 20%"))</f>
        <v>No discount</v>
      </c>
    </row>
    <row r="423" customFormat="false" ht="15" hidden="false" customHeight="true" outlineLevel="0" collapsed="false">
      <c r="A423" s="7" t="s">
        <v>1046</v>
      </c>
      <c r="B423" s="26" t="n">
        <v>45815</v>
      </c>
      <c r="C423" s="26" t="n">
        <v>45821</v>
      </c>
      <c r="D423" s="7" t="s">
        <v>1047</v>
      </c>
      <c r="E423" s="7" t="s">
        <v>1048</v>
      </c>
      <c r="F423" s="7" t="s">
        <v>159</v>
      </c>
      <c r="G423" s="7" t="s">
        <v>206</v>
      </c>
      <c r="H423" s="7" t="s">
        <v>207</v>
      </c>
      <c r="I423" s="7" t="s">
        <v>208</v>
      </c>
      <c r="J423" s="7" t="s">
        <v>421</v>
      </c>
      <c r="K423" s="7" t="s">
        <v>422</v>
      </c>
      <c r="L423" s="7" t="s">
        <v>423</v>
      </c>
      <c r="M423" s="7" t="n">
        <v>1</v>
      </c>
      <c r="N423" s="27" t="n">
        <v>5999</v>
      </c>
      <c r="O423" s="28" t="n">
        <v>0</v>
      </c>
      <c r="P423" s="27" t="n">
        <v>5999</v>
      </c>
      <c r="Q423" s="27" t="n">
        <v>4300</v>
      </c>
      <c r="R423" s="27" t="n">
        <v>1699</v>
      </c>
      <c r="S423" s="7" t="s">
        <v>60</v>
      </c>
      <c r="T423" s="7" t="str">
        <f aca="false">IF(O423=0,"No discount",IF(O423&lt;=0.2,"Up to 20%","Above 20%"))</f>
        <v>No discount</v>
      </c>
    </row>
    <row r="424" customFormat="false" ht="15" hidden="false" customHeight="true" outlineLevel="0" collapsed="false">
      <c r="A424" s="7" t="s">
        <v>1049</v>
      </c>
      <c r="B424" s="26" t="n">
        <v>45815</v>
      </c>
      <c r="C424" s="26" t="n">
        <v>45816</v>
      </c>
      <c r="D424" s="7" t="s">
        <v>391</v>
      </c>
      <c r="E424" s="7" t="s">
        <v>392</v>
      </c>
      <c r="F424" s="7" t="s">
        <v>159</v>
      </c>
      <c r="G424" s="7" t="s">
        <v>206</v>
      </c>
      <c r="H424" s="7" t="s">
        <v>207</v>
      </c>
      <c r="I424" s="7" t="s">
        <v>199</v>
      </c>
      <c r="J424" s="7" t="s">
        <v>223</v>
      </c>
      <c r="K424" s="7" t="s">
        <v>224</v>
      </c>
      <c r="L424" s="7" t="s">
        <v>225</v>
      </c>
      <c r="M424" s="7" t="n">
        <v>4</v>
      </c>
      <c r="N424" s="27" t="n">
        <v>899</v>
      </c>
      <c r="O424" s="28" t="n">
        <v>0.1</v>
      </c>
      <c r="P424" s="27" t="n">
        <v>3236</v>
      </c>
      <c r="Q424" s="27" t="n">
        <v>1520</v>
      </c>
      <c r="R424" s="27" t="n">
        <v>1716</v>
      </c>
      <c r="S424" s="7" t="s">
        <v>60</v>
      </c>
      <c r="T424" s="7" t="str">
        <f aca="false">IF(O424=0,"No discount",IF(O424&lt;=0.2,"Up to 20%","Above 20%"))</f>
        <v>Up to 20%</v>
      </c>
    </row>
    <row r="425" customFormat="false" ht="15" hidden="false" customHeight="true" outlineLevel="0" collapsed="false">
      <c r="A425" s="7" t="s">
        <v>1050</v>
      </c>
      <c r="B425" s="26" t="n">
        <v>45816</v>
      </c>
      <c r="C425" s="26" t="n">
        <v>45820</v>
      </c>
      <c r="D425" s="7" t="s">
        <v>444</v>
      </c>
      <c r="E425" s="7" t="s">
        <v>445</v>
      </c>
      <c r="F425" s="7" t="s">
        <v>159</v>
      </c>
      <c r="G425" s="7" t="s">
        <v>206</v>
      </c>
      <c r="H425" s="7" t="s">
        <v>207</v>
      </c>
      <c r="I425" s="7" t="s">
        <v>199</v>
      </c>
      <c r="J425" s="7" t="s">
        <v>292</v>
      </c>
      <c r="K425" s="7" t="s">
        <v>293</v>
      </c>
      <c r="L425" s="7" t="s">
        <v>294</v>
      </c>
      <c r="M425" s="7" t="n">
        <v>1</v>
      </c>
      <c r="N425" s="27" t="n">
        <v>1599</v>
      </c>
      <c r="O425" s="28" t="n">
        <v>0.1</v>
      </c>
      <c r="P425" s="27" t="n">
        <v>1439</v>
      </c>
      <c r="Q425" s="27" t="n">
        <v>750</v>
      </c>
      <c r="R425" s="27" t="n">
        <v>689</v>
      </c>
      <c r="S425" s="7" t="s">
        <v>60</v>
      </c>
      <c r="T425" s="7" t="str">
        <f aca="false">IF(O425=0,"No discount",IF(O425&lt;=0.2,"Up to 20%","Above 20%"))</f>
        <v>Up to 20%</v>
      </c>
    </row>
    <row r="426" customFormat="false" ht="15" hidden="false" customHeight="true" outlineLevel="0" collapsed="false">
      <c r="A426" s="7" t="s">
        <v>1051</v>
      </c>
      <c r="B426" s="26" t="n">
        <v>45816</v>
      </c>
      <c r="C426" s="26" t="n">
        <v>45821</v>
      </c>
      <c r="D426" s="7" t="s">
        <v>809</v>
      </c>
      <c r="E426" s="7" t="s">
        <v>810</v>
      </c>
      <c r="F426" s="7" t="s">
        <v>219</v>
      </c>
      <c r="G426" s="7" t="s">
        <v>169</v>
      </c>
      <c r="H426" s="7" t="s">
        <v>170</v>
      </c>
      <c r="I426" s="7" t="s">
        <v>171</v>
      </c>
      <c r="J426" s="7" t="s">
        <v>172</v>
      </c>
      <c r="K426" s="7" t="s">
        <v>173</v>
      </c>
      <c r="L426" s="7" t="s">
        <v>174</v>
      </c>
      <c r="M426" s="7" t="n">
        <v>1</v>
      </c>
      <c r="N426" s="27" t="n">
        <v>699</v>
      </c>
      <c r="O426" s="28" t="n">
        <v>0.05</v>
      </c>
      <c r="P426" s="27" t="n">
        <v>664</v>
      </c>
      <c r="Q426" s="27" t="n">
        <v>320</v>
      </c>
      <c r="R426" s="27" t="n">
        <v>344</v>
      </c>
      <c r="S426" s="7" t="s">
        <v>60</v>
      </c>
      <c r="T426" s="7" t="str">
        <f aca="false">IF(O426=0,"No discount",IF(O426&lt;=0.2,"Up to 20%","Above 20%"))</f>
        <v>Up to 20%</v>
      </c>
    </row>
    <row r="427" customFormat="false" ht="15" hidden="false" customHeight="true" outlineLevel="0" collapsed="false">
      <c r="A427" s="7" t="s">
        <v>1052</v>
      </c>
      <c r="B427" s="26" t="n">
        <v>45816</v>
      </c>
      <c r="C427" s="26" t="n">
        <v>45821</v>
      </c>
      <c r="D427" s="7" t="s">
        <v>236</v>
      </c>
      <c r="E427" s="7" t="s">
        <v>237</v>
      </c>
      <c r="F427" s="7" t="s">
        <v>219</v>
      </c>
      <c r="G427" s="7" t="s">
        <v>169</v>
      </c>
      <c r="H427" s="7" t="s">
        <v>170</v>
      </c>
      <c r="I427" s="7" t="s">
        <v>171</v>
      </c>
      <c r="J427" s="7" t="s">
        <v>172</v>
      </c>
      <c r="K427" s="7" t="s">
        <v>180</v>
      </c>
      <c r="L427" s="7" t="s">
        <v>181</v>
      </c>
      <c r="M427" s="7" t="n">
        <v>2</v>
      </c>
      <c r="N427" s="27" t="n">
        <v>999</v>
      </c>
      <c r="O427" s="28" t="n">
        <v>0</v>
      </c>
      <c r="P427" s="27" t="n">
        <v>1998</v>
      </c>
      <c r="Q427" s="27" t="n">
        <v>1040</v>
      </c>
      <c r="R427" s="27" t="n">
        <v>958</v>
      </c>
      <c r="S427" s="7" t="s">
        <v>60</v>
      </c>
      <c r="T427" s="7" t="str">
        <f aca="false">IF(O427=0,"No discount",IF(O427&lt;=0.2,"Up to 20%","Above 20%"))</f>
        <v>No discount</v>
      </c>
    </row>
    <row r="428" customFormat="false" ht="15" hidden="false" customHeight="true" outlineLevel="0" collapsed="false">
      <c r="A428" s="7" t="s">
        <v>1053</v>
      </c>
      <c r="B428" s="26" t="n">
        <v>45817</v>
      </c>
      <c r="C428" s="26" t="n">
        <v>45822</v>
      </c>
      <c r="D428" s="7" t="s">
        <v>197</v>
      </c>
      <c r="E428" s="7" t="s">
        <v>198</v>
      </c>
      <c r="F428" s="7" t="s">
        <v>178</v>
      </c>
      <c r="G428" s="7" t="s">
        <v>169</v>
      </c>
      <c r="H428" s="7" t="s">
        <v>191</v>
      </c>
      <c r="I428" s="7" t="s">
        <v>282</v>
      </c>
      <c r="J428" s="7" t="s">
        <v>387</v>
      </c>
      <c r="K428" s="7" t="s">
        <v>388</v>
      </c>
      <c r="L428" s="7" t="s">
        <v>389</v>
      </c>
      <c r="M428" s="7" t="n">
        <v>1</v>
      </c>
      <c r="N428" s="27" t="n">
        <v>1299</v>
      </c>
      <c r="O428" s="28" t="n">
        <v>0.05</v>
      </c>
      <c r="P428" s="27" t="n">
        <v>1234</v>
      </c>
      <c r="Q428" s="27" t="n">
        <v>780</v>
      </c>
      <c r="R428" s="27" t="n">
        <v>454</v>
      </c>
      <c r="S428" s="7" t="s">
        <v>60</v>
      </c>
      <c r="T428" s="7" t="str">
        <f aca="false">IF(O428=0,"No discount",IF(O428&lt;=0.2,"Up to 20%","Above 20%"))</f>
        <v>Up to 20%</v>
      </c>
    </row>
    <row r="429" customFormat="false" ht="15" hidden="false" customHeight="true" outlineLevel="0" collapsed="false">
      <c r="A429" s="7" t="s">
        <v>1054</v>
      </c>
      <c r="B429" s="26" t="n">
        <v>45818</v>
      </c>
      <c r="C429" s="26" t="n">
        <v>45824</v>
      </c>
      <c r="D429" s="7" t="s">
        <v>345</v>
      </c>
      <c r="E429" s="7" t="s">
        <v>346</v>
      </c>
      <c r="F429" s="7" t="s">
        <v>159</v>
      </c>
      <c r="G429" s="7" t="s">
        <v>160</v>
      </c>
      <c r="H429" s="7" t="s">
        <v>161</v>
      </c>
      <c r="I429" s="7" t="s">
        <v>208</v>
      </c>
      <c r="J429" s="7" t="s">
        <v>209</v>
      </c>
      <c r="K429" s="7" t="s">
        <v>238</v>
      </c>
      <c r="L429" s="7" t="s">
        <v>239</v>
      </c>
      <c r="M429" s="7" t="n">
        <v>3</v>
      </c>
      <c r="N429" s="27" t="n">
        <v>2199</v>
      </c>
      <c r="O429" s="28" t="n">
        <v>0.15</v>
      </c>
      <c r="P429" s="27" t="n">
        <v>5607</v>
      </c>
      <c r="Q429" s="27" t="n">
        <v>4200</v>
      </c>
      <c r="R429" s="27" t="n">
        <v>1407</v>
      </c>
      <c r="S429" s="7" t="s">
        <v>47</v>
      </c>
      <c r="T429" s="7" t="str">
        <f aca="false">IF(O429=0,"No discount",IF(O429&lt;=0.2,"Up to 20%","Above 20%"))</f>
        <v>Up to 20%</v>
      </c>
    </row>
    <row r="430" customFormat="false" ht="15" hidden="false" customHeight="true" outlineLevel="0" collapsed="false">
      <c r="A430" s="7" t="s">
        <v>1055</v>
      </c>
      <c r="B430" s="26" t="n">
        <v>45818</v>
      </c>
      <c r="C430" s="26" t="n">
        <v>45820</v>
      </c>
      <c r="D430" s="7" t="s">
        <v>391</v>
      </c>
      <c r="E430" s="7" t="s">
        <v>392</v>
      </c>
      <c r="F430" s="7" t="s">
        <v>159</v>
      </c>
      <c r="G430" s="7" t="s">
        <v>206</v>
      </c>
      <c r="H430" s="7" t="s">
        <v>207</v>
      </c>
      <c r="I430" s="7" t="s">
        <v>199</v>
      </c>
      <c r="J430" s="7" t="s">
        <v>292</v>
      </c>
      <c r="K430" s="7" t="s">
        <v>293</v>
      </c>
      <c r="L430" s="7" t="s">
        <v>294</v>
      </c>
      <c r="M430" s="7" t="n">
        <v>1</v>
      </c>
      <c r="N430" s="27" t="n">
        <v>1599</v>
      </c>
      <c r="O430" s="28" t="n">
        <v>0.15</v>
      </c>
      <c r="P430" s="27" t="n">
        <v>1359</v>
      </c>
      <c r="Q430" s="27" t="n">
        <v>750</v>
      </c>
      <c r="R430" s="27" t="n">
        <v>609</v>
      </c>
      <c r="S430" s="7" t="s">
        <v>60</v>
      </c>
      <c r="T430" s="7" t="str">
        <f aca="false">IF(O430=0,"No discount",IF(O430&lt;=0.2,"Up to 20%","Above 20%"))</f>
        <v>Up to 20%</v>
      </c>
    </row>
    <row r="431" customFormat="false" ht="15" hidden="false" customHeight="true" outlineLevel="0" collapsed="false">
      <c r="A431" s="7" t="s">
        <v>1056</v>
      </c>
      <c r="B431" s="26" t="n">
        <v>45818</v>
      </c>
      <c r="C431" s="26" t="n">
        <v>45822</v>
      </c>
      <c r="D431" s="7" t="s">
        <v>459</v>
      </c>
      <c r="E431" s="7" t="s">
        <v>460</v>
      </c>
      <c r="F431" s="7" t="s">
        <v>219</v>
      </c>
      <c r="G431" s="7" t="s">
        <v>160</v>
      </c>
      <c r="H431" s="7" t="s">
        <v>269</v>
      </c>
      <c r="I431" s="7" t="s">
        <v>171</v>
      </c>
      <c r="J431" s="7" t="s">
        <v>304</v>
      </c>
      <c r="K431" s="7" t="s">
        <v>499</v>
      </c>
      <c r="L431" s="7" t="s">
        <v>500</v>
      </c>
      <c r="M431" s="7" t="n">
        <v>2</v>
      </c>
      <c r="N431" s="27" t="n">
        <v>5499</v>
      </c>
      <c r="O431" s="28" t="n">
        <v>0.05</v>
      </c>
      <c r="P431" s="27" t="n">
        <v>10448</v>
      </c>
      <c r="Q431" s="27" t="n">
        <v>7800</v>
      </c>
      <c r="R431" s="27" t="n">
        <v>2648</v>
      </c>
      <c r="S431" s="7" t="s">
        <v>60</v>
      </c>
      <c r="T431" s="7" t="str">
        <f aca="false">IF(O431=0,"No discount",IF(O431&lt;=0.2,"Up to 20%","Above 20%"))</f>
        <v>Up to 20%</v>
      </c>
    </row>
    <row r="432" customFormat="false" ht="15" hidden="false" customHeight="true" outlineLevel="0" collapsed="false">
      <c r="A432" s="7" t="s">
        <v>1057</v>
      </c>
      <c r="B432" s="26" t="n">
        <v>45819</v>
      </c>
      <c r="C432" s="26" t="n">
        <v>45825</v>
      </c>
      <c r="D432" s="7" t="s">
        <v>947</v>
      </c>
      <c r="E432" s="7" t="s">
        <v>948</v>
      </c>
      <c r="F432" s="7" t="s">
        <v>159</v>
      </c>
      <c r="G432" s="7" t="s">
        <v>160</v>
      </c>
      <c r="H432" s="7" t="s">
        <v>269</v>
      </c>
      <c r="I432" s="7" t="s">
        <v>199</v>
      </c>
      <c r="J432" s="7" t="s">
        <v>292</v>
      </c>
      <c r="K432" s="7" t="s">
        <v>293</v>
      </c>
      <c r="L432" s="7" t="s">
        <v>294</v>
      </c>
      <c r="M432" s="7" t="n">
        <v>1</v>
      </c>
      <c r="N432" s="27" t="n">
        <v>1599</v>
      </c>
      <c r="O432" s="28" t="n">
        <v>0.15</v>
      </c>
      <c r="P432" s="27" t="n">
        <v>1359</v>
      </c>
      <c r="Q432" s="27" t="n">
        <v>750</v>
      </c>
      <c r="R432" s="27" t="n">
        <v>609</v>
      </c>
      <c r="S432" s="7" t="s">
        <v>60</v>
      </c>
      <c r="T432" s="7" t="str">
        <f aca="false">IF(O432=0,"No discount",IF(O432&lt;=0.2,"Up to 20%","Above 20%"))</f>
        <v>Up to 20%</v>
      </c>
    </row>
    <row r="433" customFormat="false" ht="15" hidden="false" customHeight="true" outlineLevel="0" collapsed="false">
      <c r="A433" s="7" t="s">
        <v>1058</v>
      </c>
      <c r="B433" s="26" t="n">
        <v>45819</v>
      </c>
      <c r="C433" s="26" t="n">
        <v>45825</v>
      </c>
      <c r="D433" s="7" t="s">
        <v>746</v>
      </c>
      <c r="E433" s="7" t="s">
        <v>747</v>
      </c>
      <c r="F433" s="7" t="s">
        <v>159</v>
      </c>
      <c r="G433" s="7" t="s">
        <v>160</v>
      </c>
      <c r="H433" s="7" t="s">
        <v>269</v>
      </c>
      <c r="I433" s="7" t="s">
        <v>192</v>
      </c>
      <c r="J433" s="7" t="s">
        <v>193</v>
      </c>
      <c r="K433" s="7" t="s">
        <v>194</v>
      </c>
      <c r="L433" s="7" t="s">
        <v>195</v>
      </c>
      <c r="M433" s="7" t="n">
        <v>2</v>
      </c>
      <c r="N433" s="27" t="n">
        <v>8999</v>
      </c>
      <c r="O433" s="28" t="n">
        <v>0.2</v>
      </c>
      <c r="P433" s="27" t="n">
        <v>14398</v>
      </c>
      <c r="Q433" s="27" t="n">
        <v>13600</v>
      </c>
      <c r="R433" s="27" t="n">
        <v>798</v>
      </c>
      <c r="S433" s="7" t="s">
        <v>60</v>
      </c>
      <c r="T433" s="7" t="str">
        <f aca="false">IF(O433=0,"No discount",IF(O433&lt;=0.2,"Up to 20%","Above 20%"))</f>
        <v>Up to 20%</v>
      </c>
    </row>
    <row r="434" customFormat="false" ht="15" hidden="false" customHeight="true" outlineLevel="0" collapsed="false">
      <c r="A434" s="7" t="s">
        <v>1059</v>
      </c>
      <c r="B434" s="26" t="n">
        <v>45819</v>
      </c>
      <c r="C434" s="26" t="n">
        <v>45825</v>
      </c>
      <c r="D434" s="7" t="s">
        <v>1060</v>
      </c>
      <c r="E434" s="7" t="s">
        <v>1061</v>
      </c>
      <c r="F434" s="7" t="s">
        <v>159</v>
      </c>
      <c r="G434" s="7" t="s">
        <v>206</v>
      </c>
      <c r="H434" s="7" t="s">
        <v>207</v>
      </c>
      <c r="I434" s="7" t="s">
        <v>162</v>
      </c>
      <c r="J434" s="7" t="s">
        <v>185</v>
      </c>
      <c r="K434" s="7" t="s">
        <v>186</v>
      </c>
      <c r="L434" s="7" t="s">
        <v>187</v>
      </c>
      <c r="M434" s="7" t="n">
        <v>1</v>
      </c>
      <c r="N434" s="27" t="n">
        <v>3299</v>
      </c>
      <c r="O434" s="28" t="n">
        <v>0.2</v>
      </c>
      <c r="P434" s="27" t="n">
        <v>2639</v>
      </c>
      <c r="Q434" s="27" t="n">
        <v>1900</v>
      </c>
      <c r="R434" s="27" t="n">
        <v>739</v>
      </c>
      <c r="S434" s="7" t="s">
        <v>60</v>
      </c>
      <c r="T434" s="7" t="str">
        <f aca="false">IF(O434=0,"No discount",IF(O434&lt;=0.2,"Up to 20%","Above 20%"))</f>
        <v>Up to 20%</v>
      </c>
    </row>
    <row r="435" customFormat="false" ht="15" hidden="false" customHeight="true" outlineLevel="0" collapsed="false">
      <c r="A435" s="7" t="s">
        <v>1062</v>
      </c>
      <c r="B435" s="26" t="n">
        <v>45820</v>
      </c>
      <c r="C435" s="26" t="n">
        <v>45824</v>
      </c>
      <c r="D435" s="7" t="s">
        <v>760</v>
      </c>
      <c r="E435" s="7" t="s">
        <v>761</v>
      </c>
      <c r="F435" s="7" t="s">
        <v>159</v>
      </c>
      <c r="G435" s="7" t="s">
        <v>169</v>
      </c>
      <c r="H435" s="7" t="s">
        <v>170</v>
      </c>
      <c r="I435" s="7" t="s">
        <v>171</v>
      </c>
      <c r="J435" s="7" t="s">
        <v>172</v>
      </c>
      <c r="K435" s="7" t="s">
        <v>180</v>
      </c>
      <c r="L435" s="7" t="s">
        <v>181</v>
      </c>
      <c r="M435" s="7" t="n">
        <v>3</v>
      </c>
      <c r="N435" s="27" t="n">
        <v>999</v>
      </c>
      <c r="O435" s="28" t="n">
        <v>0.3</v>
      </c>
      <c r="P435" s="27" t="n">
        <v>2098</v>
      </c>
      <c r="Q435" s="27" t="n">
        <v>1560</v>
      </c>
      <c r="R435" s="27" t="n">
        <v>538</v>
      </c>
      <c r="S435" s="7" t="s">
        <v>60</v>
      </c>
      <c r="T435" s="7" t="str">
        <f aca="false">IF(O435=0,"No discount",IF(O435&lt;=0.2,"Up to 20%","Above 20%"))</f>
        <v>Above 20%</v>
      </c>
    </row>
    <row r="436" customFormat="false" ht="15" hidden="false" customHeight="true" outlineLevel="0" collapsed="false">
      <c r="A436" s="7" t="s">
        <v>1063</v>
      </c>
      <c r="B436" s="26" t="n">
        <v>45820</v>
      </c>
      <c r="C436" s="26" t="n">
        <v>45827</v>
      </c>
      <c r="D436" s="7" t="s">
        <v>189</v>
      </c>
      <c r="E436" s="7" t="s">
        <v>190</v>
      </c>
      <c r="F436" s="7" t="s">
        <v>159</v>
      </c>
      <c r="G436" s="7" t="s">
        <v>169</v>
      </c>
      <c r="H436" s="7" t="s">
        <v>191</v>
      </c>
      <c r="I436" s="7" t="s">
        <v>199</v>
      </c>
      <c r="J436" s="7" t="s">
        <v>292</v>
      </c>
      <c r="K436" s="7" t="s">
        <v>293</v>
      </c>
      <c r="L436" s="7" t="s">
        <v>294</v>
      </c>
      <c r="M436" s="7" t="n">
        <v>4</v>
      </c>
      <c r="N436" s="27" t="n">
        <v>1599</v>
      </c>
      <c r="O436" s="28" t="n">
        <v>0.1</v>
      </c>
      <c r="P436" s="27" t="n">
        <v>5756</v>
      </c>
      <c r="Q436" s="27" t="n">
        <v>3000</v>
      </c>
      <c r="R436" s="27" t="n">
        <v>2756</v>
      </c>
      <c r="S436" s="7" t="s">
        <v>47</v>
      </c>
      <c r="T436" s="7" t="str">
        <f aca="false">IF(O436=0,"No discount",IF(O436&lt;=0.2,"Up to 20%","Above 20%"))</f>
        <v>Up to 20%</v>
      </c>
    </row>
    <row r="437" customFormat="false" ht="15" hidden="false" customHeight="true" outlineLevel="0" collapsed="false">
      <c r="A437" s="7" t="s">
        <v>1064</v>
      </c>
      <c r="B437" s="26" t="n">
        <v>45820</v>
      </c>
      <c r="C437" s="26" t="n">
        <v>45821</v>
      </c>
      <c r="D437" s="7" t="s">
        <v>488</v>
      </c>
      <c r="E437" s="7" t="s">
        <v>489</v>
      </c>
      <c r="F437" s="7" t="s">
        <v>159</v>
      </c>
      <c r="G437" s="7" t="s">
        <v>206</v>
      </c>
      <c r="H437" s="7" t="s">
        <v>207</v>
      </c>
      <c r="I437" s="7" t="s">
        <v>171</v>
      </c>
      <c r="J437" s="7" t="s">
        <v>172</v>
      </c>
      <c r="K437" s="7" t="s">
        <v>173</v>
      </c>
      <c r="L437" s="7" t="s">
        <v>174</v>
      </c>
      <c r="M437" s="7" t="n">
        <v>2</v>
      </c>
      <c r="N437" s="27" t="n">
        <v>699</v>
      </c>
      <c r="O437" s="28" t="n">
        <v>0</v>
      </c>
      <c r="P437" s="27" t="n">
        <v>1398</v>
      </c>
      <c r="Q437" s="27" t="n">
        <v>640</v>
      </c>
      <c r="R437" s="27" t="n">
        <v>758</v>
      </c>
      <c r="S437" s="7" t="s">
        <v>60</v>
      </c>
      <c r="T437" s="7" t="str">
        <f aca="false">IF(O437=0,"No discount",IF(O437&lt;=0.2,"Up to 20%","Above 20%"))</f>
        <v>No discount</v>
      </c>
    </row>
    <row r="438" customFormat="false" ht="15" hidden="false" customHeight="true" outlineLevel="0" collapsed="false">
      <c r="A438" s="7" t="s">
        <v>1065</v>
      </c>
      <c r="B438" s="26" t="n">
        <v>45820</v>
      </c>
      <c r="C438" s="26" t="n">
        <v>45826</v>
      </c>
      <c r="D438" s="7" t="s">
        <v>781</v>
      </c>
      <c r="E438" s="7" t="s">
        <v>782</v>
      </c>
      <c r="F438" s="7" t="s">
        <v>219</v>
      </c>
      <c r="G438" s="7" t="s">
        <v>160</v>
      </c>
      <c r="H438" s="7" t="s">
        <v>269</v>
      </c>
      <c r="I438" s="7" t="s">
        <v>282</v>
      </c>
      <c r="J438" s="7" t="s">
        <v>283</v>
      </c>
      <c r="K438" s="7" t="s">
        <v>284</v>
      </c>
      <c r="L438" s="7" t="s">
        <v>285</v>
      </c>
      <c r="M438" s="7" t="n">
        <v>3</v>
      </c>
      <c r="N438" s="27" t="n">
        <v>199</v>
      </c>
      <c r="O438" s="28" t="n">
        <v>0.05</v>
      </c>
      <c r="P438" s="27" t="n">
        <v>567</v>
      </c>
      <c r="Q438" s="27" t="n">
        <v>270</v>
      </c>
      <c r="R438" s="27" t="n">
        <v>297</v>
      </c>
      <c r="S438" s="7" t="s">
        <v>60</v>
      </c>
      <c r="T438" s="7" t="str">
        <f aca="false">IF(O438=0,"No discount",IF(O438&lt;=0.2,"Up to 20%","Above 20%"))</f>
        <v>Up to 20%</v>
      </c>
    </row>
    <row r="439" customFormat="false" ht="15" hidden="false" customHeight="true" outlineLevel="0" collapsed="false">
      <c r="A439" s="7" t="s">
        <v>1066</v>
      </c>
      <c r="B439" s="26" t="n">
        <v>45821</v>
      </c>
      <c r="C439" s="26" t="n">
        <v>45824</v>
      </c>
      <c r="D439" s="7" t="s">
        <v>988</v>
      </c>
      <c r="E439" s="7" t="s">
        <v>989</v>
      </c>
      <c r="F439" s="7" t="s">
        <v>159</v>
      </c>
      <c r="G439" s="7" t="s">
        <v>160</v>
      </c>
      <c r="H439" s="7" t="s">
        <v>269</v>
      </c>
      <c r="I439" s="7" t="s">
        <v>208</v>
      </c>
      <c r="J439" s="7" t="s">
        <v>209</v>
      </c>
      <c r="K439" s="7" t="s">
        <v>637</v>
      </c>
      <c r="L439" s="7" t="s">
        <v>638</v>
      </c>
      <c r="M439" s="7" t="n">
        <v>2</v>
      </c>
      <c r="N439" s="27" t="n">
        <v>899</v>
      </c>
      <c r="O439" s="28" t="n">
        <v>0</v>
      </c>
      <c r="P439" s="27" t="n">
        <v>1798</v>
      </c>
      <c r="Q439" s="27" t="n">
        <v>960</v>
      </c>
      <c r="R439" s="27" t="n">
        <v>838</v>
      </c>
      <c r="S439" s="7" t="s">
        <v>60</v>
      </c>
      <c r="T439" s="7" t="str">
        <f aca="false">IF(O439=0,"No discount",IF(O439&lt;=0.2,"Up to 20%","Above 20%"))</f>
        <v>No discount</v>
      </c>
    </row>
    <row r="440" customFormat="false" ht="15" hidden="false" customHeight="true" outlineLevel="0" collapsed="false">
      <c r="A440" s="7" t="s">
        <v>1067</v>
      </c>
      <c r="B440" s="26" t="n">
        <v>45822</v>
      </c>
      <c r="C440" s="26" t="n">
        <v>45823</v>
      </c>
      <c r="D440" s="7" t="s">
        <v>764</v>
      </c>
      <c r="E440" s="7" t="s">
        <v>765</v>
      </c>
      <c r="F440" s="7" t="s">
        <v>159</v>
      </c>
      <c r="G440" s="7" t="s">
        <v>169</v>
      </c>
      <c r="H440" s="7" t="s">
        <v>170</v>
      </c>
      <c r="I440" s="7" t="s">
        <v>192</v>
      </c>
      <c r="J440" s="7" t="s">
        <v>213</v>
      </c>
      <c r="K440" s="7" t="s">
        <v>214</v>
      </c>
      <c r="L440" s="7" t="s">
        <v>215</v>
      </c>
      <c r="M440" s="7" t="n">
        <v>1</v>
      </c>
      <c r="N440" s="27" t="n">
        <v>5999</v>
      </c>
      <c r="O440" s="28" t="n">
        <v>0.2</v>
      </c>
      <c r="P440" s="27" t="n">
        <v>4799</v>
      </c>
      <c r="Q440" s="27" t="n">
        <v>4600</v>
      </c>
      <c r="R440" s="27" t="n">
        <v>199</v>
      </c>
      <c r="S440" s="7" t="s">
        <v>60</v>
      </c>
      <c r="T440" s="7" t="str">
        <f aca="false">IF(O440=0,"No discount",IF(O440&lt;=0.2,"Up to 20%","Above 20%"))</f>
        <v>Up to 20%</v>
      </c>
    </row>
    <row r="441" customFormat="false" ht="15" hidden="false" customHeight="true" outlineLevel="0" collapsed="false">
      <c r="A441" s="7" t="s">
        <v>1068</v>
      </c>
      <c r="B441" s="26" t="n">
        <v>45822</v>
      </c>
      <c r="C441" s="26" t="n">
        <v>45829</v>
      </c>
      <c r="D441" s="7" t="s">
        <v>444</v>
      </c>
      <c r="E441" s="7" t="s">
        <v>445</v>
      </c>
      <c r="F441" s="7" t="s">
        <v>159</v>
      </c>
      <c r="G441" s="7" t="s">
        <v>206</v>
      </c>
      <c r="H441" s="7" t="s">
        <v>207</v>
      </c>
      <c r="I441" s="7" t="s">
        <v>171</v>
      </c>
      <c r="J441" s="7" t="s">
        <v>172</v>
      </c>
      <c r="K441" s="7" t="s">
        <v>173</v>
      </c>
      <c r="L441" s="7" t="s">
        <v>174</v>
      </c>
      <c r="M441" s="7" t="n">
        <v>1</v>
      </c>
      <c r="N441" s="27" t="n">
        <v>699</v>
      </c>
      <c r="O441" s="28" t="n">
        <v>0</v>
      </c>
      <c r="P441" s="27" t="n">
        <v>699</v>
      </c>
      <c r="Q441" s="27" t="n">
        <v>320</v>
      </c>
      <c r="R441" s="27" t="n">
        <v>379</v>
      </c>
      <c r="S441" s="7" t="s">
        <v>60</v>
      </c>
      <c r="T441" s="7" t="str">
        <f aca="false">IF(O441=0,"No discount",IF(O441&lt;=0.2,"Up to 20%","Above 20%"))</f>
        <v>No discount</v>
      </c>
    </row>
    <row r="442" customFormat="false" ht="15" hidden="false" customHeight="true" outlineLevel="0" collapsed="false">
      <c r="A442" s="7" t="s">
        <v>1069</v>
      </c>
      <c r="B442" s="26" t="n">
        <v>45822</v>
      </c>
      <c r="C442" s="26" t="n">
        <v>45826</v>
      </c>
      <c r="D442" s="7" t="s">
        <v>241</v>
      </c>
      <c r="E442" s="7" t="s">
        <v>242</v>
      </c>
      <c r="F442" s="7" t="s">
        <v>159</v>
      </c>
      <c r="G442" s="7" t="s">
        <v>206</v>
      </c>
      <c r="H442" s="7" t="s">
        <v>207</v>
      </c>
      <c r="I442" s="7" t="s">
        <v>208</v>
      </c>
      <c r="J442" s="7" t="s">
        <v>232</v>
      </c>
      <c r="K442" s="7" t="s">
        <v>233</v>
      </c>
      <c r="L442" s="7" t="s">
        <v>234</v>
      </c>
      <c r="M442" s="7" t="n">
        <v>2</v>
      </c>
      <c r="N442" s="27" t="n">
        <v>7999</v>
      </c>
      <c r="O442" s="28" t="n">
        <v>0</v>
      </c>
      <c r="P442" s="27" t="n">
        <v>15998</v>
      </c>
      <c r="Q442" s="27" t="n">
        <v>11200</v>
      </c>
      <c r="R442" s="27" t="n">
        <v>4798</v>
      </c>
      <c r="S442" s="7" t="s">
        <v>47</v>
      </c>
      <c r="T442" s="7" t="str">
        <f aca="false">IF(O442=0,"No discount",IF(O442&lt;=0.2,"Up to 20%","Above 20%"))</f>
        <v>No discount</v>
      </c>
    </row>
    <row r="443" customFormat="false" ht="15" hidden="false" customHeight="true" outlineLevel="0" collapsed="false">
      <c r="A443" s="7" t="s">
        <v>1070</v>
      </c>
      <c r="B443" s="26" t="n">
        <v>45823</v>
      </c>
      <c r="C443" s="26" t="n">
        <v>45830</v>
      </c>
      <c r="D443" s="7" t="s">
        <v>760</v>
      </c>
      <c r="E443" s="7" t="s">
        <v>761</v>
      </c>
      <c r="F443" s="7" t="s">
        <v>159</v>
      </c>
      <c r="G443" s="7" t="s">
        <v>169</v>
      </c>
      <c r="H443" s="7" t="s">
        <v>170</v>
      </c>
      <c r="I443" s="7" t="s">
        <v>199</v>
      </c>
      <c r="J443" s="7" t="s">
        <v>292</v>
      </c>
      <c r="K443" s="7" t="s">
        <v>293</v>
      </c>
      <c r="L443" s="7" t="s">
        <v>294</v>
      </c>
      <c r="M443" s="7" t="n">
        <v>1</v>
      </c>
      <c r="N443" s="27" t="n">
        <v>1599</v>
      </c>
      <c r="O443" s="28" t="n">
        <v>0</v>
      </c>
      <c r="P443" s="27" t="n">
        <v>1599</v>
      </c>
      <c r="Q443" s="27" t="n">
        <v>750</v>
      </c>
      <c r="R443" s="27" t="n">
        <v>849</v>
      </c>
      <c r="S443" s="7" t="s">
        <v>60</v>
      </c>
      <c r="T443" s="7" t="str">
        <f aca="false">IF(O443=0,"No discount",IF(O443&lt;=0.2,"Up to 20%","Above 20%"))</f>
        <v>No discount</v>
      </c>
    </row>
    <row r="444" customFormat="false" ht="15" hidden="false" customHeight="true" outlineLevel="0" collapsed="false">
      <c r="A444" s="7" t="s">
        <v>1071</v>
      </c>
      <c r="B444" s="26" t="n">
        <v>45823</v>
      </c>
      <c r="C444" s="26" t="n">
        <v>45827</v>
      </c>
      <c r="D444" s="7" t="s">
        <v>197</v>
      </c>
      <c r="E444" s="7" t="s">
        <v>198</v>
      </c>
      <c r="F444" s="7" t="s">
        <v>178</v>
      </c>
      <c r="G444" s="7" t="s">
        <v>169</v>
      </c>
      <c r="H444" s="7" t="s">
        <v>191</v>
      </c>
      <c r="I444" s="7" t="s">
        <v>208</v>
      </c>
      <c r="J444" s="7" t="s">
        <v>232</v>
      </c>
      <c r="K444" s="7" t="s">
        <v>233</v>
      </c>
      <c r="L444" s="7" t="s">
        <v>234</v>
      </c>
      <c r="M444" s="7" t="n">
        <v>2</v>
      </c>
      <c r="N444" s="27" t="n">
        <v>7999</v>
      </c>
      <c r="O444" s="28" t="n">
        <v>0.1</v>
      </c>
      <c r="P444" s="27" t="n">
        <v>14398</v>
      </c>
      <c r="Q444" s="27" t="n">
        <v>11200</v>
      </c>
      <c r="R444" s="27" t="n">
        <v>3198</v>
      </c>
      <c r="S444" s="7" t="s">
        <v>60</v>
      </c>
      <c r="T444" s="7" t="str">
        <f aca="false">IF(O444=0,"No discount",IF(O444&lt;=0.2,"Up to 20%","Above 20%"))</f>
        <v>Up to 20%</v>
      </c>
    </row>
    <row r="445" customFormat="false" ht="15" hidden="false" customHeight="true" outlineLevel="0" collapsed="false">
      <c r="A445" s="7" t="s">
        <v>1072</v>
      </c>
      <c r="B445" s="26" t="n">
        <v>45824</v>
      </c>
      <c r="C445" s="26" t="n">
        <v>45828</v>
      </c>
      <c r="D445" s="7" t="s">
        <v>1073</v>
      </c>
      <c r="E445" s="7" t="s">
        <v>1074</v>
      </c>
      <c r="F445" s="7" t="s">
        <v>159</v>
      </c>
      <c r="G445" s="7" t="s">
        <v>206</v>
      </c>
      <c r="H445" s="7" t="s">
        <v>207</v>
      </c>
      <c r="I445" s="7" t="s">
        <v>282</v>
      </c>
      <c r="J445" s="7" t="s">
        <v>387</v>
      </c>
      <c r="K445" s="7" t="s">
        <v>388</v>
      </c>
      <c r="L445" s="7" t="s">
        <v>389</v>
      </c>
      <c r="M445" s="7" t="n">
        <v>2</v>
      </c>
      <c r="N445" s="27" t="n">
        <v>1299</v>
      </c>
      <c r="O445" s="28" t="n">
        <v>0</v>
      </c>
      <c r="P445" s="27" t="n">
        <v>2598</v>
      </c>
      <c r="Q445" s="27" t="n">
        <v>1560</v>
      </c>
      <c r="R445" s="27" t="n">
        <v>1038</v>
      </c>
      <c r="S445" s="7" t="s">
        <v>60</v>
      </c>
      <c r="T445" s="7" t="str">
        <f aca="false">IF(O445=0,"No discount",IF(O445&lt;=0.2,"Up to 20%","Above 20%"))</f>
        <v>No discount</v>
      </c>
    </row>
    <row r="446" customFormat="false" ht="15" hidden="false" customHeight="true" outlineLevel="0" collapsed="false">
      <c r="A446" s="7" t="s">
        <v>1075</v>
      </c>
      <c r="B446" s="26" t="n">
        <v>45824</v>
      </c>
      <c r="C446" s="26" t="n">
        <v>45829</v>
      </c>
      <c r="D446" s="7" t="s">
        <v>1076</v>
      </c>
      <c r="E446" s="7" t="s">
        <v>1077</v>
      </c>
      <c r="F446" s="7" t="s">
        <v>219</v>
      </c>
      <c r="G446" s="7" t="s">
        <v>169</v>
      </c>
      <c r="H446" s="7" t="s">
        <v>179</v>
      </c>
      <c r="I446" s="7" t="s">
        <v>162</v>
      </c>
      <c r="J446" s="7" t="s">
        <v>325</v>
      </c>
      <c r="K446" s="7" t="s">
        <v>326</v>
      </c>
      <c r="L446" s="7" t="s">
        <v>327</v>
      </c>
      <c r="M446" s="7" t="n">
        <v>1</v>
      </c>
      <c r="N446" s="27" t="n">
        <v>799</v>
      </c>
      <c r="O446" s="28" t="n">
        <v>0.5</v>
      </c>
      <c r="P446" s="27" t="n">
        <v>400</v>
      </c>
      <c r="Q446" s="27" t="n">
        <v>380</v>
      </c>
      <c r="R446" s="27" t="n">
        <v>20</v>
      </c>
      <c r="S446" s="7" t="s">
        <v>60</v>
      </c>
      <c r="T446" s="7" t="str">
        <f aca="false">IF(O446=0,"No discount",IF(O446&lt;=0.2,"Up to 20%","Above 20%"))</f>
        <v>Above 20%</v>
      </c>
    </row>
    <row r="447" customFormat="false" ht="15" hidden="false" customHeight="true" outlineLevel="0" collapsed="false">
      <c r="A447" s="7" t="s">
        <v>1078</v>
      </c>
      <c r="B447" s="26" t="n">
        <v>45824</v>
      </c>
      <c r="C447" s="26" t="n">
        <v>45827</v>
      </c>
      <c r="D447" s="7" t="s">
        <v>336</v>
      </c>
      <c r="E447" s="7" t="s">
        <v>337</v>
      </c>
      <c r="F447" s="7" t="s">
        <v>219</v>
      </c>
      <c r="G447" s="7" t="s">
        <v>206</v>
      </c>
      <c r="H447" s="7" t="s">
        <v>207</v>
      </c>
      <c r="I447" s="7" t="s">
        <v>171</v>
      </c>
      <c r="J447" s="7" t="s">
        <v>172</v>
      </c>
      <c r="K447" s="7" t="s">
        <v>173</v>
      </c>
      <c r="L447" s="7" t="s">
        <v>174</v>
      </c>
      <c r="M447" s="7" t="n">
        <v>1</v>
      </c>
      <c r="N447" s="27" t="n">
        <v>699</v>
      </c>
      <c r="O447" s="28" t="n">
        <v>0.1</v>
      </c>
      <c r="P447" s="27" t="n">
        <v>629</v>
      </c>
      <c r="Q447" s="27" t="n">
        <v>320</v>
      </c>
      <c r="R447" s="27" t="n">
        <v>309</v>
      </c>
      <c r="S447" s="7" t="s">
        <v>60</v>
      </c>
      <c r="T447" s="7" t="str">
        <f aca="false">IF(O447=0,"No discount",IF(O447&lt;=0.2,"Up to 20%","Above 20%"))</f>
        <v>Up to 20%</v>
      </c>
    </row>
    <row r="448" customFormat="false" ht="15" hidden="false" customHeight="true" outlineLevel="0" collapsed="false">
      <c r="A448" s="7" t="s">
        <v>1079</v>
      </c>
      <c r="B448" s="26" t="n">
        <v>45824</v>
      </c>
      <c r="C448" s="26" t="n">
        <v>45826</v>
      </c>
      <c r="D448" s="7" t="s">
        <v>679</v>
      </c>
      <c r="E448" s="7" t="s">
        <v>680</v>
      </c>
      <c r="F448" s="7" t="s">
        <v>159</v>
      </c>
      <c r="G448" s="7" t="s">
        <v>169</v>
      </c>
      <c r="H448" s="7" t="s">
        <v>170</v>
      </c>
      <c r="I448" s="7" t="s">
        <v>192</v>
      </c>
      <c r="J448" s="7" t="s">
        <v>213</v>
      </c>
      <c r="K448" s="7" t="s">
        <v>214</v>
      </c>
      <c r="L448" s="7" t="s">
        <v>215</v>
      </c>
      <c r="M448" s="7" t="n">
        <v>1</v>
      </c>
      <c r="N448" s="27" t="n">
        <v>5999</v>
      </c>
      <c r="O448" s="28" t="n">
        <v>0</v>
      </c>
      <c r="P448" s="27" t="n">
        <v>5999</v>
      </c>
      <c r="Q448" s="27" t="n">
        <v>4600</v>
      </c>
      <c r="R448" s="27" t="n">
        <v>1399</v>
      </c>
      <c r="S448" s="7" t="s">
        <v>60</v>
      </c>
      <c r="T448" s="7" t="str">
        <f aca="false">IF(O448=0,"No discount",IF(O448&lt;=0.2,"Up to 20%","Above 20%"))</f>
        <v>No discount</v>
      </c>
    </row>
    <row r="449" customFormat="false" ht="15" hidden="false" customHeight="true" outlineLevel="0" collapsed="false">
      <c r="A449" s="7" t="s">
        <v>1080</v>
      </c>
      <c r="B449" s="26" t="n">
        <v>45825</v>
      </c>
      <c r="C449" s="26" t="n">
        <v>45828</v>
      </c>
      <c r="D449" s="7" t="s">
        <v>781</v>
      </c>
      <c r="E449" s="7" t="s">
        <v>782</v>
      </c>
      <c r="F449" s="7" t="s">
        <v>219</v>
      </c>
      <c r="G449" s="7" t="s">
        <v>160</v>
      </c>
      <c r="H449" s="7" t="s">
        <v>269</v>
      </c>
      <c r="I449" s="7" t="s">
        <v>192</v>
      </c>
      <c r="J449" s="7" t="s">
        <v>193</v>
      </c>
      <c r="K449" s="7" t="s">
        <v>194</v>
      </c>
      <c r="L449" s="7" t="s">
        <v>195</v>
      </c>
      <c r="M449" s="7" t="n">
        <v>2</v>
      </c>
      <c r="N449" s="27" t="n">
        <v>8999</v>
      </c>
      <c r="O449" s="28" t="n">
        <v>0</v>
      </c>
      <c r="P449" s="27" t="n">
        <v>17998</v>
      </c>
      <c r="Q449" s="27" t="n">
        <v>13600</v>
      </c>
      <c r="R449" s="27" t="n">
        <v>4398</v>
      </c>
      <c r="S449" s="7" t="s">
        <v>60</v>
      </c>
      <c r="T449" s="7" t="str">
        <f aca="false">IF(O449=0,"No discount",IF(O449&lt;=0.2,"Up to 20%","Above 20%"))</f>
        <v>No discount</v>
      </c>
    </row>
    <row r="450" customFormat="false" ht="15" hidden="false" customHeight="true" outlineLevel="0" collapsed="false">
      <c r="A450" s="7" t="s">
        <v>1081</v>
      </c>
      <c r="B450" s="26" t="n">
        <v>45825</v>
      </c>
      <c r="C450" s="26" t="n">
        <v>45829</v>
      </c>
      <c r="D450" s="7" t="s">
        <v>416</v>
      </c>
      <c r="E450" s="7" t="s">
        <v>417</v>
      </c>
      <c r="F450" s="7" t="s">
        <v>159</v>
      </c>
      <c r="G450" s="7" t="s">
        <v>160</v>
      </c>
      <c r="H450" s="7" t="s">
        <v>269</v>
      </c>
      <c r="I450" s="7" t="s">
        <v>208</v>
      </c>
      <c r="J450" s="7" t="s">
        <v>209</v>
      </c>
      <c r="K450" s="7" t="s">
        <v>238</v>
      </c>
      <c r="L450" s="7" t="s">
        <v>239</v>
      </c>
      <c r="M450" s="7" t="n">
        <v>1</v>
      </c>
      <c r="N450" s="27" t="n">
        <v>2199</v>
      </c>
      <c r="O450" s="28" t="n">
        <v>0.2</v>
      </c>
      <c r="P450" s="27" t="n">
        <v>1759</v>
      </c>
      <c r="Q450" s="27" t="n">
        <v>1400</v>
      </c>
      <c r="R450" s="27" t="n">
        <v>359</v>
      </c>
      <c r="S450" s="7" t="s">
        <v>60</v>
      </c>
      <c r="T450" s="7" t="str">
        <f aca="false">IF(O450=0,"No discount",IF(O450&lt;=0.2,"Up to 20%","Above 20%"))</f>
        <v>Up to 20%</v>
      </c>
    </row>
    <row r="451" customFormat="false" ht="15" hidden="false" customHeight="true" outlineLevel="0" collapsed="false">
      <c r="A451" s="7" t="s">
        <v>1082</v>
      </c>
      <c r="B451" s="26" t="n">
        <v>45826</v>
      </c>
      <c r="C451" s="26" t="n">
        <v>45829</v>
      </c>
      <c r="D451" s="7" t="s">
        <v>781</v>
      </c>
      <c r="E451" s="7" t="s">
        <v>782</v>
      </c>
      <c r="F451" s="7" t="s">
        <v>219</v>
      </c>
      <c r="G451" s="7" t="s">
        <v>160</v>
      </c>
      <c r="H451" s="7" t="s">
        <v>269</v>
      </c>
      <c r="I451" s="7" t="s">
        <v>171</v>
      </c>
      <c r="J451" s="7" t="s">
        <v>304</v>
      </c>
      <c r="K451" s="7" t="s">
        <v>305</v>
      </c>
      <c r="L451" s="7" t="s">
        <v>306</v>
      </c>
      <c r="M451" s="7" t="n">
        <v>2</v>
      </c>
      <c r="N451" s="27" t="n">
        <v>2999</v>
      </c>
      <c r="O451" s="28" t="n">
        <v>0</v>
      </c>
      <c r="P451" s="27" t="n">
        <v>5998</v>
      </c>
      <c r="Q451" s="27" t="n">
        <v>4000</v>
      </c>
      <c r="R451" s="27" t="n">
        <v>1998</v>
      </c>
      <c r="S451" s="7" t="s">
        <v>60</v>
      </c>
      <c r="T451" s="7" t="str">
        <f aca="false">IF(O451=0,"No discount",IF(O451&lt;=0.2,"Up to 20%","Above 20%"))</f>
        <v>No discount</v>
      </c>
    </row>
    <row r="452" customFormat="false" ht="15" hidden="false" customHeight="true" outlineLevel="0" collapsed="false">
      <c r="A452" s="7" t="s">
        <v>1083</v>
      </c>
      <c r="B452" s="26" t="n">
        <v>45827</v>
      </c>
      <c r="C452" s="26" t="n">
        <v>45833</v>
      </c>
      <c r="D452" s="7" t="s">
        <v>375</v>
      </c>
      <c r="E452" s="7" t="s">
        <v>376</v>
      </c>
      <c r="F452" s="7" t="s">
        <v>159</v>
      </c>
      <c r="G452" s="7" t="s">
        <v>160</v>
      </c>
      <c r="H452" s="7" t="s">
        <v>269</v>
      </c>
      <c r="I452" s="7" t="s">
        <v>282</v>
      </c>
      <c r="J452" s="7" t="s">
        <v>283</v>
      </c>
      <c r="K452" s="7" t="s">
        <v>284</v>
      </c>
      <c r="L452" s="7" t="s">
        <v>285</v>
      </c>
      <c r="M452" s="7" t="n">
        <v>8</v>
      </c>
      <c r="N452" s="27" t="n">
        <v>199</v>
      </c>
      <c r="O452" s="28" t="n">
        <v>0</v>
      </c>
      <c r="P452" s="27" t="n">
        <v>1592</v>
      </c>
      <c r="Q452" s="27" t="n">
        <v>720</v>
      </c>
      <c r="R452" s="27" t="n">
        <v>872</v>
      </c>
      <c r="S452" s="7" t="s">
        <v>60</v>
      </c>
      <c r="T452" s="7" t="str">
        <f aca="false">IF(O452=0,"No discount",IF(O452&lt;=0.2,"Up to 20%","Above 20%"))</f>
        <v>No discount</v>
      </c>
    </row>
    <row r="453" customFormat="false" ht="15" hidden="false" customHeight="true" outlineLevel="0" collapsed="false">
      <c r="A453" s="7" t="s">
        <v>1084</v>
      </c>
      <c r="B453" s="26" t="n">
        <v>45827</v>
      </c>
      <c r="C453" s="26" t="n">
        <v>45831</v>
      </c>
      <c r="D453" s="7" t="s">
        <v>651</v>
      </c>
      <c r="E453" s="7" t="s">
        <v>652</v>
      </c>
      <c r="F453" s="7" t="s">
        <v>219</v>
      </c>
      <c r="G453" s="7" t="s">
        <v>206</v>
      </c>
      <c r="H453" s="7" t="s">
        <v>207</v>
      </c>
      <c r="I453" s="7" t="s">
        <v>171</v>
      </c>
      <c r="J453" s="7" t="s">
        <v>314</v>
      </c>
      <c r="K453" s="7" t="s">
        <v>315</v>
      </c>
      <c r="L453" s="7" t="s">
        <v>316</v>
      </c>
      <c r="M453" s="7" t="n">
        <v>1</v>
      </c>
      <c r="N453" s="27" t="n">
        <v>1299</v>
      </c>
      <c r="O453" s="28" t="n">
        <v>0.1</v>
      </c>
      <c r="P453" s="27" t="n">
        <v>1169</v>
      </c>
      <c r="Q453" s="27" t="n">
        <v>700</v>
      </c>
      <c r="R453" s="27" t="n">
        <v>469</v>
      </c>
      <c r="S453" s="7" t="s">
        <v>60</v>
      </c>
      <c r="T453" s="7" t="str">
        <f aca="false">IF(O453=0,"No discount",IF(O453&lt;=0.2,"Up to 20%","Above 20%"))</f>
        <v>Up to 20%</v>
      </c>
    </row>
    <row r="454" customFormat="false" ht="15" hidden="false" customHeight="true" outlineLevel="0" collapsed="false">
      <c r="A454" s="7" t="s">
        <v>1085</v>
      </c>
      <c r="B454" s="26" t="n">
        <v>45828</v>
      </c>
      <c r="C454" s="26" t="n">
        <v>45835</v>
      </c>
      <c r="D454" s="7" t="s">
        <v>221</v>
      </c>
      <c r="E454" s="7" t="s">
        <v>222</v>
      </c>
      <c r="F454" s="7" t="s">
        <v>219</v>
      </c>
      <c r="G454" s="7" t="s">
        <v>160</v>
      </c>
      <c r="H454" s="7" t="s">
        <v>161</v>
      </c>
      <c r="I454" s="7" t="s">
        <v>192</v>
      </c>
      <c r="J454" s="7" t="s">
        <v>213</v>
      </c>
      <c r="K454" s="7" t="s">
        <v>264</v>
      </c>
      <c r="L454" s="7" t="s">
        <v>265</v>
      </c>
      <c r="M454" s="7" t="n">
        <v>1</v>
      </c>
      <c r="N454" s="27" t="n">
        <v>2499</v>
      </c>
      <c r="O454" s="28" t="n">
        <v>0.2</v>
      </c>
      <c r="P454" s="27" t="n">
        <v>1999</v>
      </c>
      <c r="Q454" s="27" t="n">
        <v>1700</v>
      </c>
      <c r="R454" s="27" t="n">
        <v>299</v>
      </c>
      <c r="S454" s="7" t="s">
        <v>47</v>
      </c>
      <c r="T454" s="7" t="str">
        <f aca="false">IF(O454=0,"No discount",IF(O454&lt;=0.2,"Up to 20%","Above 20%"))</f>
        <v>Up to 20%</v>
      </c>
    </row>
    <row r="455" customFormat="false" ht="15" hidden="false" customHeight="true" outlineLevel="0" collapsed="false">
      <c r="A455" s="7" t="s">
        <v>1086</v>
      </c>
      <c r="B455" s="26" t="n">
        <v>45828</v>
      </c>
      <c r="C455" s="26" t="n">
        <v>45833</v>
      </c>
      <c r="D455" s="7" t="s">
        <v>746</v>
      </c>
      <c r="E455" s="7" t="s">
        <v>747</v>
      </c>
      <c r="F455" s="7" t="s">
        <v>159</v>
      </c>
      <c r="G455" s="7" t="s">
        <v>160</v>
      </c>
      <c r="H455" s="7" t="s">
        <v>269</v>
      </c>
      <c r="I455" s="7" t="s">
        <v>208</v>
      </c>
      <c r="J455" s="7" t="s">
        <v>232</v>
      </c>
      <c r="K455" s="7" t="s">
        <v>233</v>
      </c>
      <c r="L455" s="7" t="s">
        <v>234</v>
      </c>
      <c r="M455" s="7" t="n">
        <v>3</v>
      </c>
      <c r="N455" s="27" t="n">
        <v>7999</v>
      </c>
      <c r="O455" s="28" t="n">
        <v>0.2</v>
      </c>
      <c r="P455" s="27" t="n">
        <v>19198</v>
      </c>
      <c r="Q455" s="27" t="n">
        <v>16800</v>
      </c>
      <c r="R455" s="27" t="n">
        <v>2398</v>
      </c>
      <c r="S455" s="7" t="s">
        <v>60</v>
      </c>
      <c r="T455" s="7" t="str">
        <f aca="false">IF(O455=0,"No discount",IF(O455&lt;=0.2,"Up to 20%","Above 20%"))</f>
        <v>Up to 20%</v>
      </c>
    </row>
    <row r="456" customFormat="false" ht="15" hidden="false" customHeight="true" outlineLevel="0" collapsed="false">
      <c r="A456" s="7" t="s">
        <v>1087</v>
      </c>
      <c r="B456" s="26" t="n">
        <v>45828</v>
      </c>
      <c r="C456" s="26" t="n">
        <v>45831</v>
      </c>
      <c r="D456" s="7" t="s">
        <v>491</v>
      </c>
      <c r="E456" s="7" t="s">
        <v>492</v>
      </c>
      <c r="F456" s="7" t="s">
        <v>159</v>
      </c>
      <c r="G456" s="7" t="s">
        <v>169</v>
      </c>
      <c r="H456" s="7" t="s">
        <v>179</v>
      </c>
      <c r="I456" s="7" t="s">
        <v>199</v>
      </c>
      <c r="J456" s="7" t="s">
        <v>200</v>
      </c>
      <c r="K456" s="7" t="s">
        <v>201</v>
      </c>
      <c r="L456" s="7" t="s">
        <v>202</v>
      </c>
      <c r="M456" s="7" t="n">
        <v>2</v>
      </c>
      <c r="N456" s="27" t="n">
        <v>399</v>
      </c>
      <c r="O456" s="28" t="n">
        <v>0.15</v>
      </c>
      <c r="P456" s="27" t="n">
        <v>678</v>
      </c>
      <c r="Q456" s="27" t="n">
        <v>320</v>
      </c>
      <c r="R456" s="27" t="n">
        <v>358</v>
      </c>
      <c r="S456" s="7" t="s">
        <v>60</v>
      </c>
      <c r="T456" s="7" t="str">
        <f aca="false">IF(O456=0,"No discount",IF(O456&lt;=0.2,"Up to 20%","Above 20%"))</f>
        <v>Up to 20%</v>
      </c>
    </row>
    <row r="457" customFormat="false" ht="15" hidden="false" customHeight="true" outlineLevel="0" collapsed="false">
      <c r="A457" s="7" t="s">
        <v>1088</v>
      </c>
      <c r="B457" s="26" t="n">
        <v>45829</v>
      </c>
      <c r="C457" s="26" t="n">
        <v>45834</v>
      </c>
      <c r="D457" s="7" t="s">
        <v>255</v>
      </c>
      <c r="E457" s="7" t="s">
        <v>256</v>
      </c>
      <c r="F457" s="7" t="s">
        <v>159</v>
      </c>
      <c r="G457" s="7" t="s">
        <v>206</v>
      </c>
      <c r="H457" s="7" t="s">
        <v>207</v>
      </c>
      <c r="I457" s="7" t="s">
        <v>208</v>
      </c>
      <c r="J457" s="7" t="s">
        <v>421</v>
      </c>
      <c r="K457" s="7" t="s">
        <v>422</v>
      </c>
      <c r="L457" s="7" t="s">
        <v>423</v>
      </c>
      <c r="M457" s="7" t="n">
        <v>3</v>
      </c>
      <c r="N457" s="27" t="n">
        <v>5999</v>
      </c>
      <c r="O457" s="28" t="n">
        <v>0</v>
      </c>
      <c r="P457" s="27" t="n">
        <v>17997</v>
      </c>
      <c r="Q457" s="27" t="n">
        <v>12900</v>
      </c>
      <c r="R457" s="27" t="n">
        <v>5097</v>
      </c>
      <c r="S457" s="7" t="s">
        <v>60</v>
      </c>
      <c r="T457" s="7" t="str">
        <f aca="false">IF(O457=0,"No discount",IF(O457&lt;=0.2,"Up to 20%","Above 20%"))</f>
        <v>No discount</v>
      </c>
    </row>
    <row r="458" customFormat="false" ht="15" hidden="false" customHeight="true" outlineLevel="0" collapsed="false">
      <c r="A458" s="7" t="s">
        <v>1089</v>
      </c>
      <c r="B458" s="26" t="n">
        <v>45829</v>
      </c>
      <c r="C458" s="26" t="n">
        <v>45834</v>
      </c>
      <c r="D458" s="7" t="s">
        <v>1090</v>
      </c>
      <c r="E458" s="7" t="s">
        <v>1091</v>
      </c>
      <c r="F458" s="7" t="s">
        <v>178</v>
      </c>
      <c r="G458" s="7" t="s">
        <v>169</v>
      </c>
      <c r="H458" s="7" t="s">
        <v>179</v>
      </c>
      <c r="I458" s="7" t="s">
        <v>282</v>
      </c>
      <c r="J458" s="7" t="s">
        <v>387</v>
      </c>
      <c r="K458" s="7" t="s">
        <v>388</v>
      </c>
      <c r="L458" s="7" t="s">
        <v>389</v>
      </c>
      <c r="M458" s="7" t="n">
        <v>1</v>
      </c>
      <c r="N458" s="27" t="n">
        <v>1299</v>
      </c>
      <c r="O458" s="28" t="n">
        <v>0</v>
      </c>
      <c r="P458" s="27" t="n">
        <v>1299</v>
      </c>
      <c r="Q458" s="27" t="n">
        <v>780</v>
      </c>
      <c r="R458" s="27" t="n">
        <v>519</v>
      </c>
      <c r="S458" s="7" t="s">
        <v>60</v>
      </c>
      <c r="T458" s="7" t="str">
        <f aca="false">IF(O458=0,"No discount",IF(O458&lt;=0.2,"Up to 20%","Above 20%"))</f>
        <v>No discount</v>
      </c>
    </row>
    <row r="459" customFormat="false" ht="15" hidden="false" customHeight="true" outlineLevel="0" collapsed="false">
      <c r="A459" s="7" t="s">
        <v>1092</v>
      </c>
      <c r="B459" s="26" t="n">
        <v>45829</v>
      </c>
      <c r="C459" s="26" t="n">
        <v>45830</v>
      </c>
      <c r="D459" s="7" t="s">
        <v>1093</v>
      </c>
      <c r="E459" s="7" t="s">
        <v>1094</v>
      </c>
      <c r="F459" s="7" t="s">
        <v>219</v>
      </c>
      <c r="G459" s="7" t="s">
        <v>160</v>
      </c>
      <c r="H459" s="7" t="s">
        <v>269</v>
      </c>
      <c r="I459" s="7" t="s">
        <v>208</v>
      </c>
      <c r="J459" s="7" t="s">
        <v>232</v>
      </c>
      <c r="K459" s="7" t="s">
        <v>233</v>
      </c>
      <c r="L459" s="7" t="s">
        <v>234</v>
      </c>
      <c r="M459" s="7" t="n">
        <v>1</v>
      </c>
      <c r="N459" s="27" t="n">
        <v>7999</v>
      </c>
      <c r="O459" s="28" t="n">
        <v>0.1</v>
      </c>
      <c r="P459" s="27" t="n">
        <v>7199</v>
      </c>
      <c r="Q459" s="27" t="n">
        <v>5600</v>
      </c>
      <c r="R459" s="27" t="n">
        <v>1599</v>
      </c>
      <c r="S459" s="7" t="s">
        <v>60</v>
      </c>
      <c r="T459" s="7" t="str">
        <f aca="false">IF(O459=0,"No discount",IF(O459&lt;=0.2,"Up to 20%","Above 20%"))</f>
        <v>Up to 20%</v>
      </c>
    </row>
    <row r="460" customFormat="false" ht="15" hidden="false" customHeight="true" outlineLevel="0" collapsed="false">
      <c r="A460" s="7" t="s">
        <v>1095</v>
      </c>
      <c r="B460" s="26" t="n">
        <v>45830</v>
      </c>
      <c r="C460" s="26" t="n">
        <v>45831</v>
      </c>
      <c r="D460" s="7" t="s">
        <v>914</v>
      </c>
      <c r="E460" s="7" t="s">
        <v>915</v>
      </c>
      <c r="F460" s="7" t="s">
        <v>159</v>
      </c>
      <c r="G460" s="7" t="s">
        <v>160</v>
      </c>
      <c r="H460" s="7" t="s">
        <v>269</v>
      </c>
      <c r="I460" s="7" t="s">
        <v>171</v>
      </c>
      <c r="J460" s="7" t="s">
        <v>304</v>
      </c>
      <c r="K460" s="7" t="s">
        <v>499</v>
      </c>
      <c r="L460" s="7" t="s">
        <v>500</v>
      </c>
      <c r="M460" s="7" t="n">
        <v>3</v>
      </c>
      <c r="N460" s="27" t="n">
        <v>5499</v>
      </c>
      <c r="O460" s="28" t="n">
        <v>0.2</v>
      </c>
      <c r="P460" s="27" t="n">
        <v>13198</v>
      </c>
      <c r="Q460" s="27" t="n">
        <v>11700</v>
      </c>
      <c r="R460" s="27" t="n">
        <v>1498</v>
      </c>
      <c r="S460" s="7" t="s">
        <v>60</v>
      </c>
      <c r="T460" s="7" t="str">
        <f aca="false">IF(O460=0,"No discount",IF(O460&lt;=0.2,"Up to 20%","Above 20%"))</f>
        <v>Up to 20%</v>
      </c>
    </row>
    <row r="461" customFormat="false" ht="15" hidden="false" customHeight="true" outlineLevel="0" collapsed="false">
      <c r="A461" s="7" t="s">
        <v>1096</v>
      </c>
      <c r="B461" s="26" t="n">
        <v>45830</v>
      </c>
      <c r="C461" s="26" t="n">
        <v>45833</v>
      </c>
      <c r="D461" s="7" t="s">
        <v>708</v>
      </c>
      <c r="E461" s="7" t="s">
        <v>709</v>
      </c>
      <c r="F461" s="7" t="s">
        <v>219</v>
      </c>
      <c r="G461" s="7" t="s">
        <v>169</v>
      </c>
      <c r="H461" s="7" t="s">
        <v>191</v>
      </c>
      <c r="I461" s="7" t="s">
        <v>192</v>
      </c>
      <c r="J461" s="7" t="s">
        <v>213</v>
      </c>
      <c r="K461" s="7" t="s">
        <v>214</v>
      </c>
      <c r="L461" s="7" t="s">
        <v>215</v>
      </c>
      <c r="M461" s="7" t="n">
        <v>1</v>
      </c>
      <c r="N461" s="27" t="n">
        <v>5999</v>
      </c>
      <c r="O461" s="28" t="n">
        <v>0.3</v>
      </c>
      <c r="P461" s="27" t="n">
        <v>4199</v>
      </c>
      <c r="Q461" s="27" t="n">
        <v>4600</v>
      </c>
      <c r="R461" s="27" t="n">
        <v>-401</v>
      </c>
      <c r="S461" s="7" t="s">
        <v>60</v>
      </c>
      <c r="T461" s="7" t="str">
        <f aca="false">IF(O461=0,"No discount",IF(O461&lt;=0.2,"Up to 20%","Above 20%"))</f>
        <v>Above 20%</v>
      </c>
    </row>
    <row r="462" customFormat="false" ht="15" hidden="false" customHeight="true" outlineLevel="0" collapsed="false">
      <c r="A462" s="7" t="s">
        <v>1097</v>
      </c>
      <c r="B462" s="26" t="n">
        <v>45830</v>
      </c>
      <c r="C462" s="26" t="n">
        <v>45831</v>
      </c>
      <c r="D462" s="7" t="s">
        <v>375</v>
      </c>
      <c r="E462" s="7" t="s">
        <v>376</v>
      </c>
      <c r="F462" s="7" t="s">
        <v>159</v>
      </c>
      <c r="G462" s="7" t="s">
        <v>160</v>
      </c>
      <c r="H462" s="7" t="s">
        <v>269</v>
      </c>
      <c r="I462" s="7" t="s">
        <v>208</v>
      </c>
      <c r="J462" s="7" t="s">
        <v>232</v>
      </c>
      <c r="K462" s="7" t="s">
        <v>233</v>
      </c>
      <c r="L462" s="7" t="s">
        <v>234</v>
      </c>
      <c r="M462" s="7" t="n">
        <v>4</v>
      </c>
      <c r="N462" s="27" t="n">
        <v>7999</v>
      </c>
      <c r="O462" s="28" t="n">
        <v>0.05</v>
      </c>
      <c r="P462" s="27" t="n">
        <v>30396</v>
      </c>
      <c r="Q462" s="27" t="n">
        <v>22400</v>
      </c>
      <c r="R462" s="27" t="n">
        <v>7996</v>
      </c>
      <c r="S462" s="7" t="s">
        <v>60</v>
      </c>
      <c r="T462" s="7" t="str">
        <f aca="false">IF(O462=0,"No discount",IF(O462&lt;=0.2,"Up to 20%","Above 20%"))</f>
        <v>Up to 20%</v>
      </c>
    </row>
    <row r="463" customFormat="false" ht="15" hidden="false" customHeight="true" outlineLevel="0" collapsed="false">
      <c r="A463" s="7" t="s">
        <v>1098</v>
      </c>
      <c r="B463" s="26" t="n">
        <v>45831</v>
      </c>
      <c r="C463" s="26" t="n">
        <v>45837</v>
      </c>
      <c r="D463" s="7" t="s">
        <v>1099</v>
      </c>
      <c r="E463" s="7" t="s">
        <v>1100</v>
      </c>
      <c r="F463" s="7" t="s">
        <v>219</v>
      </c>
      <c r="G463" s="7" t="s">
        <v>169</v>
      </c>
      <c r="H463" s="7" t="s">
        <v>179</v>
      </c>
      <c r="I463" s="7" t="s">
        <v>162</v>
      </c>
      <c r="J463" s="7" t="s">
        <v>251</v>
      </c>
      <c r="K463" s="7" t="s">
        <v>252</v>
      </c>
      <c r="L463" s="7" t="s">
        <v>253</v>
      </c>
      <c r="M463" s="7" t="n">
        <v>3</v>
      </c>
      <c r="N463" s="27" t="n">
        <v>3999</v>
      </c>
      <c r="O463" s="28" t="n">
        <v>0.5</v>
      </c>
      <c r="P463" s="27" t="n">
        <v>5998</v>
      </c>
      <c r="Q463" s="27" t="n">
        <v>7200</v>
      </c>
      <c r="R463" s="27" t="n">
        <v>-1202</v>
      </c>
      <c r="S463" s="7" t="s">
        <v>60</v>
      </c>
      <c r="T463" s="7" t="str">
        <f aca="false">IF(O463=0,"No discount",IF(O463&lt;=0.2,"Up to 20%","Above 20%"))</f>
        <v>Above 20%</v>
      </c>
    </row>
    <row r="464" customFormat="false" ht="15" hidden="false" customHeight="true" outlineLevel="0" collapsed="false">
      <c r="A464" s="7" t="s">
        <v>1101</v>
      </c>
      <c r="B464" s="26" t="n">
        <v>45831</v>
      </c>
      <c r="C464" s="26" t="n">
        <v>45834</v>
      </c>
      <c r="D464" s="7" t="s">
        <v>308</v>
      </c>
      <c r="E464" s="7" t="s">
        <v>309</v>
      </c>
      <c r="F464" s="7" t="s">
        <v>159</v>
      </c>
      <c r="G464" s="7" t="s">
        <v>169</v>
      </c>
      <c r="H464" s="7" t="s">
        <v>179</v>
      </c>
      <c r="I464" s="7" t="s">
        <v>208</v>
      </c>
      <c r="J464" s="7" t="s">
        <v>232</v>
      </c>
      <c r="K464" s="7" t="s">
        <v>233</v>
      </c>
      <c r="L464" s="7" t="s">
        <v>234</v>
      </c>
      <c r="M464" s="7" t="n">
        <v>1</v>
      </c>
      <c r="N464" s="27" t="n">
        <v>7999</v>
      </c>
      <c r="O464" s="28" t="n">
        <v>0</v>
      </c>
      <c r="P464" s="27" t="n">
        <v>7999</v>
      </c>
      <c r="Q464" s="27" t="n">
        <v>5600</v>
      </c>
      <c r="R464" s="27" t="n">
        <v>2399</v>
      </c>
      <c r="S464" s="7" t="s">
        <v>60</v>
      </c>
      <c r="T464" s="7" t="str">
        <f aca="false">IF(O464=0,"No discount",IF(O464&lt;=0.2,"Up to 20%","Above 20%"))</f>
        <v>No discount</v>
      </c>
    </row>
    <row r="465" customFormat="false" ht="15" hidden="false" customHeight="true" outlineLevel="0" collapsed="false">
      <c r="A465" s="7" t="s">
        <v>1102</v>
      </c>
      <c r="B465" s="26" t="n">
        <v>45831</v>
      </c>
      <c r="C465" s="26" t="n">
        <v>45835</v>
      </c>
      <c r="D465" s="7" t="s">
        <v>510</v>
      </c>
      <c r="E465" s="7" t="s">
        <v>511</v>
      </c>
      <c r="F465" s="7" t="s">
        <v>178</v>
      </c>
      <c r="G465" s="7" t="s">
        <v>169</v>
      </c>
      <c r="H465" s="7" t="s">
        <v>179</v>
      </c>
      <c r="I465" s="7" t="s">
        <v>162</v>
      </c>
      <c r="J465" s="7" t="s">
        <v>185</v>
      </c>
      <c r="K465" s="7" t="s">
        <v>186</v>
      </c>
      <c r="L465" s="7" t="s">
        <v>187</v>
      </c>
      <c r="M465" s="7" t="n">
        <v>1</v>
      </c>
      <c r="N465" s="27" t="n">
        <v>3299</v>
      </c>
      <c r="O465" s="28" t="n">
        <v>0.1</v>
      </c>
      <c r="P465" s="27" t="n">
        <v>2969</v>
      </c>
      <c r="Q465" s="27" t="n">
        <v>1900</v>
      </c>
      <c r="R465" s="27" t="n">
        <v>1069</v>
      </c>
      <c r="S465" s="7" t="s">
        <v>60</v>
      </c>
      <c r="T465" s="7" t="str">
        <f aca="false">IF(O465=0,"No discount",IF(O465&lt;=0.2,"Up to 20%","Above 20%"))</f>
        <v>Up to 20%</v>
      </c>
    </row>
    <row r="466" customFormat="false" ht="15" hidden="false" customHeight="true" outlineLevel="0" collapsed="false">
      <c r="A466" s="7" t="s">
        <v>1103</v>
      </c>
      <c r="B466" s="26" t="n">
        <v>45831</v>
      </c>
      <c r="C466" s="26" t="n">
        <v>45832</v>
      </c>
      <c r="D466" s="7" t="s">
        <v>221</v>
      </c>
      <c r="E466" s="7" t="s">
        <v>222</v>
      </c>
      <c r="F466" s="7" t="s">
        <v>219</v>
      </c>
      <c r="G466" s="7" t="s">
        <v>160</v>
      </c>
      <c r="H466" s="7" t="s">
        <v>161</v>
      </c>
      <c r="I466" s="7" t="s">
        <v>199</v>
      </c>
      <c r="J466" s="7" t="s">
        <v>223</v>
      </c>
      <c r="K466" s="7" t="s">
        <v>246</v>
      </c>
      <c r="L466" s="7" t="s">
        <v>247</v>
      </c>
      <c r="M466" s="7" t="n">
        <v>1</v>
      </c>
      <c r="N466" s="27" t="n">
        <v>599</v>
      </c>
      <c r="O466" s="28" t="n">
        <v>0.2</v>
      </c>
      <c r="P466" s="27" t="n">
        <v>479</v>
      </c>
      <c r="Q466" s="27" t="n">
        <v>270</v>
      </c>
      <c r="R466" s="27" t="n">
        <v>209</v>
      </c>
      <c r="S466" s="7" t="s">
        <v>60</v>
      </c>
      <c r="T466" s="7" t="str">
        <f aca="false">IF(O466=0,"No discount",IF(O466&lt;=0.2,"Up to 20%","Above 20%"))</f>
        <v>Up to 20%</v>
      </c>
    </row>
    <row r="467" customFormat="false" ht="15" hidden="false" customHeight="true" outlineLevel="0" collapsed="false">
      <c r="A467" s="7" t="s">
        <v>1104</v>
      </c>
      <c r="B467" s="26" t="n">
        <v>45831</v>
      </c>
      <c r="C467" s="26" t="n">
        <v>45837</v>
      </c>
      <c r="D467" s="7" t="s">
        <v>560</v>
      </c>
      <c r="E467" s="7" t="s">
        <v>561</v>
      </c>
      <c r="F467" s="7" t="s">
        <v>219</v>
      </c>
      <c r="G467" s="7" t="s">
        <v>160</v>
      </c>
      <c r="H467" s="7" t="s">
        <v>269</v>
      </c>
      <c r="I467" s="7" t="s">
        <v>199</v>
      </c>
      <c r="J467" s="7" t="s">
        <v>200</v>
      </c>
      <c r="K467" s="7" t="s">
        <v>201</v>
      </c>
      <c r="L467" s="7" t="s">
        <v>202</v>
      </c>
      <c r="M467" s="7" t="n">
        <v>3</v>
      </c>
      <c r="N467" s="27" t="n">
        <v>399</v>
      </c>
      <c r="O467" s="28" t="n">
        <v>0</v>
      </c>
      <c r="P467" s="27" t="n">
        <v>1197</v>
      </c>
      <c r="Q467" s="27" t="n">
        <v>480</v>
      </c>
      <c r="R467" s="27" t="n">
        <v>717</v>
      </c>
      <c r="S467" s="7" t="s">
        <v>60</v>
      </c>
      <c r="T467" s="7" t="str">
        <f aca="false">IF(O467=0,"No discount",IF(O467&lt;=0.2,"Up to 20%","Above 20%"))</f>
        <v>No discount</v>
      </c>
    </row>
    <row r="468" customFormat="false" ht="15" hidden="false" customHeight="true" outlineLevel="0" collapsed="false">
      <c r="A468" s="7" t="s">
        <v>1105</v>
      </c>
      <c r="B468" s="26" t="n">
        <v>45831</v>
      </c>
      <c r="C468" s="26" t="n">
        <v>45837</v>
      </c>
      <c r="D468" s="7" t="s">
        <v>236</v>
      </c>
      <c r="E468" s="7" t="s">
        <v>237</v>
      </c>
      <c r="F468" s="7" t="s">
        <v>219</v>
      </c>
      <c r="G468" s="7" t="s">
        <v>169</v>
      </c>
      <c r="H468" s="7" t="s">
        <v>170</v>
      </c>
      <c r="I468" s="7" t="s">
        <v>192</v>
      </c>
      <c r="J468" s="7" t="s">
        <v>213</v>
      </c>
      <c r="K468" s="7" t="s">
        <v>214</v>
      </c>
      <c r="L468" s="7" t="s">
        <v>215</v>
      </c>
      <c r="M468" s="7" t="n">
        <v>4</v>
      </c>
      <c r="N468" s="27" t="n">
        <v>5999</v>
      </c>
      <c r="O468" s="28" t="n">
        <v>0.3</v>
      </c>
      <c r="P468" s="27" t="n">
        <v>16797</v>
      </c>
      <c r="Q468" s="27" t="n">
        <v>18400</v>
      </c>
      <c r="R468" s="27" t="n">
        <v>-1603</v>
      </c>
      <c r="S468" s="7" t="s">
        <v>60</v>
      </c>
      <c r="T468" s="7" t="str">
        <f aca="false">IF(O468=0,"No discount",IF(O468&lt;=0.2,"Up to 20%","Above 20%"))</f>
        <v>Above 20%</v>
      </c>
    </row>
    <row r="469" customFormat="false" ht="15" hidden="false" customHeight="true" outlineLevel="0" collapsed="false">
      <c r="A469" s="7" t="s">
        <v>1106</v>
      </c>
      <c r="B469" s="26" t="n">
        <v>45831</v>
      </c>
      <c r="C469" s="26" t="n">
        <v>45832</v>
      </c>
      <c r="D469" s="7" t="s">
        <v>1107</v>
      </c>
      <c r="E469" s="7" t="s">
        <v>1108</v>
      </c>
      <c r="F469" s="7" t="s">
        <v>219</v>
      </c>
      <c r="G469" s="7" t="s">
        <v>323</v>
      </c>
      <c r="H469" s="7" t="s">
        <v>324</v>
      </c>
      <c r="I469" s="7" t="s">
        <v>171</v>
      </c>
      <c r="J469" s="7" t="s">
        <v>172</v>
      </c>
      <c r="K469" s="7" t="s">
        <v>173</v>
      </c>
      <c r="L469" s="7" t="s">
        <v>174</v>
      </c>
      <c r="M469" s="7" t="n">
        <v>1</v>
      </c>
      <c r="N469" s="27" t="n">
        <v>699</v>
      </c>
      <c r="O469" s="28" t="n">
        <v>0.05</v>
      </c>
      <c r="P469" s="27" t="n">
        <v>664</v>
      </c>
      <c r="Q469" s="27" t="n">
        <v>320</v>
      </c>
      <c r="R469" s="27" t="n">
        <v>344</v>
      </c>
      <c r="S469" s="7" t="s">
        <v>60</v>
      </c>
      <c r="T469" s="7" t="str">
        <f aca="false">IF(O469=0,"No discount",IF(O469&lt;=0.2,"Up to 20%","Above 20%"))</f>
        <v>Up to 20%</v>
      </c>
    </row>
    <row r="470" customFormat="false" ht="15" hidden="false" customHeight="true" outlineLevel="0" collapsed="false">
      <c r="A470" s="7" t="s">
        <v>1109</v>
      </c>
      <c r="B470" s="26" t="n">
        <v>45832</v>
      </c>
      <c r="C470" s="26" t="n">
        <v>45838</v>
      </c>
      <c r="D470" s="7" t="s">
        <v>351</v>
      </c>
      <c r="E470" s="7" t="s">
        <v>352</v>
      </c>
      <c r="F470" s="7" t="s">
        <v>178</v>
      </c>
      <c r="G470" s="7" t="s">
        <v>169</v>
      </c>
      <c r="H470" s="7" t="s">
        <v>179</v>
      </c>
      <c r="I470" s="7" t="s">
        <v>199</v>
      </c>
      <c r="J470" s="7" t="s">
        <v>200</v>
      </c>
      <c r="K470" s="7" t="s">
        <v>201</v>
      </c>
      <c r="L470" s="7" t="s">
        <v>202</v>
      </c>
      <c r="M470" s="7" t="n">
        <v>3</v>
      </c>
      <c r="N470" s="27" t="n">
        <v>399</v>
      </c>
      <c r="O470" s="28" t="n">
        <v>0.1</v>
      </c>
      <c r="P470" s="27" t="n">
        <v>1077</v>
      </c>
      <c r="Q470" s="27" t="n">
        <v>480</v>
      </c>
      <c r="R470" s="27" t="n">
        <v>597</v>
      </c>
      <c r="S470" s="7" t="s">
        <v>47</v>
      </c>
      <c r="T470" s="7" t="str">
        <f aca="false">IF(O470=0,"No discount",IF(O470&lt;=0.2,"Up to 20%","Above 20%"))</f>
        <v>Up to 20%</v>
      </c>
    </row>
    <row r="471" customFormat="false" ht="15" hidden="false" customHeight="true" outlineLevel="0" collapsed="false">
      <c r="A471" s="7" t="s">
        <v>1110</v>
      </c>
      <c r="B471" s="26" t="n">
        <v>45832</v>
      </c>
      <c r="C471" s="26" t="n">
        <v>45837</v>
      </c>
      <c r="D471" s="7" t="s">
        <v>645</v>
      </c>
      <c r="E471" s="7" t="s">
        <v>646</v>
      </c>
      <c r="F471" s="7" t="s">
        <v>178</v>
      </c>
      <c r="G471" s="7" t="s">
        <v>160</v>
      </c>
      <c r="H471" s="7" t="s">
        <v>161</v>
      </c>
      <c r="I471" s="7" t="s">
        <v>162</v>
      </c>
      <c r="J471" s="7" t="s">
        <v>185</v>
      </c>
      <c r="K471" s="7" t="s">
        <v>186</v>
      </c>
      <c r="L471" s="7" t="s">
        <v>187</v>
      </c>
      <c r="M471" s="7" t="n">
        <v>2</v>
      </c>
      <c r="N471" s="27" t="n">
        <v>3299</v>
      </c>
      <c r="O471" s="28" t="n">
        <v>0.5</v>
      </c>
      <c r="P471" s="27" t="n">
        <v>3299</v>
      </c>
      <c r="Q471" s="27" t="n">
        <v>3800</v>
      </c>
      <c r="R471" s="27" t="n">
        <v>-501</v>
      </c>
      <c r="S471" s="7" t="s">
        <v>60</v>
      </c>
      <c r="T471" s="7" t="str">
        <f aca="false">IF(O471=0,"No discount",IF(O471&lt;=0.2,"Up to 20%","Above 20%"))</f>
        <v>Above 20%</v>
      </c>
    </row>
    <row r="472" customFormat="false" ht="15" hidden="false" customHeight="true" outlineLevel="0" collapsed="false">
      <c r="A472" s="7" t="s">
        <v>1111</v>
      </c>
      <c r="B472" s="26" t="n">
        <v>45832</v>
      </c>
      <c r="C472" s="26" t="n">
        <v>45835</v>
      </c>
      <c r="D472" s="7" t="s">
        <v>308</v>
      </c>
      <c r="E472" s="7" t="s">
        <v>309</v>
      </c>
      <c r="F472" s="7" t="s">
        <v>159</v>
      </c>
      <c r="G472" s="7" t="s">
        <v>169</v>
      </c>
      <c r="H472" s="7" t="s">
        <v>179</v>
      </c>
      <c r="I472" s="7" t="s">
        <v>162</v>
      </c>
      <c r="J472" s="7" t="s">
        <v>185</v>
      </c>
      <c r="K472" s="7" t="s">
        <v>186</v>
      </c>
      <c r="L472" s="7" t="s">
        <v>187</v>
      </c>
      <c r="M472" s="7" t="n">
        <v>1</v>
      </c>
      <c r="N472" s="27" t="n">
        <v>3299</v>
      </c>
      <c r="O472" s="28" t="n">
        <v>0.2</v>
      </c>
      <c r="P472" s="27" t="n">
        <v>2639</v>
      </c>
      <c r="Q472" s="27" t="n">
        <v>1900</v>
      </c>
      <c r="R472" s="27" t="n">
        <v>739</v>
      </c>
      <c r="S472" s="7" t="s">
        <v>60</v>
      </c>
      <c r="T472" s="7" t="str">
        <f aca="false">IF(O472=0,"No discount",IF(O472&lt;=0.2,"Up to 20%","Above 20%"))</f>
        <v>Up to 20%</v>
      </c>
    </row>
    <row r="473" customFormat="false" ht="15" hidden="false" customHeight="true" outlineLevel="0" collapsed="false">
      <c r="A473" s="7" t="s">
        <v>1112</v>
      </c>
      <c r="B473" s="26" t="n">
        <v>45833</v>
      </c>
      <c r="C473" s="26" t="n">
        <v>45837</v>
      </c>
      <c r="D473" s="7" t="s">
        <v>241</v>
      </c>
      <c r="E473" s="7" t="s">
        <v>242</v>
      </c>
      <c r="F473" s="7" t="s">
        <v>159</v>
      </c>
      <c r="G473" s="7" t="s">
        <v>206</v>
      </c>
      <c r="H473" s="7" t="s">
        <v>207</v>
      </c>
      <c r="I473" s="7" t="s">
        <v>192</v>
      </c>
      <c r="J473" s="7" t="s">
        <v>502</v>
      </c>
      <c r="K473" s="7" t="s">
        <v>526</v>
      </c>
      <c r="L473" s="7" t="s">
        <v>527</v>
      </c>
      <c r="M473" s="7" t="n">
        <v>1</v>
      </c>
      <c r="N473" s="27" t="n">
        <v>6499</v>
      </c>
      <c r="O473" s="28" t="n">
        <v>0.1</v>
      </c>
      <c r="P473" s="27" t="n">
        <v>5849</v>
      </c>
      <c r="Q473" s="27" t="n">
        <v>5000</v>
      </c>
      <c r="R473" s="27" t="n">
        <v>849</v>
      </c>
      <c r="S473" s="7" t="s">
        <v>60</v>
      </c>
      <c r="T473" s="7" t="str">
        <f aca="false">IF(O473=0,"No discount",IF(O473&lt;=0.2,"Up to 20%","Above 20%"))</f>
        <v>Up to 20%</v>
      </c>
    </row>
    <row r="474" customFormat="false" ht="15" hidden="false" customHeight="true" outlineLevel="0" collapsed="false">
      <c r="A474" s="7" t="s">
        <v>1113</v>
      </c>
      <c r="B474" s="26" t="n">
        <v>45833</v>
      </c>
      <c r="C474" s="26" t="n">
        <v>45836</v>
      </c>
      <c r="D474" s="7" t="s">
        <v>496</v>
      </c>
      <c r="E474" s="7" t="s">
        <v>497</v>
      </c>
      <c r="F474" s="7" t="s">
        <v>178</v>
      </c>
      <c r="G474" s="7" t="s">
        <v>169</v>
      </c>
      <c r="H474" s="7" t="s">
        <v>179</v>
      </c>
      <c r="I474" s="7" t="s">
        <v>171</v>
      </c>
      <c r="J474" s="7" t="s">
        <v>172</v>
      </c>
      <c r="K474" s="7" t="s">
        <v>180</v>
      </c>
      <c r="L474" s="7" t="s">
        <v>181</v>
      </c>
      <c r="M474" s="7" t="n">
        <v>4</v>
      </c>
      <c r="N474" s="27" t="n">
        <v>999</v>
      </c>
      <c r="O474" s="28" t="n">
        <v>0</v>
      </c>
      <c r="P474" s="27" t="n">
        <v>3996</v>
      </c>
      <c r="Q474" s="27" t="n">
        <v>2080</v>
      </c>
      <c r="R474" s="27" t="n">
        <v>1916</v>
      </c>
      <c r="S474" s="7" t="s">
        <v>60</v>
      </c>
      <c r="T474" s="7" t="str">
        <f aca="false">IF(O474=0,"No discount",IF(O474&lt;=0.2,"Up to 20%","Above 20%"))</f>
        <v>No discount</v>
      </c>
    </row>
    <row r="475" customFormat="false" ht="15" hidden="false" customHeight="true" outlineLevel="0" collapsed="false">
      <c r="A475" s="7" t="s">
        <v>1114</v>
      </c>
      <c r="B475" s="26" t="n">
        <v>45834</v>
      </c>
      <c r="C475" s="26" t="n">
        <v>45839</v>
      </c>
      <c r="D475" s="7" t="s">
        <v>1115</v>
      </c>
      <c r="E475" s="7" t="s">
        <v>1116</v>
      </c>
      <c r="F475" s="7" t="s">
        <v>159</v>
      </c>
      <c r="G475" s="7" t="s">
        <v>169</v>
      </c>
      <c r="H475" s="7" t="s">
        <v>179</v>
      </c>
      <c r="I475" s="7" t="s">
        <v>199</v>
      </c>
      <c r="J475" s="7" t="s">
        <v>200</v>
      </c>
      <c r="K475" s="7" t="s">
        <v>201</v>
      </c>
      <c r="L475" s="7" t="s">
        <v>202</v>
      </c>
      <c r="M475" s="7" t="n">
        <v>2</v>
      </c>
      <c r="N475" s="27" t="n">
        <v>399</v>
      </c>
      <c r="O475" s="28" t="n">
        <v>0.15</v>
      </c>
      <c r="P475" s="27" t="n">
        <v>678</v>
      </c>
      <c r="Q475" s="27" t="n">
        <v>320</v>
      </c>
      <c r="R475" s="27" t="n">
        <v>358</v>
      </c>
      <c r="S475" s="7" t="s">
        <v>60</v>
      </c>
      <c r="T475" s="7" t="str">
        <f aca="false">IF(O475=0,"No discount",IF(O475&lt;=0.2,"Up to 20%","Above 20%"))</f>
        <v>Up to 20%</v>
      </c>
    </row>
    <row r="476" customFormat="false" ht="15" hidden="false" customHeight="true" outlineLevel="0" collapsed="false">
      <c r="A476" s="7" t="s">
        <v>1117</v>
      </c>
      <c r="B476" s="26" t="n">
        <v>45834</v>
      </c>
      <c r="C476" s="26" t="n">
        <v>45836</v>
      </c>
      <c r="D476" s="7" t="s">
        <v>204</v>
      </c>
      <c r="E476" s="7" t="s">
        <v>205</v>
      </c>
      <c r="F476" s="7" t="s">
        <v>159</v>
      </c>
      <c r="G476" s="7" t="s">
        <v>206</v>
      </c>
      <c r="H476" s="7" t="s">
        <v>207</v>
      </c>
      <c r="I476" s="7" t="s">
        <v>208</v>
      </c>
      <c r="J476" s="7" t="s">
        <v>209</v>
      </c>
      <c r="K476" s="7" t="s">
        <v>637</v>
      </c>
      <c r="L476" s="7" t="s">
        <v>638</v>
      </c>
      <c r="M476" s="7" t="n">
        <v>3</v>
      </c>
      <c r="N476" s="27" t="n">
        <v>899</v>
      </c>
      <c r="O476" s="28" t="n">
        <v>0</v>
      </c>
      <c r="P476" s="27" t="n">
        <v>2697</v>
      </c>
      <c r="Q476" s="27" t="n">
        <v>1440</v>
      </c>
      <c r="R476" s="27" t="n">
        <v>1257</v>
      </c>
      <c r="S476" s="7" t="s">
        <v>60</v>
      </c>
      <c r="T476" s="7" t="str">
        <f aca="false">IF(O476=0,"No discount",IF(O476&lt;=0.2,"Up to 20%","Above 20%"))</f>
        <v>No discount</v>
      </c>
    </row>
    <row r="477" customFormat="false" ht="15" hidden="false" customHeight="true" outlineLevel="0" collapsed="false">
      <c r="A477" s="7" t="s">
        <v>1118</v>
      </c>
      <c r="B477" s="26" t="n">
        <v>45834</v>
      </c>
      <c r="C477" s="26" t="n">
        <v>45836</v>
      </c>
      <c r="D477" s="7" t="s">
        <v>734</v>
      </c>
      <c r="E477" s="7" t="s">
        <v>735</v>
      </c>
      <c r="F477" s="7" t="s">
        <v>159</v>
      </c>
      <c r="G477" s="7" t="s">
        <v>206</v>
      </c>
      <c r="H477" s="7" t="s">
        <v>207</v>
      </c>
      <c r="I477" s="7" t="s">
        <v>171</v>
      </c>
      <c r="J477" s="7" t="s">
        <v>304</v>
      </c>
      <c r="K477" s="7" t="s">
        <v>305</v>
      </c>
      <c r="L477" s="7" t="s">
        <v>306</v>
      </c>
      <c r="M477" s="7" t="n">
        <v>4</v>
      </c>
      <c r="N477" s="27" t="n">
        <v>2999</v>
      </c>
      <c r="O477" s="28" t="n">
        <v>0.05</v>
      </c>
      <c r="P477" s="27" t="n">
        <v>11396</v>
      </c>
      <c r="Q477" s="27" t="n">
        <v>8000</v>
      </c>
      <c r="R477" s="27" t="n">
        <v>3396</v>
      </c>
      <c r="S477" s="7" t="s">
        <v>60</v>
      </c>
      <c r="T477" s="7" t="str">
        <f aca="false">IF(O477=0,"No discount",IF(O477&lt;=0.2,"Up to 20%","Above 20%"))</f>
        <v>Up to 20%</v>
      </c>
    </row>
    <row r="478" customFormat="false" ht="15" hidden="false" customHeight="true" outlineLevel="0" collapsed="false">
      <c r="A478" s="7" t="s">
        <v>1119</v>
      </c>
      <c r="B478" s="26" t="n">
        <v>45835</v>
      </c>
      <c r="C478" s="26" t="n">
        <v>45836</v>
      </c>
      <c r="D478" s="7" t="s">
        <v>796</v>
      </c>
      <c r="E478" s="7" t="s">
        <v>797</v>
      </c>
      <c r="F478" s="7" t="s">
        <v>219</v>
      </c>
      <c r="G478" s="7" t="s">
        <v>169</v>
      </c>
      <c r="H478" s="7" t="s">
        <v>170</v>
      </c>
      <c r="I478" s="7" t="s">
        <v>171</v>
      </c>
      <c r="J478" s="7" t="s">
        <v>314</v>
      </c>
      <c r="K478" s="7" t="s">
        <v>315</v>
      </c>
      <c r="L478" s="7" t="s">
        <v>316</v>
      </c>
      <c r="M478" s="7" t="n">
        <v>1</v>
      </c>
      <c r="N478" s="27" t="n">
        <v>1299</v>
      </c>
      <c r="O478" s="28" t="n">
        <v>0.05</v>
      </c>
      <c r="P478" s="27" t="n">
        <v>1234</v>
      </c>
      <c r="Q478" s="27" t="n">
        <v>700</v>
      </c>
      <c r="R478" s="27" t="n">
        <v>534</v>
      </c>
      <c r="S478" s="7" t="s">
        <v>60</v>
      </c>
      <c r="T478" s="7" t="str">
        <f aca="false">IF(O478=0,"No discount",IF(O478&lt;=0.2,"Up to 20%","Above 20%"))</f>
        <v>Up to 20%</v>
      </c>
    </row>
    <row r="479" customFormat="false" ht="15" hidden="false" customHeight="true" outlineLevel="0" collapsed="false">
      <c r="A479" s="7" t="s">
        <v>1120</v>
      </c>
      <c r="B479" s="26" t="n">
        <v>45835</v>
      </c>
      <c r="C479" s="26" t="n">
        <v>45836</v>
      </c>
      <c r="D479" s="7" t="s">
        <v>920</v>
      </c>
      <c r="E479" s="7" t="s">
        <v>921</v>
      </c>
      <c r="F479" s="7" t="s">
        <v>159</v>
      </c>
      <c r="G479" s="7" t="s">
        <v>169</v>
      </c>
      <c r="H479" s="7" t="s">
        <v>170</v>
      </c>
      <c r="I479" s="7" t="s">
        <v>199</v>
      </c>
      <c r="J479" s="7" t="s">
        <v>292</v>
      </c>
      <c r="K479" s="7" t="s">
        <v>293</v>
      </c>
      <c r="L479" s="7" t="s">
        <v>294</v>
      </c>
      <c r="M479" s="7" t="n">
        <v>2</v>
      </c>
      <c r="N479" s="27" t="n">
        <v>1599</v>
      </c>
      <c r="O479" s="28" t="n">
        <v>0.2</v>
      </c>
      <c r="P479" s="27" t="n">
        <v>2558</v>
      </c>
      <c r="Q479" s="27" t="n">
        <v>1500</v>
      </c>
      <c r="R479" s="27" t="n">
        <v>1058</v>
      </c>
      <c r="S479" s="7" t="s">
        <v>60</v>
      </c>
      <c r="T479" s="7" t="str">
        <f aca="false">IF(O479=0,"No discount",IF(O479&lt;=0.2,"Up to 20%","Above 20%"))</f>
        <v>Up to 20%</v>
      </c>
    </row>
    <row r="480" customFormat="false" ht="15" hidden="false" customHeight="true" outlineLevel="0" collapsed="false">
      <c r="A480" s="7" t="s">
        <v>1121</v>
      </c>
      <c r="B480" s="26" t="n">
        <v>45835</v>
      </c>
      <c r="C480" s="26" t="n">
        <v>45837</v>
      </c>
      <c r="D480" s="7" t="s">
        <v>679</v>
      </c>
      <c r="E480" s="7" t="s">
        <v>680</v>
      </c>
      <c r="F480" s="7" t="s">
        <v>159</v>
      </c>
      <c r="G480" s="7" t="s">
        <v>169</v>
      </c>
      <c r="H480" s="7" t="s">
        <v>170</v>
      </c>
      <c r="I480" s="7" t="s">
        <v>208</v>
      </c>
      <c r="J480" s="7" t="s">
        <v>209</v>
      </c>
      <c r="K480" s="7" t="s">
        <v>210</v>
      </c>
      <c r="L480" s="7" t="s">
        <v>211</v>
      </c>
      <c r="M480" s="7" t="n">
        <v>3</v>
      </c>
      <c r="N480" s="27" t="n">
        <v>3499</v>
      </c>
      <c r="O480" s="28" t="n">
        <v>0.1</v>
      </c>
      <c r="P480" s="27" t="n">
        <v>9447</v>
      </c>
      <c r="Q480" s="27" t="n">
        <v>6600</v>
      </c>
      <c r="R480" s="27" t="n">
        <v>2847</v>
      </c>
      <c r="S480" s="7" t="s">
        <v>47</v>
      </c>
      <c r="T480" s="7" t="str">
        <f aca="false">IF(O480=0,"No discount",IF(O480&lt;=0.2,"Up to 20%","Above 20%"))</f>
        <v>Up to 20%</v>
      </c>
    </row>
    <row r="481" customFormat="false" ht="15" hidden="false" customHeight="true" outlineLevel="0" collapsed="false">
      <c r="A481" s="7" t="s">
        <v>1122</v>
      </c>
      <c r="B481" s="26" t="n">
        <v>45836</v>
      </c>
      <c r="C481" s="26" t="n">
        <v>45841</v>
      </c>
      <c r="D481" s="7" t="s">
        <v>302</v>
      </c>
      <c r="E481" s="7" t="s">
        <v>303</v>
      </c>
      <c r="F481" s="7" t="s">
        <v>159</v>
      </c>
      <c r="G481" s="7" t="s">
        <v>160</v>
      </c>
      <c r="H481" s="7" t="s">
        <v>269</v>
      </c>
      <c r="I481" s="7" t="s">
        <v>192</v>
      </c>
      <c r="J481" s="7" t="s">
        <v>193</v>
      </c>
      <c r="K481" s="7" t="s">
        <v>194</v>
      </c>
      <c r="L481" s="7" t="s">
        <v>195</v>
      </c>
      <c r="M481" s="7" t="n">
        <v>3</v>
      </c>
      <c r="N481" s="27" t="n">
        <v>8999</v>
      </c>
      <c r="O481" s="28" t="n">
        <v>0.1</v>
      </c>
      <c r="P481" s="27" t="n">
        <v>24297</v>
      </c>
      <c r="Q481" s="27" t="n">
        <v>20400</v>
      </c>
      <c r="R481" s="27" t="n">
        <v>3897</v>
      </c>
      <c r="S481" s="7" t="s">
        <v>60</v>
      </c>
      <c r="T481" s="7" t="str">
        <f aca="false">IF(O481=0,"No discount",IF(O481&lt;=0.2,"Up to 20%","Above 20%"))</f>
        <v>Up to 20%</v>
      </c>
    </row>
    <row r="482" customFormat="false" ht="15" hidden="false" customHeight="true" outlineLevel="0" collapsed="false">
      <c r="A482" s="7" t="s">
        <v>1123</v>
      </c>
      <c r="B482" s="26" t="n">
        <v>45836</v>
      </c>
      <c r="C482" s="26" t="n">
        <v>45837</v>
      </c>
      <c r="D482" s="7" t="s">
        <v>1124</v>
      </c>
      <c r="E482" s="7" t="s">
        <v>1125</v>
      </c>
      <c r="F482" s="7" t="s">
        <v>159</v>
      </c>
      <c r="G482" s="7" t="s">
        <v>169</v>
      </c>
      <c r="H482" s="7" t="s">
        <v>191</v>
      </c>
      <c r="I482" s="7" t="s">
        <v>162</v>
      </c>
      <c r="J482" s="7" t="s">
        <v>325</v>
      </c>
      <c r="K482" s="7" t="s">
        <v>583</v>
      </c>
      <c r="L482" s="7" t="s">
        <v>584</v>
      </c>
      <c r="M482" s="7" t="n">
        <v>1</v>
      </c>
      <c r="N482" s="27" t="n">
        <v>1499</v>
      </c>
      <c r="O482" s="28" t="n">
        <v>0</v>
      </c>
      <c r="P482" s="27" t="n">
        <v>1499</v>
      </c>
      <c r="Q482" s="27" t="n">
        <v>750</v>
      </c>
      <c r="R482" s="27" t="n">
        <v>749</v>
      </c>
      <c r="S482" s="7" t="s">
        <v>60</v>
      </c>
      <c r="T482" s="7" t="str">
        <f aca="false">IF(O482=0,"No discount",IF(O482&lt;=0.2,"Up to 20%","Above 20%"))</f>
        <v>No discount</v>
      </c>
    </row>
    <row r="483" customFormat="false" ht="15" hidden="false" customHeight="true" outlineLevel="0" collapsed="false">
      <c r="A483" s="7" t="s">
        <v>1126</v>
      </c>
      <c r="B483" s="26" t="n">
        <v>45838</v>
      </c>
      <c r="C483" s="26" t="n">
        <v>45843</v>
      </c>
      <c r="D483" s="7" t="s">
        <v>555</v>
      </c>
      <c r="E483" s="7" t="s">
        <v>556</v>
      </c>
      <c r="F483" s="7" t="s">
        <v>178</v>
      </c>
      <c r="G483" s="7" t="s">
        <v>206</v>
      </c>
      <c r="H483" s="7" t="s">
        <v>207</v>
      </c>
      <c r="I483" s="7" t="s">
        <v>282</v>
      </c>
      <c r="J483" s="7" t="s">
        <v>427</v>
      </c>
      <c r="K483" s="7" t="s">
        <v>428</v>
      </c>
      <c r="L483" s="7" t="s">
        <v>429</v>
      </c>
      <c r="M483" s="7" t="n">
        <v>3</v>
      </c>
      <c r="N483" s="27" t="n">
        <v>149</v>
      </c>
      <c r="O483" s="28" t="n">
        <v>0</v>
      </c>
      <c r="P483" s="27" t="n">
        <v>447</v>
      </c>
      <c r="Q483" s="27" t="n">
        <v>210</v>
      </c>
      <c r="R483" s="27" t="n">
        <v>237</v>
      </c>
      <c r="S483" s="7" t="s">
        <v>60</v>
      </c>
      <c r="T483" s="7" t="str">
        <f aca="false">IF(O483=0,"No discount",IF(O483&lt;=0.2,"Up to 20%","Above 20%"))</f>
        <v>No discount</v>
      </c>
    </row>
    <row r="484" customFormat="false" ht="15" hidden="false" customHeight="true" outlineLevel="0" collapsed="false">
      <c r="A484" s="7" t="s">
        <v>1127</v>
      </c>
      <c r="B484" s="26" t="n">
        <v>45839</v>
      </c>
      <c r="C484" s="26" t="n">
        <v>45844</v>
      </c>
      <c r="D484" s="7" t="s">
        <v>555</v>
      </c>
      <c r="E484" s="7" t="s">
        <v>556</v>
      </c>
      <c r="F484" s="7" t="s">
        <v>178</v>
      </c>
      <c r="G484" s="7" t="s">
        <v>206</v>
      </c>
      <c r="H484" s="7" t="s">
        <v>207</v>
      </c>
      <c r="I484" s="7" t="s">
        <v>208</v>
      </c>
      <c r="J484" s="7" t="s">
        <v>421</v>
      </c>
      <c r="K484" s="7" t="s">
        <v>422</v>
      </c>
      <c r="L484" s="7" t="s">
        <v>423</v>
      </c>
      <c r="M484" s="7" t="n">
        <v>2</v>
      </c>
      <c r="N484" s="27" t="n">
        <v>5999</v>
      </c>
      <c r="O484" s="28" t="n">
        <v>0.05</v>
      </c>
      <c r="P484" s="27" t="n">
        <v>11398</v>
      </c>
      <c r="Q484" s="27" t="n">
        <v>8600</v>
      </c>
      <c r="R484" s="27" t="n">
        <v>2798</v>
      </c>
      <c r="S484" s="7" t="s">
        <v>60</v>
      </c>
      <c r="T484" s="7" t="str">
        <f aca="false">IF(O484=0,"No discount",IF(O484&lt;=0.2,"Up to 20%","Above 20%"))</f>
        <v>Up to 20%</v>
      </c>
    </row>
    <row r="485" customFormat="false" ht="15" hidden="false" customHeight="true" outlineLevel="0" collapsed="false">
      <c r="A485" s="7" t="s">
        <v>1128</v>
      </c>
      <c r="B485" s="26" t="n">
        <v>45839</v>
      </c>
      <c r="C485" s="26" t="n">
        <v>45846</v>
      </c>
      <c r="D485" s="7" t="s">
        <v>485</v>
      </c>
      <c r="E485" s="7" t="s">
        <v>486</v>
      </c>
      <c r="F485" s="7" t="s">
        <v>159</v>
      </c>
      <c r="G485" s="7" t="s">
        <v>169</v>
      </c>
      <c r="H485" s="7" t="s">
        <v>179</v>
      </c>
      <c r="I485" s="7" t="s">
        <v>282</v>
      </c>
      <c r="J485" s="7" t="s">
        <v>283</v>
      </c>
      <c r="K485" s="7" t="s">
        <v>284</v>
      </c>
      <c r="L485" s="7" t="s">
        <v>285</v>
      </c>
      <c r="M485" s="7" t="n">
        <v>1</v>
      </c>
      <c r="N485" s="27" t="n">
        <v>199</v>
      </c>
      <c r="O485" s="28" t="n">
        <v>0.1</v>
      </c>
      <c r="P485" s="27" t="n">
        <v>179</v>
      </c>
      <c r="Q485" s="27" t="n">
        <v>90</v>
      </c>
      <c r="R485" s="27" t="n">
        <v>89</v>
      </c>
      <c r="S485" s="7" t="s">
        <v>60</v>
      </c>
      <c r="T485" s="7" t="str">
        <f aca="false">IF(O485=0,"No discount",IF(O485&lt;=0.2,"Up to 20%","Above 20%"))</f>
        <v>Up to 20%</v>
      </c>
    </row>
    <row r="486" customFormat="false" ht="15" hidden="false" customHeight="true" outlineLevel="0" collapsed="false">
      <c r="A486" s="7" t="s">
        <v>1129</v>
      </c>
      <c r="B486" s="26" t="n">
        <v>45839</v>
      </c>
      <c r="C486" s="26" t="n">
        <v>45846</v>
      </c>
      <c r="D486" s="7" t="s">
        <v>462</v>
      </c>
      <c r="E486" s="7" t="s">
        <v>463</v>
      </c>
      <c r="F486" s="7" t="s">
        <v>159</v>
      </c>
      <c r="G486" s="7" t="s">
        <v>169</v>
      </c>
      <c r="H486" s="7" t="s">
        <v>191</v>
      </c>
      <c r="I486" s="7" t="s">
        <v>282</v>
      </c>
      <c r="J486" s="7" t="s">
        <v>283</v>
      </c>
      <c r="K486" s="7" t="s">
        <v>284</v>
      </c>
      <c r="L486" s="7" t="s">
        <v>285</v>
      </c>
      <c r="M486" s="7" t="n">
        <v>3</v>
      </c>
      <c r="N486" s="27" t="n">
        <v>199</v>
      </c>
      <c r="O486" s="28" t="n">
        <v>0.1</v>
      </c>
      <c r="P486" s="27" t="n">
        <v>537</v>
      </c>
      <c r="Q486" s="27" t="n">
        <v>270</v>
      </c>
      <c r="R486" s="27" t="n">
        <v>267</v>
      </c>
      <c r="S486" s="7" t="s">
        <v>60</v>
      </c>
      <c r="T486" s="7" t="str">
        <f aca="false">IF(O486=0,"No discount",IF(O486&lt;=0.2,"Up to 20%","Above 20%"))</f>
        <v>Up to 20%</v>
      </c>
    </row>
    <row r="487" customFormat="false" ht="15" hidden="false" customHeight="true" outlineLevel="0" collapsed="false">
      <c r="A487" s="7" t="s">
        <v>1130</v>
      </c>
      <c r="B487" s="26" t="n">
        <v>45839</v>
      </c>
      <c r="C487" s="26" t="n">
        <v>45843</v>
      </c>
      <c r="D487" s="7" t="s">
        <v>244</v>
      </c>
      <c r="E487" s="7" t="s">
        <v>245</v>
      </c>
      <c r="F487" s="7" t="s">
        <v>178</v>
      </c>
      <c r="G487" s="7" t="s">
        <v>206</v>
      </c>
      <c r="H487" s="7" t="s">
        <v>207</v>
      </c>
      <c r="I487" s="7" t="s">
        <v>162</v>
      </c>
      <c r="J487" s="7" t="s">
        <v>251</v>
      </c>
      <c r="K487" s="7" t="s">
        <v>252</v>
      </c>
      <c r="L487" s="7" t="s">
        <v>253</v>
      </c>
      <c r="M487" s="7" t="n">
        <v>1</v>
      </c>
      <c r="N487" s="27" t="n">
        <v>3999</v>
      </c>
      <c r="O487" s="28" t="n">
        <v>0.2</v>
      </c>
      <c r="P487" s="27" t="n">
        <v>3199</v>
      </c>
      <c r="Q487" s="27" t="n">
        <v>2400</v>
      </c>
      <c r="R487" s="27" t="n">
        <v>799</v>
      </c>
      <c r="S487" s="7" t="s">
        <v>60</v>
      </c>
      <c r="T487" s="7" t="str">
        <f aca="false">IF(O487=0,"No discount",IF(O487&lt;=0.2,"Up to 20%","Above 20%"))</f>
        <v>Up to 20%</v>
      </c>
    </row>
    <row r="488" customFormat="false" ht="15" hidden="false" customHeight="true" outlineLevel="0" collapsed="false">
      <c r="A488" s="7" t="s">
        <v>1131</v>
      </c>
      <c r="B488" s="26" t="n">
        <v>45839</v>
      </c>
      <c r="C488" s="26" t="n">
        <v>45842</v>
      </c>
      <c r="D488" s="7" t="s">
        <v>462</v>
      </c>
      <c r="E488" s="7" t="s">
        <v>463</v>
      </c>
      <c r="F488" s="7" t="s">
        <v>159</v>
      </c>
      <c r="G488" s="7" t="s">
        <v>169</v>
      </c>
      <c r="H488" s="7" t="s">
        <v>191</v>
      </c>
      <c r="I488" s="7" t="s">
        <v>192</v>
      </c>
      <c r="J488" s="7" t="s">
        <v>502</v>
      </c>
      <c r="K488" s="7" t="s">
        <v>503</v>
      </c>
      <c r="L488" s="7" t="s">
        <v>504</v>
      </c>
      <c r="M488" s="7" t="n">
        <v>1</v>
      </c>
      <c r="N488" s="27" t="n">
        <v>3499</v>
      </c>
      <c r="O488" s="28" t="n">
        <v>0.2</v>
      </c>
      <c r="P488" s="27" t="n">
        <v>2799</v>
      </c>
      <c r="Q488" s="27" t="n">
        <v>2500</v>
      </c>
      <c r="R488" s="27" t="n">
        <v>299</v>
      </c>
      <c r="S488" s="7" t="s">
        <v>60</v>
      </c>
      <c r="T488" s="7" t="str">
        <f aca="false">IF(O488=0,"No discount",IF(O488&lt;=0.2,"Up to 20%","Above 20%"))</f>
        <v>Up to 20%</v>
      </c>
    </row>
    <row r="489" customFormat="false" ht="15" hidden="false" customHeight="true" outlineLevel="0" collapsed="false">
      <c r="A489" s="7" t="s">
        <v>1132</v>
      </c>
      <c r="B489" s="26" t="n">
        <v>45839</v>
      </c>
      <c r="C489" s="26" t="n">
        <v>45840</v>
      </c>
      <c r="D489" s="7" t="s">
        <v>648</v>
      </c>
      <c r="E489" s="7" t="s">
        <v>649</v>
      </c>
      <c r="F489" s="7" t="s">
        <v>159</v>
      </c>
      <c r="G489" s="7" t="s">
        <v>160</v>
      </c>
      <c r="H489" s="7" t="s">
        <v>161</v>
      </c>
      <c r="I489" s="7" t="s">
        <v>208</v>
      </c>
      <c r="J489" s="7" t="s">
        <v>232</v>
      </c>
      <c r="K489" s="7" t="s">
        <v>233</v>
      </c>
      <c r="L489" s="7" t="s">
        <v>234</v>
      </c>
      <c r="M489" s="7" t="n">
        <v>1</v>
      </c>
      <c r="N489" s="27" t="n">
        <v>7999</v>
      </c>
      <c r="O489" s="28" t="n">
        <v>0</v>
      </c>
      <c r="P489" s="27" t="n">
        <v>7999</v>
      </c>
      <c r="Q489" s="27" t="n">
        <v>5600</v>
      </c>
      <c r="R489" s="27" t="n">
        <v>2399</v>
      </c>
      <c r="S489" s="7" t="s">
        <v>60</v>
      </c>
      <c r="T489" s="7" t="str">
        <f aca="false">IF(O489=0,"No discount",IF(O489&lt;=0.2,"Up to 20%","Above 20%"))</f>
        <v>No discount</v>
      </c>
    </row>
    <row r="490" customFormat="false" ht="15" hidden="false" customHeight="true" outlineLevel="0" collapsed="false">
      <c r="A490" s="7" t="s">
        <v>1133</v>
      </c>
      <c r="B490" s="26" t="n">
        <v>45840</v>
      </c>
      <c r="C490" s="26" t="n">
        <v>45841</v>
      </c>
      <c r="D490" s="7" t="s">
        <v>296</v>
      </c>
      <c r="E490" s="7" t="s">
        <v>297</v>
      </c>
      <c r="F490" s="7" t="s">
        <v>178</v>
      </c>
      <c r="G490" s="7" t="s">
        <v>169</v>
      </c>
      <c r="H490" s="7" t="s">
        <v>179</v>
      </c>
      <c r="I490" s="7" t="s">
        <v>208</v>
      </c>
      <c r="J490" s="7" t="s">
        <v>209</v>
      </c>
      <c r="K490" s="7" t="s">
        <v>637</v>
      </c>
      <c r="L490" s="7" t="s">
        <v>638</v>
      </c>
      <c r="M490" s="7" t="n">
        <v>1</v>
      </c>
      <c r="N490" s="27" t="n">
        <v>899</v>
      </c>
      <c r="O490" s="28" t="n">
        <v>0</v>
      </c>
      <c r="P490" s="27" t="n">
        <v>899</v>
      </c>
      <c r="Q490" s="27" t="n">
        <v>480</v>
      </c>
      <c r="R490" s="27" t="n">
        <v>419</v>
      </c>
      <c r="S490" s="7" t="s">
        <v>60</v>
      </c>
      <c r="T490" s="7" t="str">
        <f aca="false">IF(O490=0,"No discount",IF(O490&lt;=0.2,"Up to 20%","Above 20%"))</f>
        <v>No discount</v>
      </c>
    </row>
    <row r="491" customFormat="false" ht="15" hidden="false" customHeight="true" outlineLevel="0" collapsed="false">
      <c r="A491" s="7" t="s">
        <v>1134</v>
      </c>
      <c r="B491" s="26" t="n">
        <v>45840</v>
      </c>
      <c r="C491" s="26" t="n">
        <v>45843</v>
      </c>
      <c r="D491" s="7" t="s">
        <v>351</v>
      </c>
      <c r="E491" s="7" t="s">
        <v>352</v>
      </c>
      <c r="F491" s="7" t="s">
        <v>178</v>
      </c>
      <c r="G491" s="7" t="s">
        <v>169</v>
      </c>
      <c r="H491" s="7" t="s">
        <v>179</v>
      </c>
      <c r="I491" s="7" t="s">
        <v>192</v>
      </c>
      <c r="J491" s="7" t="s">
        <v>502</v>
      </c>
      <c r="K491" s="7" t="s">
        <v>526</v>
      </c>
      <c r="L491" s="7" t="s">
        <v>527</v>
      </c>
      <c r="M491" s="7" t="n">
        <v>1</v>
      </c>
      <c r="N491" s="27" t="n">
        <v>6499</v>
      </c>
      <c r="O491" s="28" t="n">
        <v>0.4</v>
      </c>
      <c r="P491" s="27" t="n">
        <v>3899</v>
      </c>
      <c r="Q491" s="27" t="n">
        <v>5000</v>
      </c>
      <c r="R491" s="27" t="n">
        <v>-1101</v>
      </c>
      <c r="S491" s="7" t="s">
        <v>60</v>
      </c>
      <c r="T491" s="7" t="str">
        <f aca="false">IF(O491=0,"No discount",IF(O491&lt;=0.2,"Up to 20%","Above 20%"))</f>
        <v>Above 20%</v>
      </c>
    </row>
    <row r="492" customFormat="false" ht="15" hidden="false" customHeight="true" outlineLevel="0" collapsed="false">
      <c r="A492" s="7" t="s">
        <v>1135</v>
      </c>
      <c r="B492" s="26" t="n">
        <v>45840</v>
      </c>
      <c r="C492" s="26" t="n">
        <v>45845</v>
      </c>
      <c r="D492" s="7" t="s">
        <v>339</v>
      </c>
      <c r="E492" s="7" t="s">
        <v>340</v>
      </c>
      <c r="F492" s="7" t="s">
        <v>178</v>
      </c>
      <c r="G492" s="7" t="s">
        <v>169</v>
      </c>
      <c r="H492" s="7" t="s">
        <v>179</v>
      </c>
      <c r="I492" s="7" t="s">
        <v>162</v>
      </c>
      <c r="J492" s="7" t="s">
        <v>325</v>
      </c>
      <c r="K492" s="7" t="s">
        <v>326</v>
      </c>
      <c r="L492" s="7" t="s">
        <v>327</v>
      </c>
      <c r="M492" s="7" t="n">
        <v>2</v>
      </c>
      <c r="N492" s="27" t="n">
        <v>799</v>
      </c>
      <c r="O492" s="28" t="n">
        <v>0.4</v>
      </c>
      <c r="P492" s="27" t="n">
        <v>959</v>
      </c>
      <c r="Q492" s="27" t="n">
        <v>760</v>
      </c>
      <c r="R492" s="27" t="n">
        <v>199</v>
      </c>
      <c r="S492" s="7" t="s">
        <v>60</v>
      </c>
      <c r="T492" s="7" t="str">
        <f aca="false">IF(O492=0,"No discount",IF(O492&lt;=0.2,"Up to 20%","Above 20%"))</f>
        <v>Above 20%</v>
      </c>
    </row>
    <row r="493" customFormat="false" ht="15" hidden="false" customHeight="true" outlineLevel="0" collapsed="false">
      <c r="A493" s="7" t="s">
        <v>1136</v>
      </c>
      <c r="B493" s="26" t="n">
        <v>45841</v>
      </c>
      <c r="C493" s="26" t="n">
        <v>45846</v>
      </c>
      <c r="D493" s="7" t="s">
        <v>597</v>
      </c>
      <c r="E493" s="7" t="s">
        <v>598</v>
      </c>
      <c r="F493" s="7" t="s">
        <v>159</v>
      </c>
      <c r="G493" s="7" t="s">
        <v>160</v>
      </c>
      <c r="H493" s="7" t="s">
        <v>269</v>
      </c>
      <c r="I493" s="7" t="s">
        <v>171</v>
      </c>
      <c r="J493" s="7" t="s">
        <v>172</v>
      </c>
      <c r="K493" s="7" t="s">
        <v>173</v>
      </c>
      <c r="L493" s="7" t="s">
        <v>174</v>
      </c>
      <c r="M493" s="7" t="n">
        <v>3</v>
      </c>
      <c r="N493" s="27" t="n">
        <v>699</v>
      </c>
      <c r="O493" s="28" t="n">
        <v>0.2</v>
      </c>
      <c r="P493" s="27" t="n">
        <v>1678</v>
      </c>
      <c r="Q493" s="27" t="n">
        <v>960</v>
      </c>
      <c r="R493" s="27" t="n">
        <v>718</v>
      </c>
      <c r="S493" s="7" t="s">
        <v>60</v>
      </c>
      <c r="T493" s="7" t="str">
        <f aca="false">IF(O493=0,"No discount",IF(O493&lt;=0.2,"Up to 20%","Above 20%"))</f>
        <v>Up to 20%</v>
      </c>
    </row>
    <row r="494" customFormat="false" ht="15" hidden="false" customHeight="true" outlineLevel="0" collapsed="false">
      <c r="A494" s="7" t="s">
        <v>1137</v>
      </c>
      <c r="B494" s="26" t="n">
        <v>45841</v>
      </c>
      <c r="C494" s="26" t="n">
        <v>45843</v>
      </c>
      <c r="D494" s="7" t="s">
        <v>465</v>
      </c>
      <c r="E494" s="7" t="s">
        <v>466</v>
      </c>
      <c r="F494" s="7" t="s">
        <v>219</v>
      </c>
      <c r="G494" s="7" t="s">
        <v>323</v>
      </c>
      <c r="H494" s="7" t="s">
        <v>324</v>
      </c>
      <c r="I494" s="7" t="s">
        <v>192</v>
      </c>
      <c r="J494" s="7" t="s">
        <v>213</v>
      </c>
      <c r="K494" s="7" t="s">
        <v>264</v>
      </c>
      <c r="L494" s="7" t="s">
        <v>265</v>
      </c>
      <c r="M494" s="7" t="n">
        <v>2</v>
      </c>
      <c r="N494" s="27" t="n">
        <v>2499</v>
      </c>
      <c r="O494" s="28" t="n">
        <v>0.3</v>
      </c>
      <c r="P494" s="27" t="n">
        <v>3499</v>
      </c>
      <c r="Q494" s="27" t="n">
        <v>3400</v>
      </c>
      <c r="R494" s="27" t="n">
        <v>99</v>
      </c>
      <c r="S494" s="7" t="s">
        <v>60</v>
      </c>
      <c r="T494" s="7" t="str">
        <f aca="false">IF(O494=0,"No discount",IF(O494&lt;=0.2,"Up to 20%","Above 20%"))</f>
        <v>Above 20%</v>
      </c>
    </row>
    <row r="495" customFormat="false" ht="15" hidden="false" customHeight="true" outlineLevel="0" collapsed="false">
      <c r="A495" s="7" t="s">
        <v>1138</v>
      </c>
      <c r="B495" s="26" t="n">
        <v>45841</v>
      </c>
      <c r="C495" s="26" t="n">
        <v>45844</v>
      </c>
      <c r="D495" s="7" t="s">
        <v>375</v>
      </c>
      <c r="E495" s="7" t="s">
        <v>376</v>
      </c>
      <c r="F495" s="7" t="s">
        <v>159</v>
      </c>
      <c r="G495" s="7" t="s">
        <v>160</v>
      </c>
      <c r="H495" s="7" t="s">
        <v>269</v>
      </c>
      <c r="I495" s="7" t="s">
        <v>199</v>
      </c>
      <c r="J495" s="7" t="s">
        <v>223</v>
      </c>
      <c r="K495" s="7" t="s">
        <v>224</v>
      </c>
      <c r="L495" s="7" t="s">
        <v>225</v>
      </c>
      <c r="M495" s="7" t="n">
        <v>5</v>
      </c>
      <c r="N495" s="27" t="n">
        <v>899</v>
      </c>
      <c r="O495" s="28" t="n">
        <v>0.15</v>
      </c>
      <c r="P495" s="27" t="n">
        <v>3821</v>
      </c>
      <c r="Q495" s="27" t="n">
        <v>1900</v>
      </c>
      <c r="R495" s="27" t="n">
        <v>1921</v>
      </c>
      <c r="S495" s="7" t="s">
        <v>60</v>
      </c>
      <c r="T495" s="7" t="str">
        <f aca="false">IF(O495=0,"No discount",IF(O495&lt;=0.2,"Up to 20%","Above 20%"))</f>
        <v>Up to 20%</v>
      </c>
    </row>
    <row r="496" customFormat="false" ht="15" hidden="false" customHeight="true" outlineLevel="0" collapsed="false">
      <c r="A496" s="7" t="s">
        <v>1139</v>
      </c>
      <c r="B496" s="26" t="n">
        <v>45842</v>
      </c>
      <c r="C496" s="26" t="n">
        <v>45843</v>
      </c>
      <c r="D496" s="7" t="s">
        <v>1140</v>
      </c>
      <c r="E496" s="7" t="s">
        <v>1141</v>
      </c>
      <c r="F496" s="7" t="s">
        <v>159</v>
      </c>
      <c r="G496" s="7" t="s">
        <v>206</v>
      </c>
      <c r="H496" s="7" t="s">
        <v>207</v>
      </c>
      <c r="I496" s="7" t="s">
        <v>208</v>
      </c>
      <c r="J496" s="7" t="s">
        <v>209</v>
      </c>
      <c r="K496" s="7" t="s">
        <v>238</v>
      </c>
      <c r="L496" s="7" t="s">
        <v>239</v>
      </c>
      <c r="M496" s="7" t="n">
        <v>1</v>
      </c>
      <c r="N496" s="27" t="n">
        <v>2199</v>
      </c>
      <c r="O496" s="28" t="n">
        <v>0.1</v>
      </c>
      <c r="P496" s="27" t="n">
        <v>1979</v>
      </c>
      <c r="Q496" s="27" t="n">
        <v>1400</v>
      </c>
      <c r="R496" s="27" t="n">
        <v>579</v>
      </c>
      <c r="S496" s="7" t="s">
        <v>60</v>
      </c>
      <c r="T496" s="7" t="str">
        <f aca="false">IF(O496=0,"No discount",IF(O496&lt;=0.2,"Up to 20%","Above 20%"))</f>
        <v>Up to 20%</v>
      </c>
    </row>
    <row r="497" customFormat="false" ht="15" hidden="false" customHeight="true" outlineLevel="0" collapsed="false">
      <c r="A497" s="7" t="s">
        <v>1142</v>
      </c>
      <c r="B497" s="26" t="n">
        <v>45842</v>
      </c>
      <c r="C497" s="26" t="n">
        <v>45846</v>
      </c>
      <c r="D497" s="7" t="s">
        <v>767</v>
      </c>
      <c r="E497" s="7" t="s">
        <v>768</v>
      </c>
      <c r="F497" s="7" t="s">
        <v>159</v>
      </c>
      <c r="G497" s="7" t="s">
        <v>160</v>
      </c>
      <c r="H497" s="7" t="s">
        <v>269</v>
      </c>
      <c r="I497" s="7" t="s">
        <v>199</v>
      </c>
      <c r="J497" s="7" t="s">
        <v>398</v>
      </c>
      <c r="K497" s="7" t="s">
        <v>399</v>
      </c>
      <c r="L497" s="7" t="s">
        <v>400</v>
      </c>
      <c r="M497" s="7" t="n">
        <v>1</v>
      </c>
      <c r="N497" s="27" t="n">
        <v>749</v>
      </c>
      <c r="O497" s="28" t="n">
        <v>0.15</v>
      </c>
      <c r="P497" s="27" t="n">
        <v>637</v>
      </c>
      <c r="Q497" s="27" t="n">
        <v>350</v>
      </c>
      <c r="R497" s="27" t="n">
        <v>287</v>
      </c>
      <c r="S497" s="7" t="s">
        <v>60</v>
      </c>
      <c r="T497" s="7" t="str">
        <f aca="false">IF(O497=0,"No discount",IF(O497&lt;=0.2,"Up to 20%","Above 20%"))</f>
        <v>Up to 20%</v>
      </c>
    </row>
    <row r="498" customFormat="false" ht="15" hidden="false" customHeight="true" outlineLevel="0" collapsed="false">
      <c r="A498" s="7" t="s">
        <v>1143</v>
      </c>
      <c r="B498" s="26" t="n">
        <v>45843</v>
      </c>
      <c r="C498" s="26" t="n">
        <v>45845</v>
      </c>
      <c r="D498" s="7" t="s">
        <v>560</v>
      </c>
      <c r="E498" s="7" t="s">
        <v>561</v>
      </c>
      <c r="F498" s="7" t="s">
        <v>219</v>
      </c>
      <c r="G498" s="7" t="s">
        <v>160</v>
      </c>
      <c r="H498" s="7" t="s">
        <v>269</v>
      </c>
      <c r="I498" s="7" t="s">
        <v>199</v>
      </c>
      <c r="J498" s="7" t="s">
        <v>223</v>
      </c>
      <c r="K498" s="7" t="s">
        <v>246</v>
      </c>
      <c r="L498" s="7" t="s">
        <v>247</v>
      </c>
      <c r="M498" s="7" t="n">
        <v>3</v>
      </c>
      <c r="N498" s="27" t="n">
        <v>599</v>
      </c>
      <c r="O498" s="28" t="n">
        <v>0.15</v>
      </c>
      <c r="P498" s="27" t="n">
        <v>1527</v>
      </c>
      <c r="Q498" s="27" t="n">
        <v>810</v>
      </c>
      <c r="R498" s="27" t="n">
        <v>717</v>
      </c>
      <c r="S498" s="7" t="s">
        <v>60</v>
      </c>
      <c r="T498" s="7" t="str">
        <f aca="false">IF(O498=0,"No discount",IF(O498&lt;=0.2,"Up to 20%","Above 20%"))</f>
        <v>Up to 20%</v>
      </c>
    </row>
    <row r="499" customFormat="false" ht="15" hidden="false" customHeight="true" outlineLevel="0" collapsed="false">
      <c r="A499" s="7" t="s">
        <v>1144</v>
      </c>
      <c r="B499" s="26" t="n">
        <v>45843</v>
      </c>
      <c r="C499" s="26" t="n">
        <v>45848</v>
      </c>
      <c r="D499" s="7" t="s">
        <v>563</v>
      </c>
      <c r="E499" s="7" t="s">
        <v>564</v>
      </c>
      <c r="F499" s="7" t="s">
        <v>178</v>
      </c>
      <c r="G499" s="7" t="s">
        <v>160</v>
      </c>
      <c r="H499" s="7" t="s">
        <v>269</v>
      </c>
      <c r="I499" s="7" t="s">
        <v>208</v>
      </c>
      <c r="J499" s="7" t="s">
        <v>421</v>
      </c>
      <c r="K499" s="7" t="s">
        <v>422</v>
      </c>
      <c r="L499" s="7" t="s">
        <v>423</v>
      </c>
      <c r="M499" s="7" t="n">
        <v>1</v>
      </c>
      <c r="N499" s="27" t="n">
        <v>5999</v>
      </c>
      <c r="O499" s="28" t="n">
        <v>0</v>
      </c>
      <c r="P499" s="27" t="n">
        <v>5999</v>
      </c>
      <c r="Q499" s="27" t="n">
        <v>4300</v>
      </c>
      <c r="R499" s="27" t="n">
        <v>1699</v>
      </c>
      <c r="S499" s="7" t="s">
        <v>60</v>
      </c>
      <c r="T499" s="7" t="str">
        <f aca="false">IF(O499=0,"No discount",IF(O499&lt;=0.2,"Up to 20%","Above 20%"))</f>
        <v>No discount</v>
      </c>
    </row>
    <row r="500" customFormat="false" ht="15" hidden="false" customHeight="true" outlineLevel="0" collapsed="false">
      <c r="A500" s="7" t="s">
        <v>1145</v>
      </c>
      <c r="B500" s="26" t="n">
        <v>45843</v>
      </c>
      <c r="C500" s="26" t="n">
        <v>45844</v>
      </c>
      <c r="D500" s="7" t="s">
        <v>1146</v>
      </c>
      <c r="E500" s="7" t="s">
        <v>1147</v>
      </c>
      <c r="F500" s="7" t="s">
        <v>178</v>
      </c>
      <c r="G500" s="7" t="s">
        <v>160</v>
      </c>
      <c r="H500" s="7" t="s">
        <v>269</v>
      </c>
      <c r="I500" s="7" t="s">
        <v>208</v>
      </c>
      <c r="J500" s="7" t="s">
        <v>232</v>
      </c>
      <c r="K500" s="7" t="s">
        <v>233</v>
      </c>
      <c r="L500" s="7" t="s">
        <v>234</v>
      </c>
      <c r="M500" s="7" t="n">
        <v>2</v>
      </c>
      <c r="N500" s="27" t="n">
        <v>7999</v>
      </c>
      <c r="O500" s="28" t="n">
        <v>0.05</v>
      </c>
      <c r="P500" s="27" t="n">
        <v>15198</v>
      </c>
      <c r="Q500" s="27" t="n">
        <v>11200</v>
      </c>
      <c r="R500" s="27" t="n">
        <v>3998</v>
      </c>
      <c r="S500" s="7" t="s">
        <v>60</v>
      </c>
      <c r="T500" s="7" t="str">
        <f aca="false">IF(O500=0,"No discount",IF(O500&lt;=0.2,"Up to 20%","Above 20%"))</f>
        <v>Up to 20%</v>
      </c>
    </row>
    <row r="501" customFormat="false" ht="15" hidden="false" customHeight="true" outlineLevel="0" collapsed="false">
      <c r="A501" s="7" t="s">
        <v>1148</v>
      </c>
      <c r="B501" s="26" t="n">
        <v>45844</v>
      </c>
      <c r="C501" s="26" t="n">
        <v>45849</v>
      </c>
      <c r="D501" s="7" t="s">
        <v>964</v>
      </c>
      <c r="E501" s="7" t="s">
        <v>965</v>
      </c>
      <c r="F501" s="7" t="s">
        <v>178</v>
      </c>
      <c r="G501" s="7" t="s">
        <v>206</v>
      </c>
      <c r="H501" s="7" t="s">
        <v>207</v>
      </c>
      <c r="I501" s="7" t="s">
        <v>162</v>
      </c>
      <c r="J501" s="7" t="s">
        <v>325</v>
      </c>
      <c r="K501" s="7" t="s">
        <v>583</v>
      </c>
      <c r="L501" s="7" t="s">
        <v>584</v>
      </c>
      <c r="M501" s="7" t="n">
        <v>1</v>
      </c>
      <c r="N501" s="27" t="n">
        <v>1499</v>
      </c>
      <c r="O501" s="28" t="n">
        <v>0.1</v>
      </c>
      <c r="P501" s="27" t="n">
        <v>1349</v>
      </c>
      <c r="Q501" s="27" t="n">
        <v>750</v>
      </c>
      <c r="R501" s="27" t="n">
        <v>599</v>
      </c>
      <c r="S501" s="7" t="s">
        <v>60</v>
      </c>
      <c r="T501" s="7" t="str">
        <f aca="false">IF(O501=0,"No discount",IF(O501&lt;=0.2,"Up to 20%","Above 20%"))</f>
        <v>Up to 20%</v>
      </c>
    </row>
    <row r="502" customFormat="false" ht="15" hidden="false" customHeight="true" outlineLevel="0" collapsed="false">
      <c r="A502" s="7" t="s">
        <v>1149</v>
      </c>
      <c r="B502" s="26" t="n">
        <v>45844</v>
      </c>
      <c r="C502" s="26" t="n">
        <v>45851</v>
      </c>
      <c r="D502" s="7" t="s">
        <v>391</v>
      </c>
      <c r="E502" s="7" t="s">
        <v>392</v>
      </c>
      <c r="F502" s="7" t="s">
        <v>159</v>
      </c>
      <c r="G502" s="7" t="s">
        <v>206</v>
      </c>
      <c r="H502" s="7" t="s">
        <v>207</v>
      </c>
      <c r="I502" s="7" t="s">
        <v>162</v>
      </c>
      <c r="J502" s="7" t="s">
        <v>185</v>
      </c>
      <c r="K502" s="7" t="s">
        <v>186</v>
      </c>
      <c r="L502" s="7" t="s">
        <v>187</v>
      </c>
      <c r="M502" s="7" t="n">
        <v>1</v>
      </c>
      <c r="N502" s="27" t="n">
        <v>3299</v>
      </c>
      <c r="O502" s="28" t="n">
        <v>0.3</v>
      </c>
      <c r="P502" s="27" t="n">
        <v>2309</v>
      </c>
      <c r="Q502" s="27" t="n">
        <v>1900</v>
      </c>
      <c r="R502" s="27" t="n">
        <v>409</v>
      </c>
      <c r="S502" s="7" t="s">
        <v>60</v>
      </c>
      <c r="T502" s="7" t="str">
        <f aca="false">IF(O502=0,"No discount",IF(O502&lt;=0.2,"Up to 20%","Above 20%"))</f>
        <v>Above 20%</v>
      </c>
    </row>
    <row r="503" customFormat="false" ht="15" hidden="false" customHeight="true" outlineLevel="0" collapsed="false">
      <c r="A503" s="7" t="s">
        <v>1150</v>
      </c>
      <c r="B503" s="26" t="n">
        <v>45844</v>
      </c>
      <c r="C503" s="26" t="n">
        <v>45850</v>
      </c>
      <c r="D503" s="7" t="s">
        <v>462</v>
      </c>
      <c r="E503" s="7" t="s">
        <v>463</v>
      </c>
      <c r="F503" s="7" t="s">
        <v>159</v>
      </c>
      <c r="G503" s="7" t="s">
        <v>169</v>
      </c>
      <c r="H503" s="7" t="s">
        <v>191</v>
      </c>
      <c r="I503" s="7" t="s">
        <v>199</v>
      </c>
      <c r="J503" s="7" t="s">
        <v>200</v>
      </c>
      <c r="K503" s="7" t="s">
        <v>201</v>
      </c>
      <c r="L503" s="7" t="s">
        <v>202</v>
      </c>
      <c r="M503" s="7" t="n">
        <v>2</v>
      </c>
      <c r="N503" s="27" t="n">
        <v>399</v>
      </c>
      <c r="O503" s="28" t="n">
        <v>0.2</v>
      </c>
      <c r="P503" s="27" t="n">
        <v>638</v>
      </c>
      <c r="Q503" s="27" t="n">
        <v>320</v>
      </c>
      <c r="R503" s="27" t="n">
        <v>318</v>
      </c>
      <c r="S503" s="7" t="s">
        <v>60</v>
      </c>
      <c r="T503" s="7" t="str">
        <f aca="false">IF(O503=0,"No discount",IF(O503&lt;=0.2,"Up to 20%","Above 20%"))</f>
        <v>Up to 20%</v>
      </c>
    </row>
    <row r="504" customFormat="false" ht="15" hidden="false" customHeight="true" outlineLevel="0" collapsed="false">
      <c r="A504" s="7" t="s">
        <v>1151</v>
      </c>
      <c r="B504" s="26" t="n">
        <v>45844</v>
      </c>
      <c r="C504" s="26" t="n">
        <v>45848</v>
      </c>
      <c r="D504" s="7" t="s">
        <v>789</v>
      </c>
      <c r="E504" s="7" t="s">
        <v>790</v>
      </c>
      <c r="F504" s="7" t="s">
        <v>159</v>
      </c>
      <c r="G504" s="7" t="s">
        <v>160</v>
      </c>
      <c r="H504" s="7" t="s">
        <v>161</v>
      </c>
      <c r="I504" s="7" t="s">
        <v>282</v>
      </c>
      <c r="J504" s="7" t="s">
        <v>387</v>
      </c>
      <c r="K504" s="7" t="s">
        <v>388</v>
      </c>
      <c r="L504" s="7" t="s">
        <v>389</v>
      </c>
      <c r="M504" s="7" t="n">
        <v>6</v>
      </c>
      <c r="N504" s="27" t="n">
        <v>1299</v>
      </c>
      <c r="O504" s="28" t="n">
        <v>0</v>
      </c>
      <c r="P504" s="27" t="n">
        <v>7794</v>
      </c>
      <c r="Q504" s="27" t="n">
        <v>4680</v>
      </c>
      <c r="R504" s="27" t="n">
        <v>3114</v>
      </c>
      <c r="S504" s="7" t="s">
        <v>60</v>
      </c>
      <c r="T504" s="7" t="str">
        <f aca="false">IF(O504=0,"No discount",IF(O504&lt;=0.2,"Up to 20%","Above 20%"))</f>
        <v>No discount</v>
      </c>
    </row>
    <row r="505" customFormat="false" ht="15" hidden="false" customHeight="true" outlineLevel="0" collapsed="false">
      <c r="A505" s="7" t="s">
        <v>1152</v>
      </c>
      <c r="B505" s="26" t="n">
        <v>45844</v>
      </c>
      <c r="C505" s="26" t="n">
        <v>45851</v>
      </c>
      <c r="D505" s="7" t="s">
        <v>1153</v>
      </c>
      <c r="E505" s="7" t="s">
        <v>1154</v>
      </c>
      <c r="F505" s="7" t="s">
        <v>159</v>
      </c>
      <c r="G505" s="7" t="s">
        <v>160</v>
      </c>
      <c r="H505" s="7" t="s">
        <v>161</v>
      </c>
      <c r="I505" s="7" t="s">
        <v>199</v>
      </c>
      <c r="J505" s="7" t="s">
        <v>292</v>
      </c>
      <c r="K505" s="7" t="s">
        <v>293</v>
      </c>
      <c r="L505" s="7" t="s">
        <v>294</v>
      </c>
      <c r="M505" s="7" t="n">
        <v>5</v>
      </c>
      <c r="N505" s="27" t="n">
        <v>1599</v>
      </c>
      <c r="O505" s="28" t="n">
        <v>0.1</v>
      </c>
      <c r="P505" s="27" t="n">
        <v>7196</v>
      </c>
      <c r="Q505" s="27" t="n">
        <v>3750</v>
      </c>
      <c r="R505" s="27" t="n">
        <v>3446</v>
      </c>
      <c r="S505" s="7" t="s">
        <v>60</v>
      </c>
      <c r="T505" s="7" t="str">
        <f aca="false">IF(O505=0,"No discount",IF(O505&lt;=0.2,"Up to 20%","Above 20%"))</f>
        <v>Up to 20%</v>
      </c>
    </row>
    <row r="506" customFormat="false" ht="15" hidden="false" customHeight="true" outlineLevel="0" collapsed="false">
      <c r="A506" s="7" t="s">
        <v>1155</v>
      </c>
      <c r="B506" s="26" t="n">
        <v>45844</v>
      </c>
      <c r="C506" s="26" t="n">
        <v>45845</v>
      </c>
      <c r="D506" s="7" t="s">
        <v>438</v>
      </c>
      <c r="E506" s="7" t="s">
        <v>439</v>
      </c>
      <c r="F506" s="7" t="s">
        <v>159</v>
      </c>
      <c r="G506" s="7" t="s">
        <v>323</v>
      </c>
      <c r="H506" s="7" t="s">
        <v>324</v>
      </c>
      <c r="I506" s="7" t="s">
        <v>282</v>
      </c>
      <c r="J506" s="7" t="s">
        <v>387</v>
      </c>
      <c r="K506" s="7" t="s">
        <v>388</v>
      </c>
      <c r="L506" s="7" t="s">
        <v>389</v>
      </c>
      <c r="M506" s="7" t="n">
        <v>3</v>
      </c>
      <c r="N506" s="27" t="n">
        <v>1299</v>
      </c>
      <c r="O506" s="28" t="n">
        <v>0.05</v>
      </c>
      <c r="P506" s="27" t="n">
        <v>3702</v>
      </c>
      <c r="Q506" s="27" t="n">
        <v>2340</v>
      </c>
      <c r="R506" s="27" t="n">
        <v>1362</v>
      </c>
      <c r="S506" s="7" t="s">
        <v>60</v>
      </c>
      <c r="T506" s="7" t="str">
        <f aca="false">IF(O506=0,"No discount",IF(O506&lt;=0.2,"Up to 20%","Above 20%"))</f>
        <v>Up to 20%</v>
      </c>
    </row>
    <row r="507" customFormat="false" ht="15" hidden="false" customHeight="true" outlineLevel="0" collapsed="false">
      <c r="A507" s="7" t="s">
        <v>1156</v>
      </c>
      <c r="B507" s="26" t="n">
        <v>45845</v>
      </c>
      <c r="C507" s="26" t="n">
        <v>45850</v>
      </c>
      <c r="D507" s="7" t="s">
        <v>760</v>
      </c>
      <c r="E507" s="7" t="s">
        <v>761</v>
      </c>
      <c r="F507" s="7" t="s">
        <v>159</v>
      </c>
      <c r="G507" s="7" t="s">
        <v>169</v>
      </c>
      <c r="H507" s="7" t="s">
        <v>170</v>
      </c>
      <c r="I507" s="7" t="s">
        <v>171</v>
      </c>
      <c r="J507" s="7" t="s">
        <v>172</v>
      </c>
      <c r="K507" s="7" t="s">
        <v>173</v>
      </c>
      <c r="L507" s="7" t="s">
        <v>174</v>
      </c>
      <c r="M507" s="7" t="n">
        <v>1</v>
      </c>
      <c r="N507" s="27" t="n">
        <v>699</v>
      </c>
      <c r="O507" s="28" t="n">
        <v>0.05</v>
      </c>
      <c r="P507" s="27" t="n">
        <v>664</v>
      </c>
      <c r="Q507" s="27" t="n">
        <v>320</v>
      </c>
      <c r="R507" s="27" t="n">
        <v>344</v>
      </c>
      <c r="S507" s="7" t="s">
        <v>60</v>
      </c>
      <c r="T507" s="7" t="str">
        <f aca="false">IF(O507=0,"No discount",IF(O507&lt;=0.2,"Up to 20%","Above 20%"))</f>
        <v>Up to 20%</v>
      </c>
    </row>
    <row r="508" customFormat="false" ht="15" hidden="false" customHeight="true" outlineLevel="0" collapsed="false">
      <c r="A508" s="7" t="s">
        <v>1157</v>
      </c>
      <c r="B508" s="26" t="n">
        <v>45845</v>
      </c>
      <c r="C508" s="26" t="n">
        <v>45846</v>
      </c>
      <c r="D508" s="7" t="s">
        <v>221</v>
      </c>
      <c r="E508" s="7" t="s">
        <v>222</v>
      </c>
      <c r="F508" s="7" t="s">
        <v>219</v>
      </c>
      <c r="G508" s="7" t="s">
        <v>160</v>
      </c>
      <c r="H508" s="7" t="s">
        <v>161</v>
      </c>
      <c r="I508" s="7" t="s">
        <v>171</v>
      </c>
      <c r="J508" s="7" t="s">
        <v>172</v>
      </c>
      <c r="K508" s="7" t="s">
        <v>173</v>
      </c>
      <c r="L508" s="7" t="s">
        <v>174</v>
      </c>
      <c r="M508" s="7" t="n">
        <v>1</v>
      </c>
      <c r="N508" s="27" t="n">
        <v>699</v>
      </c>
      <c r="O508" s="28" t="n">
        <v>0</v>
      </c>
      <c r="P508" s="27" t="n">
        <v>699</v>
      </c>
      <c r="Q508" s="27" t="n">
        <v>320</v>
      </c>
      <c r="R508" s="27" t="n">
        <v>379</v>
      </c>
      <c r="S508" s="7" t="s">
        <v>60</v>
      </c>
      <c r="T508" s="7" t="str">
        <f aca="false">IF(O508=0,"No discount",IF(O508&lt;=0.2,"Up to 20%","Above 20%"))</f>
        <v>No discount</v>
      </c>
    </row>
    <row r="509" customFormat="false" ht="15" hidden="false" customHeight="true" outlineLevel="0" collapsed="false">
      <c r="A509" s="7" t="s">
        <v>1158</v>
      </c>
      <c r="B509" s="26" t="n">
        <v>45845</v>
      </c>
      <c r="C509" s="26" t="n">
        <v>45851</v>
      </c>
      <c r="D509" s="7" t="s">
        <v>345</v>
      </c>
      <c r="E509" s="7" t="s">
        <v>346</v>
      </c>
      <c r="F509" s="7" t="s">
        <v>159</v>
      </c>
      <c r="G509" s="7" t="s">
        <v>160</v>
      </c>
      <c r="H509" s="7" t="s">
        <v>161</v>
      </c>
      <c r="I509" s="7" t="s">
        <v>192</v>
      </c>
      <c r="J509" s="7" t="s">
        <v>193</v>
      </c>
      <c r="K509" s="7" t="s">
        <v>194</v>
      </c>
      <c r="L509" s="7" t="s">
        <v>195</v>
      </c>
      <c r="M509" s="7" t="n">
        <v>1</v>
      </c>
      <c r="N509" s="27" t="n">
        <v>8999</v>
      </c>
      <c r="O509" s="28" t="n">
        <v>0.1</v>
      </c>
      <c r="P509" s="27" t="n">
        <v>8099</v>
      </c>
      <c r="Q509" s="27" t="n">
        <v>6800</v>
      </c>
      <c r="R509" s="27" t="n">
        <v>1299</v>
      </c>
      <c r="S509" s="7" t="s">
        <v>60</v>
      </c>
      <c r="T509" s="7" t="str">
        <f aca="false">IF(O509=0,"No discount",IF(O509&lt;=0.2,"Up to 20%","Above 20%"))</f>
        <v>Up to 20%</v>
      </c>
    </row>
    <row r="510" customFormat="false" ht="15" hidden="false" customHeight="true" outlineLevel="0" collapsed="false">
      <c r="A510" s="7" t="s">
        <v>1159</v>
      </c>
      <c r="B510" s="26" t="n">
        <v>45845</v>
      </c>
      <c r="C510" s="26" t="n">
        <v>45850</v>
      </c>
      <c r="D510" s="7" t="s">
        <v>255</v>
      </c>
      <c r="E510" s="7" t="s">
        <v>256</v>
      </c>
      <c r="F510" s="7" t="s">
        <v>159</v>
      </c>
      <c r="G510" s="7" t="s">
        <v>206</v>
      </c>
      <c r="H510" s="7" t="s">
        <v>207</v>
      </c>
      <c r="I510" s="7" t="s">
        <v>171</v>
      </c>
      <c r="J510" s="7" t="s">
        <v>172</v>
      </c>
      <c r="K510" s="7" t="s">
        <v>173</v>
      </c>
      <c r="L510" s="7" t="s">
        <v>174</v>
      </c>
      <c r="M510" s="7" t="n">
        <v>1</v>
      </c>
      <c r="N510" s="27" t="n">
        <v>699</v>
      </c>
      <c r="O510" s="28" t="n">
        <v>0</v>
      </c>
      <c r="P510" s="27" t="n">
        <v>699</v>
      </c>
      <c r="Q510" s="27" t="n">
        <v>320</v>
      </c>
      <c r="R510" s="27" t="n">
        <v>379</v>
      </c>
      <c r="S510" s="7" t="s">
        <v>60</v>
      </c>
      <c r="T510" s="7" t="str">
        <f aca="false">IF(O510=0,"No discount",IF(O510&lt;=0.2,"Up to 20%","Above 20%"))</f>
        <v>No discount</v>
      </c>
    </row>
    <row r="511" customFormat="false" ht="15" hidden="false" customHeight="true" outlineLevel="0" collapsed="false">
      <c r="A511" s="7" t="s">
        <v>1160</v>
      </c>
      <c r="B511" s="26" t="n">
        <v>45846</v>
      </c>
      <c r="C511" s="26" t="n">
        <v>45851</v>
      </c>
      <c r="D511" s="7" t="s">
        <v>419</v>
      </c>
      <c r="E511" s="7" t="s">
        <v>420</v>
      </c>
      <c r="F511" s="7" t="s">
        <v>178</v>
      </c>
      <c r="G511" s="7" t="s">
        <v>169</v>
      </c>
      <c r="H511" s="7" t="s">
        <v>179</v>
      </c>
      <c r="I511" s="7" t="s">
        <v>171</v>
      </c>
      <c r="J511" s="7" t="s">
        <v>172</v>
      </c>
      <c r="K511" s="7" t="s">
        <v>173</v>
      </c>
      <c r="L511" s="7" t="s">
        <v>174</v>
      </c>
      <c r="M511" s="7" t="n">
        <v>1</v>
      </c>
      <c r="N511" s="27" t="n">
        <v>699</v>
      </c>
      <c r="O511" s="28" t="n">
        <v>0.05</v>
      </c>
      <c r="P511" s="27" t="n">
        <v>664</v>
      </c>
      <c r="Q511" s="27" t="n">
        <v>320</v>
      </c>
      <c r="R511" s="27" t="n">
        <v>344</v>
      </c>
      <c r="S511" s="7" t="s">
        <v>60</v>
      </c>
      <c r="T511" s="7" t="str">
        <f aca="false">IF(O511=0,"No discount",IF(O511&lt;=0.2,"Up to 20%","Above 20%"))</f>
        <v>Up to 20%</v>
      </c>
    </row>
    <row r="512" customFormat="false" ht="15" hidden="false" customHeight="true" outlineLevel="0" collapsed="false">
      <c r="A512" s="7" t="s">
        <v>1161</v>
      </c>
      <c r="B512" s="26" t="n">
        <v>45847</v>
      </c>
      <c r="C512" s="26" t="n">
        <v>45850</v>
      </c>
      <c r="D512" s="7" t="s">
        <v>734</v>
      </c>
      <c r="E512" s="7" t="s">
        <v>735</v>
      </c>
      <c r="F512" s="7" t="s">
        <v>159</v>
      </c>
      <c r="G512" s="7" t="s">
        <v>206</v>
      </c>
      <c r="H512" s="7" t="s">
        <v>207</v>
      </c>
      <c r="I512" s="7" t="s">
        <v>162</v>
      </c>
      <c r="J512" s="7" t="s">
        <v>185</v>
      </c>
      <c r="K512" s="7" t="s">
        <v>186</v>
      </c>
      <c r="L512" s="7" t="s">
        <v>187</v>
      </c>
      <c r="M512" s="7" t="n">
        <v>1</v>
      </c>
      <c r="N512" s="27" t="n">
        <v>3299</v>
      </c>
      <c r="O512" s="28" t="n">
        <v>0.1</v>
      </c>
      <c r="P512" s="27" t="n">
        <v>2969</v>
      </c>
      <c r="Q512" s="27" t="n">
        <v>1900</v>
      </c>
      <c r="R512" s="27" t="n">
        <v>1069</v>
      </c>
      <c r="S512" s="7" t="s">
        <v>60</v>
      </c>
      <c r="T512" s="7" t="str">
        <f aca="false">IF(O512=0,"No discount",IF(O512&lt;=0.2,"Up to 20%","Above 20%"))</f>
        <v>Up to 20%</v>
      </c>
    </row>
    <row r="513" customFormat="false" ht="15" hidden="false" customHeight="true" outlineLevel="0" collapsed="false">
      <c r="A513" s="7" t="s">
        <v>1162</v>
      </c>
      <c r="B513" s="26" t="n">
        <v>45847</v>
      </c>
      <c r="C513" s="26" t="n">
        <v>45852</v>
      </c>
      <c r="D513" s="7" t="s">
        <v>277</v>
      </c>
      <c r="E513" s="7" t="s">
        <v>278</v>
      </c>
      <c r="F513" s="7" t="s">
        <v>159</v>
      </c>
      <c r="G513" s="7" t="s">
        <v>206</v>
      </c>
      <c r="H513" s="7" t="s">
        <v>207</v>
      </c>
      <c r="I513" s="7" t="s">
        <v>199</v>
      </c>
      <c r="J513" s="7" t="s">
        <v>223</v>
      </c>
      <c r="K513" s="7" t="s">
        <v>224</v>
      </c>
      <c r="L513" s="7" t="s">
        <v>225</v>
      </c>
      <c r="M513" s="7" t="n">
        <v>1</v>
      </c>
      <c r="N513" s="27" t="n">
        <v>899</v>
      </c>
      <c r="O513" s="28" t="n">
        <v>0</v>
      </c>
      <c r="P513" s="27" t="n">
        <v>899</v>
      </c>
      <c r="Q513" s="27" t="n">
        <v>380</v>
      </c>
      <c r="R513" s="27" t="n">
        <v>519</v>
      </c>
      <c r="S513" s="7" t="s">
        <v>60</v>
      </c>
      <c r="T513" s="7" t="str">
        <f aca="false">IF(O513=0,"No discount",IF(O513&lt;=0.2,"Up to 20%","Above 20%"))</f>
        <v>No discount</v>
      </c>
    </row>
    <row r="514" customFormat="false" ht="15" hidden="false" customHeight="true" outlineLevel="0" collapsed="false">
      <c r="A514" s="7" t="s">
        <v>1163</v>
      </c>
      <c r="B514" s="26" t="n">
        <v>45848</v>
      </c>
      <c r="C514" s="26" t="n">
        <v>45855</v>
      </c>
      <c r="D514" s="7" t="s">
        <v>267</v>
      </c>
      <c r="E514" s="7" t="s">
        <v>268</v>
      </c>
      <c r="F514" s="7" t="s">
        <v>159</v>
      </c>
      <c r="G514" s="7" t="s">
        <v>160</v>
      </c>
      <c r="H514" s="7" t="s">
        <v>269</v>
      </c>
      <c r="I514" s="7" t="s">
        <v>162</v>
      </c>
      <c r="J514" s="7" t="s">
        <v>163</v>
      </c>
      <c r="K514" s="7" t="s">
        <v>164</v>
      </c>
      <c r="L514" s="7" t="s">
        <v>165</v>
      </c>
      <c r="M514" s="7" t="n">
        <v>4</v>
      </c>
      <c r="N514" s="27" t="n">
        <v>1999</v>
      </c>
      <c r="O514" s="28" t="n">
        <v>0.4</v>
      </c>
      <c r="P514" s="27" t="n">
        <v>4798</v>
      </c>
      <c r="Q514" s="27" t="n">
        <v>4200</v>
      </c>
      <c r="R514" s="27" t="n">
        <v>598</v>
      </c>
      <c r="S514" s="7" t="s">
        <v>60</v>
      </c>
      <c r="T514" s="7" t="str">
        <f aca="false">IF(O514=0,"No discount",IF(O514&lt;=0.2,"Up to 20%","Above 20%"))</f>
        <v>Above 20%</v>
      </c>
    </row>
    <row r="515" customFormat="false" ht="15" hidden="false" customHeight="true" outlineLevel="0" collapsed="false">
      <c r="A515" s="7" t="s">
        <v>1164</v>
      </c>
      <c r="B515" s="26" t="n">
        <v>45849</v>
      </c>
      <c r="C515" s="26" t="n">
        <v>45856</v>
      </c>
      <c r="D515" s="7" t="s">
        <v>435</v>
      </c>
      <c r="E515" s="7" t="s">
        <v>436</v>
      </c>
      <c r="F515" s="7" t="s">
        <v>159</v>
      </c>
      <c r="G515" s="7" t="s">
        <v>169</v>
      </c>
      <c r="H515" s="7" t="s">
        <v>170</v>
      </c>
      <c r="I515" s="7" t="s">
        <v>208</v>
      </c>
      <c r="J515" s="7" t="s">
        <v>232</v>
      </c>
      <c r="K515" s="7" t="s">
        <v>233</v>
      </c>
      <c r="L515" s="7" t="s">
        <v>234</v>
      </c>
      <c r="M515" s="7" t="n">
        <v>1</v>
      </c>
      <c r="N515" s="27" t="n">
        <v>7999</v>
      </c>
      <c r="O515" s="28" t="n">
        <v>0</v>
      </c>
      <c r="P515" s="27" t="n">
        <v>7999</v>
      </c>
      <c r="Q515" s="27" t="n">
        <v>5600</v>
      </c>
      <c r="R515" s="27" t="n">
        <v>2399</v>
      </c>
      <c r="S515" s="7" t="s">
        <v>60</v>
      </c>
      <c r="T515" s="7" t="str">
        <f aca="false">IF(O515=0,"No discount",IF(O515&lt;=0.2,"Up to 20%","Above 20%"))</f>
        <v>No discount</v>
      </c>
    </row>
    <row r="516" customFormat="false" ht="15" hidden="false" customHeight="true" outlineLevel="0" collapsed="false">
      <c r="A516" s="7" t="s">
        <v>1165</v>
      </c>
      <c r="B516" s="26" t="n">
        <v>45849</v>
      </c>
      <c r="C516" s="26" t="n">
        <v>45853</v>
      </c>
      <c r="D516" s="7" t="s">
        <v>318</v>
      </c>
      <c r="E516" s="7" t="s">
        <v>319</v>
      </c>
      <c r="F516" s="7" t="s">
        <v>219</v>
      </c>
      <c r="G516" s="7" t="s">
        <v>160</v>
      </c>
      <c r="H516" s="7" t="s">
        <v>263</v>
      </c>
      <c r="I516" s="7" t="s">
        <v>171</v>
      </c>
      <c r="J516" s="7" t="s">
        <v>304</v>
      </c>
      <c r="K516" s="7" t="s">
        <v>305</v>
      </c>
      <c r="L516" s="7" t="s">
        <v>306</v>
      </c>
      <c r="M516" s="7" t="n">
        <v>2</v>
      </c>
      <c r="N516" s="27" t="n">
        <v>2999</v>
      </c>
      <c r="O516" s="28" t="n">
        <v>0.1</v>
      </c>
      <c r="P516" s="27" t="n">
        <v>5398</v>
      </c>
      <c r="Q516" s="27" t="n">
        <v>4000</v>
      </c>
      <c r="R516" s="27" t="n">
        <v>1398</v>
      </c>
      <c r="S516" s="7" t="s">
        <v>60</v>
      </c>
      <c r="T516" s="7" t="str">
        <f aca="false">IF(O516=0,"No discount",IF(O516&lt;=0.2,"Up to 20%","Above 20%"))</f>
        <v>Up to 20%</v>
      </c>
    </row>
    <row r="517" customFormat="false" ht="15" hidden="false" customHeight="true" outlineLevel="0" collapsed="false">
      <c r="A517" s="7" t="s">
        <v>1166</v>
      </c>
      <c r="B517" s="26" t="n">
        <v>45849</v>
      </c>
      <c r="C517" s="26" t="n">
        <v>45852</v>
      </c>
      <c r="D517" s="7" t="s">
        <v>241</v>
      </c>
      <c r="E517" s="7" t="s">
        <v>242</v>
      </c>
      <c r="F517" s="7" t="s">
        <v>159</v>
      </c>
      <c r="G517" s="7" t="s">
        <v>206</v>
      </c>
      <c r="H517" s="7" t="s">
        <v>207</v>
      </c>
      <c r="I517" s="7" t="s">
        <v>171</v>
      </c>
      <c r="J517" s="7" t="s">
        <v>172</v>
      </c>
      <c r="K517" s="7" t="s">
        <v>180</v>
      </c>
      <c r="L517" s="7" t="s">
        <v>181</v>
      </c>
      <c r="M517" s="7" t="n">
        <v>1</v>
      </c>
      <c r="N517" s="27" t="n">
        <v>999</v>
      </c>
      <c r="O517" s="28" t="n">
        <v>0</v>
      </c>
      <c r="P517" s="27" t="n">
        <v>999</v>
      </c>
      <c r="Q517" s="27" t="n">
        <v>520</v>
      </c>
      <c r="R517" s="27" t="n">
        <v>479</v>
      </c>
      <c r="S517" s="7" t="s">
        <v>60</v>
      </c>
      <c r="T517" s="7" t="str">
        <f aca="false">IF(O517=0,"No discount",IF(O517&lt;=0.2,"Up to 20%","Above 20%"))</f>
        <v>No discount</v>
      </c>
    </row>
    <row r="518" customFormat="false" ht="15" hidden="false" customHeight="true" outlineLevel="0" collapsed="false">
      <c r="A518" s="7" t="s">
        <v>1167</v>
      </c>
      <c r="B518" s="26" t="n">
        <v>45850</v>
      </c>
      <c r="C518" s="26" t="n">
        <v>45852</v>
      </c>
      <c r="D518" s="7" t="s">
        <v>1168</v>
      </c>
      <c r="E518" s="7" t="s">
        <v>1169</v>
      </c>
      <c r="F518" s="7" t="s">
        <v>159</v>
      </c>
      <c r="G518" s="7" t="s">
        <v>160</v>
      </c>
      <c r="H518" s="7" t="s">
        <v>161</v>
      </c>
      <c r="I518" s="7" t="s">
        <v>162</v>
      </c>
      <c r="J518" s="7" t="s">
        <v>185</v>
      </c>
      <c r="K518" s="7" t="s">
        <v>186</v>
      </c>
      <c r="L518" s="7" t="s">
        <v>187</v>
      </c>
      <c r="M518" s="7" t="n">
        <v>2</v>
      </c>
      <c r="N518" s="27" t="n">
        <v>3299</v>
      </c>
      <c r="O518" s="28" t="n">
        <v>0.4</v>
      </c>
      <c r="P518" s="27" t="n">
        <v>3959</v>
      </c>
      <c r="Q518" s="27" t="n">
        <v>3800</v>
      </c>
      <c r="R518" s="27" t="n">
        <v>159</v>
      </c>
      <c r="S518" s="7" t="s">
        <v>60</v>
      </c>
      <c r="T518" s="7" t="str">
        <f aca="false">IF(O518=0,"No discount",IF(O518&lt;=0.2,"Up to 20%","Above 20%"))</f>
        <v>Above 20%</v>
      </c>
    </row>
    <row r="519" customFormat="false" ht="15" hidden="false" customHeight="true" outlineLevel="0" collapsed="false">
      <c r="A519" s="7" t="s">
        <v>1170</v>
      </c>
      <c r="B519" s="26" t="n">
        <v>45850</v>
      </c>
      <c r="C519" s="26" t="n">
        <v>45857</v>
      </c>
      <c r="D519" s="7" t="s">
        <v>345</v>
      </c>
      <c r="E519" s="7" t="s">
        <v>346</v>
      </c>
      <c r="F519" s="7" t="s">
        <v>159</v>
      </c>
      <c r="G519" s="7" t="s">
        <v>160</v>
      </c>
      <c r="H519" s="7" t="s">
        <v>161</v>
      </c>
      <c r="I519" s="7" t="s">
        <v>171</v>
      </c>
      <c r="J519" s="7" t="s">
        <v>304</v>
      </c>
      <c r="K519" s="7" t="s">
        <v>305</v>
      </c>
      <c r="L519" s="7" t="s">
        <v>306</v>
      </c>
      <c r="M519" s="7" t="n">
        <v>1</v>
      </c>
      <c r="N519" s="27" t="n">
        <v>2999</v>
      </c>
      <c r="O519" s="28" t="n">
        <v>0.2</v>
      </c>
      <c r="P519" s="27" t="n">
        <v>2399</v>
      </c>
      <c r="Q519" s="27" t="n">
        <v>2000</v>
      </c>
      <c r="R519" s="27" t="n">
        <v>399</v>
      </c>
      <c r="S519" s="7" t="s">
        <v>60</v>
      </c>
      <c r="T519" s="7" t="str">
        <f aca="false">IF(O519=0,"No discount",IF(O519&lt;=0.2,"Up to 20%","Above 20%"))</f>
        <v>Up to 20%</v>
      </c>
    </row>
    <row r="520" customFormat="false" ht="15" hidden="false" customHeight="true" outlineLevel="0" collapsed="false">
      <c r="A520" s="7" t="s">
        <v>1171</v>
      </c>
      <c r="B520" s="26" t="n">
        <v>45850</v>
      </c>
      <c r="C520" s="26" t="n">
        <v>45852</v>
      </c>
      <c r="D520" s="7" t="s">
        <v>792</v>
      </c>
      <c r="E520" s="7" t="s">
        <v>793</v>
      </c>
      <c r="F520" s="7" t="s">
        <v>219</v>
      </c>
      <c r="G520" s="7" t="s">
        <v>160</v>
      </c>
      <c r="H520" s="7" t="s">
        <v>161</v>
      </c>
      <c r="I520" s="7" t="s">
        <v>208</v>
      </c>
      <c r="J520" s="7" t="s">
        <v>232</v>
      </c>
      <c r="K520" s="7" t="s">
        <v>671</v>
      </c>
      <c r="L520" s="7" t="s">
        <v>672</v>
      </c>
      <c r="M520" s="7" t="n">
        <v>2</v>
      </c>
      <c r="N520" s="27" t="n">
        <v>3299</v>
      </c>
      <c r="O520" s="28" t="n">
        <v>0</v>
      </c>
      <c r="P520" s="27" t="n">
        <v>6598</v>
      </c>
      <c r="Q520" s="27" t="n">
        <v>4200</v>
      </c>
      <c r="R520" s="27" t="n">
        <v>2398</v>
      </c>
      <c r="S520" s="7" t="s">
        <v>60</v>
      </c>
      <c r="T520" s="7" t="str">
        <f aca="false">IF(O520=0,"No discount",IF(O520&lt;=0.2,"Up to 20%","Above 20%"))</f>
        <v>No discount</v>
      </c>
    </row>
    <row r="521" customFormat="false" ht="15" hidden="false" customHeight="true" outlineLevel="0" collapsed="false">
      <c r="A521" s="7" t="s">
        <v>1172</v>
      </c>
      <c r="B521" s="26" t="n">
        <v>45850</v>
      </c>
      <c r="C521" s="26" t="n">
        <v>45854</v>
      </c>
      <c r="D521" s="7" t="s">
        <v>1173</v>
      </c>
      <c r="E521" s="7" t="s">
        <v>1174</v>
      </c>
      <c r="F521" s="7" t="s">
        <v>159</v>
      </c>
      <c r="G521" s="7" t="s">
        <v>160</v>
      </c>
      <c r="H521" s="7" t="s">
        <v>269</v>
      </c>
      <c r="I521" s="7" t="s">
        <v>192</v>
      </c>
      <c r="J521" s="7" t="s">
        <v>213</v>
      </c>
      <c r="K521" s="7" t="s">
        <v>214</v>
      </c>
      <c r="L521" s="7" t="s">
        <v>215</v>
      </c>
      <c r="M521" s="7" t="n">
        <v>1</v>
      </c>
      <c r="N521" s="27" t="n">
        <v>5999</v>
      </c>
      <c r="O521" s="28" t="n">
        <v>0.3</v>
      </c>
      <c r="P521" s="27" t="n">
        <v>4199</v>
      </c>
      <c r="Q521" s="27" t="n">
        <v>4600</v>
      </c>
      <c r="R521" s="27" t="n">
        <v>-401</v>
      </c>
      <c r="S521" s="7" t="s">
        <v>60</v>
      </c>
      <c r="T521" s="7" t="str">
        <f aca="false">IF(O521=0,"No discount",IF(O521&lt;=0.2,"Up to 20%","Above 20%"))</f>
        <v>Above 20%</v>
      </c>
    </row>
    <row r="522" customFormat="false" ht="15" hidden="false" customHeight="true" outlineLevel="0" collapsed="false">
      <c r="A522" s="7" t="s">
        <v>1175</v>
      </c>
      <c r="B522" s="26" t="n">
        <v>45850</v>
      </c>
      <c r="C522" s="26" t="n">
        <v>45857</v>
      </c>
      <c r="D522" s="7" t="s">
        <v>333</v>
      </c>
      <c r="E522" s="7" t="s">
        <v>334</v>
      </c>
      <c r="F522" s="7" t="s">
        <v>159</v>
      </c>
      <c r="G522" s="7" t="s">
        <v>160</v>
      </c>
      <c r="H522" s="7" t="s">
        <v>263</v>
      </c>
      <c r="I522" s="7" t="s">
        <v>199</v>
      </c>
      <c r="J522" s="7" t="s">
        <v>200</v>
      </c>
      <c r="K522" s="7" t="s">
        <v>201</v>
      </c>
      <c r="L522" s="7" t="s">
        <v>202</v>
      </c>
      <c r="M522" s="7" t="n">
        <v>1</v>
      </c>
      <c r="N522" s="27" t="n">
        <v>399</v>
      </c>
      <c r="O522" s="28" t="n">
        <v>0.3</v>
      </c>
      <c r="P522" s="27" t="n">
        <v>279</v>
      </c>
      <c r="Q522" s="27" t="n">
        <v>160</v>
      </c>
      <c r="R522" s="27" t="n">
        <v>119</v>
      </c>
      <c r="S522" s="7" t="s">
        <v>60</v>
      </c>
      <c r="T522" s="7" t="str">
        <f aca="false">IF(O522=0,"No discount",IF(O522&lt;=0.2,"Up to 20%","Above 20%"))</f>
        <v>Above 20%</v>
      </c>
    </row>
    <row r="523" customFormat="false" ht="15" hidden="false" customHeight="true" outlineLevel="0" collapsed="false">
      <c r="A523" s="7" t="s">
        <v>1176</v>
      </c>
      <c r="B523" s="26" t="n">
        <v>45850</v>
      </c>
      <c r="C523" s="26" t="n">
        <v>45852</v>
      </c>
      <c r="D523" s="7" t="s">
        <v>781</v>
      </c>
      <c r="E523" s="7" t="s">
        <v>782</v>
      </c>
      <c r="F523" s="7" t="s">
        <v>219</v>
      </c>
      <c r="G523" s="7" t="s">
        <v>160</v>
      </c>
      <c r="H523" s="7" t="s">
        <v>269</v>
      </c>
      <c r="I523" s="7" t="s">
        <v>199</v>
      </c>
      <c r="J523" s="7" t="s">
        <v>200</v>
      </c>
      <c r="K523" s="7" t="s">
        <v>201</v>
      </c>
      <c r="L523" s="7" t="s">
        <v>202</v>
      </c>
      <c r="M523" s="7" t="n">
        <v>2</v>
      </c>
      <c r="N523" s="27" t="n">
        <v>399</v>
      </c>
      <c r="O523" s="28" t="n">
        <v>0.3</v>
      </c>
      <c r="P523" s="27" t="n">
        <v>559</v>
      </c>
      <c r="Q523" s="27" t="n">
        <v>320</v>
      </c>
      <c r="R523" s="27" t="n">
        <v>239</v>
      </c>
      <c r="S523" s="7" t="s">
        <v>60</v>
      </c>
      <c r="T523" s="7" t="str">
        <f aca="false">IF(O523=0,"No discount",IF(O523&lt;=0.2,"Up to 20%","Above 20%"))</f>
        <v>Above 20%</v>
      </c>
    </row>
    <row r="524" customFormat="false" ht="15" hidden="false" customHeight="true" outlineLevel="0" collapsed="false">
      <c r="A524" s="7" t="s">
        <v>1177</v>
      </c>
      <c r="B524" s="26" t="n">
        <v>45851</v>
      </c>
      <c r="C524" s="26" t="n">
        <v>45853</v>
      </c>
      <c r="D524" s="7" t="s">
        <v>230</v>
      </c>
      <c r="E524" s="7" t="s">
        <v>231</v>
      </c>
      <c r="F524" s="7" t="s">
        <v>219</v>
      </c>
      <c r="G524" s="7" t="s">
        <v>169</v>
      </c>
      <c r="H524" s="7" t="s">
        <v>191</v>
      </c>
      <c r="I524" s="7" t="s">
        <v>282</v>
      </c>
      <c r="J524" s="7" t="s">
        <v>387</v>
      </c>
      <c r="K524" s="7" t="s">
        <v>388</v>
      </c>
      <c r="L524" s="7" t="s">
        <v>389</v>
      </c>
      <c r="M524" s="7" t="n">
        <v>4</v>
      </c>
      <c r="N524" s="27" t="n">
        <v>1299</v>
      </c>
      <c r="O524" s="28" t="n">
        <v>0</v>
      </c>
      <c r="P524" s="27" t="n">
        <v>5196</v>
      </c>
      <c r="Q524" s="27" t="n">
        <v>3120</v>
      </c>
      <c r="R524" s="27" t="n">
        <v>2076</v>
      </c>
      <c r="S524" s="7" t="s">
        <v>60</v>
      </c>
      <c r="T524" s="7" t="str">
        <f aca="false">IF(O524=0,"No discount",IF(O524&lt;=0.2,"Up to 20%","Above 20%"))</f>
        <v>No discount</v>
      </c>
    </row>
    <row r="525" customFormat="false" ht="15" hidden="false" customHeight="true" outlineLevel="0" collapsed="false">
      <c r="A525" s="7" t="s">
        <v>1178</v>
      </c>
      <c r="B525" s="26" t="n">
        <v>45852</v>
      </c>
      <c r="C525" s="26" t="n">
        <v>45854</v>
      </c>
      <c r="D525" s="7" t="s">
        <v>255</v>
      </c>
      <c r="E525" s="7" t="s">
        <v>256</v>
      </c>
      <c r="F525" s="7" t="s">
        <v>159</v>
      </c>
      <c r="G525" s="7" t="s">
        <v>206</v>
      </c>
      <c r="H525" s="7" t="s">
        <v>207</v>
      </c>
      <c r="I525" s="7" t="s">
        <v>282</v>
      </c>
      <c r="J525" s="7" t="s">
        <v>427</v>
      </c>
      <c r="K525" s="7" t="s">
        <v>428</v>
      </c>
      <c r="L525" s="7" t="s">
        <v>429</v>
      </c>
      <c r="M525" s="7" t="n">
        <v>4</v>
      </c>
      <c r="N525" s="27" t="n">
        <v>149</v>
      </c>
      <c r="O525" s="28" t="n">
        <v>0</v>
      </c>
      <c r="P525" s="27" t="n">
        <v>596</v>
      </c>
      <c r="Q525" s="27" t="n">
        <v>280</v>
      </c>
      <c r="R525" s="27" t="n">
        <v>316</v>
      </c>
      <c r="S525" s="7" t="s">
        <v>60</v>
      </c>
      <c r="T525" s="7" t="str">
        <f aca="false">IF(O525=0,"No discount",IF(O525&lt;=0.2,"Up to 20%","Above 20%"))</f>
        <v>No discount</v>
      </c>
    </row>
    <row r="526" customFormat="false" ht="15" hidden="false" customHeight="true" outlineLevel="0" collapsed="false">
      <c r="A526" s="7" t="s">
        <v>1179</v>
      </c>
      <c r="B526" s="26" t="n">
        <v>45852</v>
      </c>
      <c r="C526" s="26" t="n">
        <v>45853</v>
      </c>
      <c r="D526" s="7" t="s">
        <v>645</v>
      </c>
      <c r="E526" s="7" t="s">
        <v>646</v>
      </c>
      <c r="F526" s="7" t="s">
        <v>178</v>
      </c>
      <c r="G526" s="7" t="s">
        <v>160</v>
      </c>
      <c r="H526" s="7" t="s">
        <v>161</v>
      </c>
      <c r="I526" s="7" t="s">
        <v>192</v>
      </c>
      <c r="J526" s="7" t="s">
        <v>502</v>
      </c>
      <c r="K526" s="7" t="s">
        <v>503</v>
      </c>
      <c r="L526" s="7" t="s">
        <v>504</v>
      </c>
      <c r="M526" s="7" t="n">
        <v>4</v>
      </c>
      <c r="N526" s="27" t="n">
        <v>3499</v>
      </c>
      <c r="O526" s="28" t="n">
        <v>0.3</v>
      </c>
      <c r="P526" s="27" t="n">
        <v>9797</v>
      </c>
      <c r="Q526" s="27" t="n">
        <v>10000</v>
      </c>
      <c r="R526" s="27" t="n">
        <v>-203</v>
      </c>
      <c r="S526" s="7" t="s">
        <v>60</v>
      </c>
      <c r="T526" s="7" t="str">
        <f aca="false">IF(O526=0,"No discount",IF(O526&lt;=0.2,"Up to 20%","Above 20%"))</f>
        <v>Above 20%</v>
      </c>
    </row>
    <row r="527" customFormat="false" ht="15" hidden="false" customHeight="true" outlineLevel="0" collapsed="false">
      <c r="A527" s="7" t="s">
        <v>1180</v>
      </c>
      <c r="B527" s="26" t="n">
        <v>45852</v>
      </c>
      <c r="C527" s="26" t="n">
        <v>45856</v>
      </c>
      <c r="D527" s="7" t="s">
        <v>482</v>
      </c>
      <c r="E527" s="7" t="s">
        <v>483</v>
      </c>
      <c r="F527" s="7" t="s">
        <v>178</v>
      </c>
      <c r="G527" s="7" t="s">
        <v>160</v>
      </c>
      <c r="H527" s="7" t="s">
        <v>269</v>
      </c>
      <c r="I527" s="7" t="s">
        <v>192</v>
      </c>
      <c r="J527" s="7" t="s">
        <v>502</v>
      </c>
      <c r="K527" s="7" t="s">
        <v>526</v>
      </c>
      <c r="L527" s="7" t="s">
        <v>527</v>
      </c>
      <c r="M527" s="7" t="n">
        <v>1</v>
      </c>
      <c r="N527" s="27" t="n">
        <v>6499</v>
      </c>
      <c r="O527" s="28" t="n">
        <v>0.2</v>
      </c>
      <c r="P527" s="27" t="n">
        <v>5199</v>
      </c>
      <c r="Q527" s="27" t="n">
        <v>5000</v>
      </c>
      <c r="R527" s="27" t="n">
        <v>199</v>
      </c>
      <c r="S527" s="7" t="s">
        <v>60</v>
      </c>
      <c r="T527" s="7" t="str">
        <f aca="false">IF(O527=0,"No discount",IF(O527&lt;=0.2,"Up to 20%","Above 20%"))</f>
        <v>Up to 20%</v>
      </c>
    </row>
    <row r="528" customFormat="false" ht="15" hidden="false" customHeight="true" outlineLevel="0" collapsed="false">
      <c r="A528" s="7" t="s">
        <v>1181</v>
      </c>
      <c r="B528" s="26" t="n">
        <v>45853</v>
      </c>
      <c r="C528" s="26" t="n">
        <v>45859</v>
      </c>
      <c r="D528" s="7" t="s">
        <v>308</v>
      </c>
      <c r="E528" s="7" t="s">
        <v>309</v>
      </c>
      <c r="F528" s="7" t="s">
        <v>159</v>
      </c>
      <c r="G528" s="7" t="s">
        <v>169</v>
      </c>
      <c r="H528" s="7" t="s">
        <v>179</v>
      </c>
      <c r="I528" s="7" t="s">
        <v>192</v>
      </c>
      <c r="J528" s="7" t="s">
        <v>193</v>
      </c>
      <c r="K528" s="7" t="s">
        <v>194</v>
      </c>
      <c r="L528" s="7" t="s">
        <v>195</v>
      </c>
      <c r="M528" s="7" t="n">
        <v>3</v>
      </c>
      <c r="N528" s="27" t="n">
        <v>8999</v>
      </c>
      <c r="O528" s="28" t="n">
        <v>0.4</v>
      </c>
      <c r="P528" s="27" t="n">
        <v>16198</v>
      </c>
      <c r="Q528" s="27" t="n">
        <v>20400</v>
      </c>
      <c r="R528" s="27" t="n">
        <v>-4202</v>
      </c>
      <c r="S528" s="7" t="s">
        <v>60</v>
      </c>
      <c r="T528" s="7" t="str">
        <f aca="false">IF(O528=0,"No discount",IF(O528&lt;=0.2,"Up to 20%","Above 20%"))</f>
        <v>Above 20%</v>
      </c>
    </row>
    <row r="529" customFormat="false" ht="15" hidden="false" customHeight="true" outlineLevel="0" collapsed="false">
      <c r="A529" s="7" t="s">
        <v>1182</v>
      </c>
      <c r="B529" s="26" t="n">
        <v>45854</v>
      </c>
      <c r="C529" s="26" t="n">
        <v>45857</v>
      </c>
      <c r="D529" s="7" t="s">
        <v>465</v>
      </c>
      <c r="E529" s="7" t="s">
        <v>466</v>
      </c>
      <c r="F529" s="7" t="s">
        <v>219</v>
      </c>
      <c r="G529" s="7" t="s">
        <v>323</v>
      </c>
      <c r="H529" s="7" t="s">
        <v>324</v>
      </c>
      <c r="I529" s="7" t="s">
        <v>171</v>
      </c>
      <c r="J529" s="7" t="s">
        <v>304</v>
      </c>
      <c r="K529" s="7" t="s">
        <v>499</v>
      </c>
      <c r="L529" s="7" t="s">
        <v>500</v>
      </c>
      <c r="M529" s="7" t="n">
        <v>2</v>
      </c>
      <c r="N529" s="27" t="n">
        <v>5499</v>
      </c>
      <c r="O529" s="28" t="n">
        <v>0.05</v>
      </c>
      <c r="P529" s="27" t="n">
        <v>10448</v>
      </c>
      <c r="Q529" s="27" t="n">
        <v>7800</v>
      </c>
      <c r="R529" s="27" t="n">
        <v>2648</v>
      </c>
      <c r="S529" s="7" t="s">
        <v>60</v>
      </c>
      <c r="T529" s="7" t="str">
        <f aca="false">IF(O529=0,"No discount",IF(O529&lt;=0.2,"Up to 20%","Above 20%"))</f>
        <v>Up to 20%</v>
      </c>
    </row>
    <row r="530" customFormat="false" ht="15" hidden="false" customHeight="true" outlineLevel="0" collapsed="false">
      <c r="A530" s="7" t="s">
        <v>1183</v>
      </c>
      <c r="B530" s="26" t="n">
        <v>45854</v>
      </c>
      <c r="C530" s="26" t="n">
        <v>45858</v>
      </c>
      <c r="D530" s="7" t="s">
        <v>465</v>
      </c>
      <c r="E530" s="7" t="s">
        <v>466</v>
      </c>
      <c r="F530" s="7" t="s">
        <v>219</v>
      </c>
      <c r="G530" s="7" t="s">
        <v>323</v>
      </c>
      <c r="H530" s="7" t="s">
        <v>324</v>
      </c>
      <c r="I530" s="7" t="s">
        <v>199</v>
      </c>
      <c r="J530" s="7" t="s">
        <v>292</v>
      </c>
      <c r="K530" s="7" t="s">
        <v>293</v>
      </c>
      <c r="L530" s="7" t="s">
        <v>294</v>
      </c>
      <c r="M530" s="7" t="n">
        <v>1</v>
      </c>
      <c r="N530" s="27" t="n">
        <v>1599</v>
      </c>
      <c r="O530" s="28" t="n">
        <v>0</v>
      </c>
      <c r="P530" s="27" t="n">
        <v>1599</v>
      </c>
      <c r="Q530" s="27" t="n">
        <v>750</v>
      </c>
      <c r="R530" s="27" t="n">
        <v>849</v>
      </c>
      <c r="S530" s="7" t="s">
        <v>60</v>
      </c>
      <c r="T530" s="7" t="str">
        <f aca="false">IF(O530=0,"No discount",IF(O530&lt;=0.2,"Up to 20%","Above 20%"))</f>
        <v>No discount</v>
      </c>
    </row>
    <row r="531" customFormat="false" ht="15" hidden="false" customHeight="true" outlineLevel="0" collapsed="false">
      <c r="A531" s="7" t="s">
        <v>1184</v>
      </c>
      <c r="B531" s="26" t="n">
        <v>45855</v>
      </c>
      <c r="C531" s="26" t="n">
        <v>45862</v>
      </c>
      <c r="D531" s="7" t="s">
        <v>597</v>
      </c>
      <c r="E531" s="7" t="s">
        <v>598</v>
      </c>
      <c r="F531" s="7" t="s">
        <v>159</v>
      </c>
      <c r="G531" s="7" t="s">
        <v>160</v>
      </c>
      <c r="H531" s="7" t="s">
        <v>269</v>
      </c>
      <c r="I531" s="7" t="s">
        <v>199</v>
      </c>
      <c r="J531" s="7" t="s">
        <v>223</v>
      </c>
      <c r="K531" s="7" t="s">
        <v>224</v>
      </c>
      <c r="L531" s="7" t="s">
        <v>225</v>
      </c>
      <c r="M531" s="7" t="n">
        <v>1</v>
      </c>
      <c r="N531" s="27" t="n">
        <v>899</v>
      </c>
      <c r="O531" s="28" t="n">
        <v>0</v>
      </c>
      <c r="P531" s="27" t="n">
        <v>899</v>
      </c>
      <c r="Q531" s="27" t="n">
        <v>380</v>
      </c>
      <c r="R531" s="27" t="n">
        <v>519</v>
      </c>
      <c r="S531" s="7" t="s">
        <v>60</v>
      </c>
      <c r="T531" s="7" t="str">
        <f aca="false">IF(O531=0,"No discount",IF(O531&lt;=0.2,"Up to 20%","Above 20%"))</f>
        <v>No discount</v>
      </c>
    </row>
    <row r="532" customFormat="false" ht="15" hidden="false" customHeight="true" outlineLevel="0" collapsed="false">
      <c r="A532" s="7" t="s">
        <v>1185</v>
      </c>
      <c r="B532" s="26" t="n">
        <v>45855</v>
      </c>
      <c r="C532" s="26" t="n">
        <v>45858</v>
      </c>
      <c r="D532" s="7" t="s">
        <v>321</v>
      </c>
      <c r="E532" s="7" t="s">
        <v>322</v>
      </c>
      <c r="F532" s="7" t="s">
        <v>219</v>
      </c>
      <c r="G532" s="7" t="s">
        <v>323</v>
      </c>
      <c r="H532" s="7" t="s">
        <v>324</v>
      </c>
      <c r="I532" s="7" t="s">
        <v>192</v>
      </c>
      <c r="J532" s="7" t="s">
        <v>193</v>
      </c>
      <c r="K532" s="7" t="s">
        <v>194</v>
      </c>
      <c r="L532" s="7" t="s">
        <v>195</v>
      </c>
      <c r="M532" s="7" t="n">
        <v>3</v>
      </c>
      <c r="N532" s="27" t="n">
        <v>8999</v>
      </c>
      <c r="O532" s="28" t="n">
        <v>0.2</v>
      </c>
      <c r="P532" s="27" t="n">
        <v>21598</v>
      </c>
      <c r="Q532" s="27" t="n">
        <v>20400</v>
      </c>
      <c r="R532" s="27" t="n">
        <v>1198</v>
      </c>
      <c r="S532" s="7" t="s">
        <v>60</v>
      </c>
      <c r="T532" s="7" t="str">
        <f aca="false">IF(O532=0,"No discount",IF(O532&lt;=0.2,"Up to 20%","Above 20%"))</f>
        <v>Up to 20%</v>
      </c>
    </row>
    <row r="533" customFormat="false" ht="15" hidden="false" customHeight="true" outlineLevel="0" collapsed="false">
      <c r="A533" s="7" t="s">
        <v>1186</v>
      </c>
      <c r="B533" s="26" t="n">
        <v>45856</v>
      </c>
      <c r="C533" s="26" t="n">
        <v>45857</v>
      </c>
      <c r="D533" s="7" t="s">
        <v>588</v>
      </c>
      <c r="E533" s="7" t="s">
        <v>589</v>
      </c>
      <c r="F533" s="7" t="s">
        <v>219</v>
      </c>
      <c r="G533" s="7" t="s">
        <v>206</v>
      </c>
      <c r="H533" s="7" t="s">
        <v>207</v>
      </c>
      <c r="I533" s="7" t="s">
        <v>199</v>
      </c>
      <c r="J533" s="7" t="s">
        <v>292</v>
      </c>
      <c r="K533" s="7" t="s">
        <v>293</v>
      </c>
      <c r="L533" s="7" t="s">
        <v>294</v>
      </c>
      <c r="M533" s="7" t="n">
        <v>1</v>
      </c>
      <c r="N533" s="27" t="n">
        <v>1599</v>
      </c>
      <c r="O533" s="28" t="n">
        <v>0</v>
      </c>
      <c r="P533" s="27" t="n">
        <v>1599</v>
      </c>
      <c r="Q533" s="27" t="n">
        <v>750</v>
      </c>
      <c r="R533" s="27" t="n">
        <v>849</v>
      </c>
      <c r="S533" s="7" t="s">
        <v>60</v>
      </c>
      <c r="T533" s="7" t="str">
        <f aca="false">IF(O533=0,"No discount",IF(O533&lt;=0.2,"Up to 20%","Above 20%"))</f>
        <v>No discount</v>
      </c>
    </row>
    <row r="534" customFormat="false" ht="15" hidden="false" customHeight="true" outlineLevel="0" collapsed="false">
      <c r="A534" s="7" t="s">
        <v>1187</v>
      </c>
      <c r="B534" s="26" t="n">
        <v>45856</v>
      </c>
      <c r="C534" s="26" t="n">
        <v>45859</v>
      </c>
      <c r="D534" s="7" t="s">
        <v>789</v>
      </c>
      <c r="E534" s="7" t="s">
        <v>790</v>
      </c>
      <c r="F534" s="7" t="s">
        <v>159</v>
      </c>
      <c r="G534" s="7" t="s">
        <v>160</v>
      </c>
      <c r="H534" s="7" t="s">
        <v>161</v>
      </c>
      <c r="I534" s="7" t="s">
        <v>162</v>
      </c>
      <c r="J534" s="7" t="s">
        <v>185</v>
      </c>
      <c r="K534" s="7" t="s">
        <v>186</v>
      </c>
      <c r="L534" s="7" t="s">
        <v>187</v>
      </c>
      <c r="M534" s="7" t="n">
        <v>1</v>
      </c>
      <c r="N534" s="27" t="n">
        <v>3299</v>
      </c>
      <c r="O534" s="28" t="n">
        <v>0.3</v>
      </c>
      <c r="P534" s="27" t="n">
        <v>2309</v>
      </c>
      <c r="Q534" s="27" t="n">
        <v>1900</v>
      </c>
      <c r="R534" s="27" t="n">
        <v>409</v>
      </c>
      <c r="S534" s="7" t="s">
        <v>60</v>
      </c>
      <c r="T534" s="7" t="str">
        <f aca="false">IF(O534=0,"No discount",IF(O534&lt;=0.2,"Up to 20%","Above 20%"))</f>
        <v>Above 20%</v>
      </c>
    </row>
    <row r="535" customFormat="false" ht="15" hidden="false" customHeight="true" outlineLevel="0" collapsed="false">
      <c r="A535" s="7" t="s">
        <v>1188</v>
      </c>
      <c r="B535" s="26" t="n">
        <v>45856</v>
      </c>
      <c r="C535" s="26" t="n">
        <v>45858</v>
      </c>
      <c r="D535" s="7" t="s">
        <v>321</v>
      </c>
      <c r="E535" s="7" t="s">
        <v>322</v>
      </c>
      <c r="F535" s="7" t="s">
        <v>219</v>
      </c>
      <c r="G535" s="7" t="s">
        <v>323</v>
      </c>
      <c r="H535" s="7" t="s">
        <v>324</v>
      </c>
      <c r="I535" s="7" t="s">
        <v>208</v>
      </c>
      <c r="J535" s="7" t="s">
        <v>232</v>
      </c>
      <c r="K535" s="7" t="s">
        <v>233</v>
      </c>
      <c r="L535" s="7" t="s">
        <v>234</v>
      </c>
      <c r="M535" s="7" t="n">
        <v>2</v>
      </c>
      <c r="N535" s="27" t="n">
        <v>7999</v>
      </c>
      <c r="O535" s="28" t="n">
        <v>0.05</v>
      </c>
      <c r="P535" s="27" t="n">
        <v>15198</v>
      </c>
      <c r="Q535" s="27" t="n">
        <v>11200</v>
      </c>
      <c r="R535" s="27" t="n">
        <v>3998</v>
      </c>
      <c r="S535" s="7" t="s">
        <v>60</v>
      </c>
      <c r="T535" s="7" t="str">
        <f aca="false">IF(O535=0,"No discount",IF(O535&lt;=0.2,"Up to 20%","Above 20%"))</f>
        <v>Up to 20%</v>
      </c>
    </row>
    <row r="536" customFormat="false" ht="15" hidden="false" customHeight="true" outlineLevel="0" collapsed="false">
      <c r="A536" s="7" t="s">
        <v>1189</v>
      </c>
      <c r="B536" s="26" t="n">
        <v>45856</v>
      </c>
      <c r="C536" s="26" t="n">
        <v>45863</v>
      </c>
      <c r="D536" s="7" t="s">
        <v>697</v>
      </c>
      <c r="E536" s="7" t="s">
        <v>698</v>
      </c>
      <c r="F536" s="7" t="s">
        <v>219</v>
      </c>
      <c r="G536" s="7" t="s">
        <v>160</v>
      </c>
      <c r="H536" s="7" t="s">
        <v>269</v>
      </c>
      <c r="I536" s="7" t="s">
        <v>171</v>
      </c>
      <c r="J536" s="7" t="s">
        <v>304</v>
      </c>
      <c r="K536" s="7" t="s">
        <v>305</v>
      </c>
      <c r="L536" s="7" t="s">
        <v>306</v>
      </c>
      <c r="M536" s="7" t="n">
        <v>1</v>
      </c>
      <c r="N536" s="27" t="n">
        <v>2999</v>
      </c>
      <c r="O536" s="28" t="n">
        <v>0.1</v>
      </c>
      <c r="P536" s="27" t="n">
        <v>2699</v>
      </c>
      <c r="Q536" s="27" t="n">
        <v>2000</v>
      </c>
      <c r="R536" s="27" t="n">
        <v>699</v>
      </c>
      <c r="S536" s="7" t="s">
        <v>60</v>
      </c>
      <c r="T536" s="7" t="str">
        <f aca="false">IF(O536=0,"No discount",IF(O536&lt;=0.2,"Up to 20%","Above 20%"))</f>
        <v>Up to 20%</v>
      </c>
    </row>
    <row r="537" customFormat="false" ht="15" hidden="false" customHeight="true" outlineLevel="0" collapsed="false">
      <c r="A537" s="7" t="s">
        <v>1190</v>
      </c>
      <c r="B537" s="26" t="n">
        <v>45856</v>
      </c>
      <c r="C537" s="26" t="n">
        <v>45863</v>
      </c>
      <c r="D537" s="7" t="s">
        <v>1191</v>
      </c>
      <c r="E537" s="7" t="s">
        <v>1192</v>
      </c>
      <c r="F537" s="7" t="s">
        <v>219</v>
      </c>
      <c r="G537" s="7" t="s">
        <v>160</v>
      </c>
      <c r="H537" s="7" t="s">
        <v>269</v>
      </c>
      <c r="I537" s="7" t="s">
        <v>171</v>
      </c>
      <c r="J537" s="7" t="s">
        <v>314</v>
      </c>
      <c r="K537" s="7" t="s">
        <v>315</v>
      </c>
      <c r="L537" s="7" t="s">
        <v>316</v>
      </c>
      <c r="M537" s="7" t="n">
        <v>1</v>
      </c>
      <c r="N537" s="27" t="n">
        <v>1299</v>
      </c>
      <c r="O537" s="28" t="n">
        <v>0.1</v>
      </c>
      <c r="P537" s="27" t="n">
        <v>1169</v>
      </c>
      <c r="Q537" s="27" t="n">
        <v>700</v>
      </c>
      <c r="R537" s="27" t="n">
        <v>469</v>
      </c>
      <c r="S537" s="7" t="s">
        <v>60</v>
      </c>
      <c r="T537" s="7" t="str">
        <f aca="false">IF(O537=0,"No discount",IF(O537&lt;=0.2,"Up to 20%","Above 20%"))</f>
        <v>Up to 20%</v>
      </c>
    </row>
    <row r="538" customFormat="false" ht="15" hidden="false" customHeight="true" outlineLevel="0" collapsed="false">
      <c r="A538" s="7" t="s">
        <v>1193</v>
      </c>
      <c r="B538" s="26" t="n">
        <v>45856</v>
      </c>
      <c r="C538" s="26" t="n">
        <v>45857</v>
      </c>
      <c r="D538" s="7" t="s">
        <v>1194</v>
      </c>
      <c r="E538" s="7" t="s">
        <v>1195</v>
      </c>
      <c r="F538" s="7" t="s">
        <v>178</v>
      </c>
      <c r="G538" s="7" t="s">
        <v>169</v>
      </c>
      <c r="H538" s="7" t="s">
        <v>191</v>
      </c>
      <c r="I538" s="7" t="s">
        <v>282</v>
      </c>
      <c r="J538" s="7" t="s">
        <v>387</v>
      </c>
      <c r="K538" s="7" t="s">
        <v>547</v>
      </c>
      <c r="L538" s="7" t="s">
        <v>548</v>
      </c>
      <c r="M538" s="7" t="n">
        <v>2</v>
      </c>
      <c r="N538" s="27" t="n">
        <v>249</v>
      </c>
      <c r="O538" s="28" t="n">
        <v>0</v>
      </c>
      <c r="P538" s="27" t="n">
        <v>498</v>
      </c>
      <c r="Q538" s="27" t="n">
        <v>240</v>
      </c>
      <c r="R538" s="27" t="n">
        <v>258</v>
      </c>
      <c r="S538" s="7" t="s">
        <v>60</v>
      </c>
      <c r="T538" s="7" t="str">
        <f aca="false">IF(O538=0,"No discount",IF(O538&lt;=0.2,"Up to 20%","Above 20%"))</f>
        <v>No discount</v>
      </c>
    </row>
    <row r="539" customFormat="false" ht="15" hidden="false" customHeight="true" outlineLevel="0" collapsed="false">
      <c r="A539" s="7" t="s">
        <v>1196</v>
      </c>
      <c r="B539" s="26" t="n">
        <v>45856</v>
      </c>
      <c r="C539" s="26" t="n">
        <v>45863</v>
      </c>
      <c r="D539" s="7" t="s">
        <v>267</v>
      </c>
      <c r="E539" s="7" t="s">
        <v>268</v>
      </c>
      <c r="F539" s="7" t="s">
        <v>159</v>
      </c>
      <c r="G539" s="7" t="s">
        <v>160</v>
      </c>
      <c r="H539" s="7" t="s">
        <v>269</v>
      </c>
      <c r="I539" s="7" t="s">
        <v>162</v>
      </c>
      <c r="J539" s="7" t="s">
        <v>163</v>
      </c>
      <c r="K539" s="7" t="s">
        <v>164</v>
      </c>
      <c r="L539" s="7" t="s">
        <v>165</v>
      </c>
      <c r="M539" s="7" t="n">
        <v>1</v>
      </c>
      <c r="N539" s="27" t="n">
        <v>1999</v>
      </c>
      <c r="O539" s="28" t="n">
        <v>0.2</v>
      </c>
      <c r="P539" s="27" t="n">
        <v>1599</v>
      </c>
      <c r="Q539" s="27" t="n">
        <v>1050</v>
      </c>
      <c r="R539" s="27" t="n">
        <v>549</v>
      </c>
      <c r="S539" s="7" t="s">
        <v>47</v>
      </c>
      <c r="T539" s="7" t="str">
        <f aca="false">IF(O539=0,"No discount",IF(O539&lt;=0.2,"Up to 20%","Above 20%"))</f>
        <v>Up to 20%</v>
      </c>
    </row>
    <row r="540" customFormat="false" ht="15" hidden="false" customHeight="true" outlineLevel="0" collapsed="false">
      <c r="A540" s="7" t="s">
        <v>1197</v>
      </c>
      <c r="B540" s="26" t="n">
        <v>45856</v>
      </c>
      <c r="C540" s="26" t="n">
        <v>45861</v>
      </c>
      <c r="D540" s="7" t="s">
        <v>267</v>
      </c>
      <c r="E540" s="7" t="s">
        <v>268</v>
      </c>
      <c r="F540" s="7" t="s">
        <v>159</v>
      </c>
      <c r="G540" s="7" t="s">
        <v>160</v>
      </c>
      <c r="H540" s="7" t="s">
        <v>269</v>
      </c>
      <c r="I540" s="7" t="s">
        <v>162</v>
      </c>
      <c r="J540" s="7" t="s">
        <v>185</v>
      </c>
      <c r="K540" s="7" t="s">
        <v>186</v>
      </c>
      <c r="L540" s="7" t="s">
        <v>187</v>
      </c>
      <c r="M540" s="7" t="n">
        <v>1</v>
      </c>
      <c r="N540" s="27" t="n">
        <v>3299</v>
      </c>
      <c r="O540" s="28" t="n">
        <v>0.3</v>
      </c>
      <c r="P540" s="27" t="n">
        <v>2309</v>
      </c>
      <c r="Q540" s="27" t="n">
        <v>1900</v>
      </c>
      <c r="R540" s="27" t="n">
        <v>409</v>
      </c>
      <c r="S540" s="7" t="s">
        <v>60</v>
      </c>
      <c r="T540" s="7" t="str">
        <f aca="false">IF(O540=0,"No discount",IF(O540&lt;=0.2,"Up to 20%","Above 20%"))</f>
        <v>Above 20%</v>
      </c>
    </row>
    <row r="541" customFormat="false" ht="15" hidden="false" customHeight="true" outlineLevel="0" collapsed="false">
      <c r="A541" s="7" t="s">
        <v>1198</v>
      </c>
      <c r="B541" s="26" t="n">
        <v>45857</v>
      </c>
      <c r="C541" s="26" t="n">
        <v>45859</v>
      </c>
      <c r="D541" s="7" t="s">
        <v>348</v>
      </c>
      <c r="E541" s="7" t="s">
        <v>349</v>
      </c>
      <c r="F541" s="7" t="s">
        <v>159</v>
      </c>
      <c r="G541" s="7" t="s">
        <v>169</v>
      </c>
      <c r="H541" s="7" t="s">
        <v>191</v>
      </c>
      <c r="I541" s="7" t="s">
        <v>192</v>
      </c>
      <c r="J541" s="7" t="s">
        <v>502</v>
      </c>
      <c r="K541" s="7" t="s">
        <v>503</v>
      </c>
      <c r="L541" s="7" t="s">
        <v>504</v>
      </c>
      <c r="M541" s="7" t="n">
        <v>2</v>
      </c>
      <c r="N541" s="27" t="n">
        <v>3499</v>
      </c>
      <c r="O541" s="28" t="n">
        <v>0.2</v>
      </c>
      <c r="P541" s="27" t="n">
        <v>5598</v>
      </c>
      <c r="Q541" s="27" t="n">
        <v>5000</v>
      </c>
      <c r="R541" s="27" t="n">
        <v>598</v>
      </c>
      <c r="S541" s="7" t="s">
        <v>60</v>
      </c>
      <c r="T541" s="7" t="str">
        <f aca="false">IF(O541=0,"No discount",IF(O541&lt;=0.2,"Up to 20%","Above 20%"))</f>
        <v>Up to 20%</v>
      </c>
    </row>
    <row r="542" customFormat="false" ht="15" hidden="false" customHeight="true" outlineLevel="0" collapsed="false">
      <c r="A542" s="7" t="s">
        <v>1199</v>
      </c>
      <c r="B542" s="26" t="n">
        <v>45858</v>
      </c>
      <c r="C542" s="26" t="n">
        <v>45865</v>
      </c>
      <c r="D542" s="7" t="s">
        <v>1200</v>
      </c>
      <c r="E542" s="7" t="s">
        <v>1201</v>
      </c>
      <c r="F542" s="7" t="s">
        <v>159</v>
      </c>
      <c r="G542" s="7" t="s">
        <v>160</v>
      </c>
      <c r="H542" s="7" t="s">
        <v>161</v>
      </c>
      <c r="I542" s="7" t="s">
        <v>171</v>
      </c>
      <c r="J542" s="7" t="s">
        <v>304</v>
      </c>
      <c r="K542" s="7" t="s">
        <v>499</v>
      </c>
      <c r="L542" s="7" t="s">
        <v>500</v>
      </c>
      <c r="M542" s="7" t="n">
        <v>4</v>
      </c>
      <c r="N542" s="27" t="n">
        <v>5499</v>
      </c>
      <c r="O542" s="28" t="n">
        <v>0.05</v>
      </c>
      <c r="P542" s="27" t="n">
        <v>20896</v>
      </c>
      <c r="Q542" s="27" t="n">
        <v>15600</v>
      </c>
      <c r="R542" s="27" t="n">
        <v>5296</v>
      </c>
      <c r="S542" s="7" t="s">
        <v>60</v>
      </c>
      <c r="T542" s="7" t="str">
        <f aca="false">IF(O542=0,"No discount",IF(O542&lt;=0.2,"Up to 20%","Above 20%"))</f>
        <v>Up to 20%</v>
      </c>
    </row>
    <row r="543" customFormat="false" ht="15" hidden="false" customHeight="true" outlineLevel="0" collapsed="false">
      <c r="A543" s="7" t="s">
        <v>1202</v>
      </c>
      <c r="B543" s="26" t="n">
        <v>45858</v>
      </c>
      <c r="C543" s="26" t="n">
        <v>45864</v>
      </c>
      <c r="D543" s="7" t="s">
        <v>1203</v>
      </c>
      <c r="E543" s="7" t="s">
        <v>1204</v>
      </c>
      <c r="F543" s="7" t="s">
        <v>219</v>
      </c>
      <c r="G543" s="7" t="s">
        <v>323</v>
      </c>
      <c r="H543" s="7" t="s">
        <v>324</v>
      </c>
      <c r="I543" s="7" t="s">
        <v>282</v>
      </c>
      <c r="J543" s="7" t="s">
        <v>427</v>
      </c>
      <c r="K543" s="7" t="s">
        <v>428</v>
      </c>
      <c r="L543" s="7" t="s">
        <v>429</v>
      </c>
      <c r="M543" s="7" t="n">
        <v>1</v>
      </c>
      <c r="N543" s="27" t="n">
        <v>149</v>
      </c>
      <c r="O543" s="28" t="n">
        <v>0</v>
      </c>
      <c r="P543" s="27" t="n">
        <v>149</v>
      </c>
      <c r="Q543" s="27" t="n">
        <v>70</v>
      </c>
      <c r="R543" s="27" t="n">
        <v>79</v>
      </c>
      <c r="S543" s="7" t="s">
        <v>60</v>
      </c>
      <c r="T543" s="7" t="str">
        <f aca="false">IF(O543=0,"No discount",IF(O543&lt;=0.2,"Up to 20%","Above 20%"))</f>
        <v>No discount</v>
      </c>
    </row>
    <row r="544" customFormat="false" ht="15" hidden="false" customHeight="true" outlineLevel="0" collapsed="false">
      <c r="A544" s="7" t="s">
        <v>1205</v>
      </c>
      <c r="B544" s="26" t="n">
        <v>45858</v>
      </c>
      <c r="C544" s="26" t="n">
        <v>45863</v>
      </c>
      <c r="D544" s="7" t="s">
        <v>496</v>
      </c>
      <c r="E544" s="7" t="s">
        <v>497</v>
      </c>
      <c r="F544" s="7" t="s">
        <v>178</v>
      </c>
      <c r="G544" s="7" t="s">
        <v>169</v>
      </c>
      <c r="H544" s="7" t="s">
        <v>179</v>
      </c>
      <c r="I544" s="7" t="s">
        <v>282</v>
      </c>
      <c r="J544" s="7" t="s">
        <v>283</v>
      </c>
      <c r="K544" s="7" t="s">
        <v>284</v>
      </c>
      <c r="L544" s="7" t="s">
        <v>285</v>
      </c>
      <c r="M544" s="7" t="n">
        <v>2</v>
      </c>
      <c r="N544" s="27" t="n">
        <v>199</v>
      </c>
      <c r="O544" s="28" t="n">
        <v>0</v>
      </c>
      <c r="P544" s="27" t="n">
        <v>398</v>
      </c>
      <c r="Q544" s="27" t="n">
        <v>180</v>
      </c>
      <c r="R544" s="27" t="n">
        <v>218</v>
      </c>
      <c r="S544" s="7" t="s">
        <v>60</v>
      </c>
      <c r="T544" s="7" t="str">
        <f aca="false">IF(O544=0,"No discount",IF(O544&lt;=0.2,"Up to 20%","Above 20%"))</f>
        <v>No discount</v>
      </c>
    </row>
    <row r="545" customFormat="false" ht="15" hidden="false" customHeight="true" outlineLevel="0" collapsed="false">
      <c r="A545" s="7" t="s">
        <v>1206</v>
      </c>
      <c r="B545" s="26" t="n">
        <v>45859</v>
      </c>
      <c r="C545" s="26" t="n">
        <v>45861</v>
      </c>
      <c r="D545" s="7" t="s">
        <v>1073</v>
      </c>
      <c r="E545" s="7" t="s">
        <v>1074</v>
      </c>
      <c r="F545" s="7" t="s">
        <v>159</v>
      </c>
      <c r="G545" s="7" t="s">
        <v>206</v>
      </c>
      <c r="H545" s="7" t="s">
        <v>207</v>
      </c>
      <c r="I545" s="7" t="s">
        <v>199</v>
      </c>
      <c r="J545" s="7" t="s">
        <v>223</v>
      </c>
      <c r="K545" s="7" t="s">
        <v>246</v>
      </c>
      <c r="L545" s="7" t="s">
        <v>247</v>
      </c>
      <c r="M545" s="7" t="n">
        <v>4</v>
      </c>
      <c r="N545" s="27" t="n">
        <v>599</v>
      </c>
      <c r="O545" s="28" t="n">
        <v>0</v>
      </c>
      <c r="P545" s="27" t="n">
        <v>2396</v>
      </c>
      <c r="Q545" s="27" t="n">
        <v>1080</v>
      </c>
      <c r="R545" s="27" t="n">
        <v>1316</v>
      </c>
      <c r="S545" s="7" t="s">
        <v>60</v>
      </c>
      <c r="T545" s="7" t="str">
        <f aca="false">IF(O545=0,"No discount",IF(O545&lt;=0.2,"Up to 20%","Above 20%"))</f>
        <v>No discount</v>
      </c>
    </row>
    <row r="546" customFormat="false" ht="15" hidden="false" customHeight="true" outlineLevel="0" collapsed="false">
      <c r="A546" s="7" t="s">
        <v>1207</v>
      </c>
      <c r="B546" s="26" t="n">
        <v>45859</v>
      </c>
      <c r="C546" s="26" t="n">
        <v>45862</v>
      </c>
      <c r="D546" s="7" t="s">
        <v>308</v>
      </c>
      <c r="E546" s="7" t="s">
        <v>309</v>
      </c>
      <c r="F546" s="7" t="s">
        <v>159</v>
      </c>
      <c r="G546" s="7" t="s">
        <v>169</v>
      </c>
      <c r="H546" s="7" t="s">
        <v>179</v>
      </c>
      <c r="I546" s="7" t="s">
        <v>199</v>
      </c>
      <c r="J546" s="7" t="s">
        <v>223</v>
      </c>
      <c r="K546" s="7" t="s">
        <v>224</v>
      </c>
      <c r="L546" s="7" t="s">
        <v>225</v>
      </c>
      <c r="M546" s="7" t="n">
        <v>1</v>
      </c>
      <c r="N546" s="27" t="n">
        <v>899</v>
      </c>
      <c r="O546" s="28" t="n">
        <v>0.1</v>
      </c>
      <c r="P546" s="27" t="n">
        <v>809</v>
      </c>
      <c r="Q546" s="27" t="n">
        <v>380</v>
      </c>
      <c r="R546" s="27" t="n">
        <v>429</v>
      </c>
      <c r="S546" s="7" t="s">
        <v>60</v>
      </c>
      <c r="T546" s="7" t="str">
        <f aca="false">IF(O546=0,"No discount",IF(O546&lt;=0.2,"Up to 20%","Above 20%"))</f>
        <v>Up to 20%</v>
      </c>
    </row>
    <row r="547" customFormat="false" ht="15" hidden="false" customHeight="true" outlineLevel="0" collapsed="false">
      <c r="A547" s="7" t="s">
        <v>1208</v>
      </c>
      <c r="B547" s="26" t="n">
        <v>45860</v>
      </c>
      <c r="C547" s="26" t="n">
        <v>45864</v>
      </c>
      <c r="D547" s="7" t="s">
        <v>462</v>
      </c>
      <c r="E547" s="7" t="s">
        <v>463</v>
      </c>
      <c r="F547" s="7" t="s">
        <v>159</v>
      </c>
      <c r="G547" s="7" t="s">
        <v>169</v>
      </c>
      <c r="H547" s="7" t="s">
        <v>191</v>
      </c>
      <c r="I547" s="7" t="s">
        <v>171</v>
      </c>
      <c r="J547" s="7" t="s">
        <v>304</v>
      </c>
      <c r="K547" s="7" t="s">
        <v>305</v>
      </c>
      <c r="L547" s="7" t="s">
        <v>306</v>
      </c>
      <c r="M547" s="7" t="n">
        <v>2</v>
      </c>
      <c r="N547" s="27" t="n">
        <v>2999</v>
      </c>
      <c r="O547" s="28" t="n">
        <v>0.05</v>
      </c>
      <c r="P547" s="27" t="n">
        <v>5698</v>
      </c>
      <c r="Q547" s="27" t="n">
        <v>4000</v>
      </c>
      <c r="R547" s="27" t="n">
        <v>1698</v>
      </c>
      <c r="S547" s="7" t="s">
        <v>60</v>
      </c>
      <c r="T547" s="7" t="str">
        <f aca="false">IF(O547=0,"No discount",IF(O547&lt;=0.2,"Up to 20%","Above 20%"))</f>
        <v>Up to 20%</v>
      </c>
    </row>
    <row r="548" customFormat="false" ht="15" hidden="false" customHeight="true" outlineLevel="0" collapsed="false">
      <c r="A548" s="7" t="s">
        <v>1209</v>
      </c>
      <c r="B548" s="26" t="n">
        <v>45860</v>
      </c>
      <c r="C548" s="26" t="n">
        <v>45861</v>
      </c>
      <c r="D548" s="7" t="s">
        <v>416</v>
      </c>
      <c r="E548" s="7" t="s">
        <v>417</v>
      </c>
      <c r="F548" s="7" t="s">
        <v>159</v>
      </c>
      <c r="G548" s="7" t="s">
        <v>160</v>
      </c>
      <c r="H548" s="7" t="s">
        <v>269</v>
      </c>
      <c r="I548" s="7" t="s">
        <v>199</v>
      </c>
      <c r="J548" s="7" t="s">
        <v>398</v>
      </c>
      <c r="K548" s="7" t="s">
        <v>399</v>
      </c>
      <c r="L548" s="7" t="s">
        <v>400</v>
      </c>
      <c r="M548" s="7" t="n">
        <v>4</v>
      </c>
      <c r="N548" s="27" t="n">
        <v>749</v>
      </c>
      <c r="O548" s="28" t="n">
        <v>0</v>
      </c>
      <c r="P548" s="27" t="n">
        <v>2996</v>
      </c>
      <c r="Q548" s="27" t="n">
        <v>1400</v>
      </c>
      <c r="R548" s="27" t="n">
        <v>1596</v>
      </c>
      <c r="S548" s="7" t="s">
        <v>60</v>
      </c>
      <c r="T548" s="7" t="str">
        <f aca="false">IF(O548=0,"No discount",IF(O548&lt;=0.2,"Up to 20%","Above 20%"))</f>
        <v>No discount</v>
      </c>
    </row>
    <row r="549" customFormat="false" ht="15" hidden="false" customHeight="true" outlineLevel="0" collapsed="false">
      <c r="A549" s="7" t="s">
        <v>1210</v>
      </c>
      <c r="B549" s="26" t="n">
        <v>45860</v>
      </c>
      <c r="C549" s="26" t="n">
        <v>45867</v>
      </c>
      <c r="D549" s="7" t="s">
        <v>333</v>
      </c>
      <c r="E549" s="7" t="s">
        <v>334</v>
      </c>
      <c r="F549" s="7" t="s">
        <v>159</v>
      </c>
      <c r="G549" s="7" t="s">
        <v>160</v>
      </c>
      <c r="H549" s="7" t="s">
        <v>263</v>
      </c>
      <c r="I549" s="7" t="s">
        <v>162</v>
      </c>
      <c r="J549" s="7" t="s">
        <v>185</v>
      </c>
      <c r="K549" s="7" t="s">
        <v>186</v>
      </c>
      <c r="L549" s="7" t="s">
        <v>187</v>
      </c>
      <c r="M549" s="7" t="n">
        <v>3</v>
      </c>
      <c r="N549" s="27" t="n">
        <v>3299</v>
      </c>
      <c r="O549" s="28" t="n">
        <v>0</v>
      </c>
      <c r="P549" s="27" t="n">
        <v>9897</v>
      </c>
      <c r="Q549" s="27" t="n">
        <v>5700</v>
      </c>
      <c r="R549" s="27" t="n">
        <v>4197</v>
      </c>
      <c r="S549" s="7" t="s">
        <v>60</v>
      </c>
      <c r="T549" s="7" t="str">
        <f aca="false">IF(O549=0,"No discount",IF(O549&lt;=0.2,"Up to 20%","Above 20%"))</f>
        <v>No discount</v>
      </c>
    </row>
    <row r="550" customFormat="false" ht="15" hidden="false" customHeight="true" outlineLevel="0" collapsed="false">
      <c r="A550" s="7" t="s">
        <v>1211</v>
      </c>
      <c r="B550" s="26" t="n">
        <v>45860</v>
      </c>
      <c r="C550" s="26" t="n">
        <v>45866</v>
      </c>
      <c r="D550" s="7" t="s">
        <v>1212</v>
      </c>
      <c r="E550" s="7" t="s">
        <v>1213</v>
      </c>
      <c r="F550" s="7" t="s">
        <v>159</v>
      </c>
      <c r="G550" s="7" t="s">
        <v>160</v>
      </c>
      <c r="H550" s="7" t="s">
        <v>263</v>
      </c>
      <c r="I550" s="7" t="s">
        <v>199</v>
      </c>
      <c r="J550" s="7" t="s">
        <v>292</v>
      </c>
      <c r="K550" s="7" t="s">
        <v>293</v>
      </c>
      <c r="L550" s="7" t="s">
        <v>294</v>
      </c>
      <c r="M550" s="7" t="n">
        <v>1</v>
      </c>
      <c r="N550" s="27" t="n">
        <v>1599</v>
      </c>
      <c r="O550" s="28" t="n">
        <v>0.1</v>
      </c>
      <c r="P550" s="27" t="n">
        <v>1439</v>
      </c>
      <c r="Q550" s="27" t="n">
        <v>750</v>
      </c>
      <c r="R550" s="27" t="n">
        <v>689</v>
      </c>
      <c r="S550" s="7" t="s">
        <v>60</v>
      </c>
      <c r="T550" s="7" t="str">
        <f aca="false">IF(O550=0,"No discount",IF(O550&lt;=0.2,"Up to 20%","Above 20%"))</f>
        <v>Up to 20%</v>
      </c>
    </row>
    <row r="551" customFormat="false" ht="15" hidden="false" customHeight="true" outlineLevel="0" collapsed="false">
      <c r="A551" s="7" t="s">
        <v>1214</v>
      </c>
      <c r="B551" s="26" t="n">
        <v>45860</v>
      </c>
      <c r="C551" s="26" t="n">
        <v>45864</v>
      </c>
      <c r="D551" s="7" t="s">
        <v>330</v>
      </c>
      <c r="E551" s="7" t="s">
        <v>331</v>
      </c>
      <c r="F551" s="7" t="s">
        <v>219</v>
      </c>
      <c r="G551" s="7" t="s">
        <v>206</v>
      </c>
      <c r="H551" s="7" t="s">
        <v>207</v>
      </c>
      <c r="I551" s="7" t="s">
        <v>171</v>
      </c>
      <c r="J551" s="7" t="s">
        <v>314</v>
      </c>
      <c r="K551" s="7" t="s">
        <v>315</v>
      </c>
      <c r="L551" s="7" t="s">
        <v>316</v>
      </c>
      <c r="M551" s="7" t="n">
        <v>2</v>
      </c>
      <c r="N551" s="27" t="n">
        <v>1299</v>
      </c>
      <c r="O551" s="28" t="n">
        <v>0</v>
      </c>
      <c r="P551" s="27" t="n">
        <v>2598</v>
      </c>
      <c r="Q551" s="27" t="n">
        <v>1400</v>
      </c>
      <c r="R551" s="27" t="n">
        <v>1198</v>
      </c>
      <c r="S551" s="7" t="s">
        <v>60</v>
      </c>
      <c r="T551" s="7" t="str">
        <f aca="false">IF(O551=0,"No discount",IF(O551&lt;=0.2,"Up to 20%","Above 20%"))</f>
        <v>No discount</v>
      </c>
    </row>
    <row r="552" customFormat="false" ht="15" hidden="false" customHeight="true" outlineLevel="0" collapsed="false">
      <c r="A552" s="7" t="s">
        <v>1215</v>
      </c>
      <c r="B552" s="26" t="n">
        <v>45860</v>
      </c>
      <c r="C552" s="26" t="n">
        <v>45866</v>
      </c>
      <c r="D552" s="7" t="s">
        <v>1216</v>
      </c>
      <c r="E552" s="7" t="s">
        <v>1217</v>
      </c>
      <c r="F552" s="7" t="s">
        <v>159</v>
      </c>
      <c r="G552" s="7" t="s">
        <v>160</v>
      </c>
      <c r="H552" s="7" t="s">
        <v>161</v>
      </c>
      <c r="I552" s="7" t="s">
        <v>171</v>
      </c>
      <c r="J552" s="7" t="s">
        <v>314</v>
      </c>
      <c r="K552" s="7" t="s">
        <v>315</v>
      </c>
      <c r="L552" s="7" t="s">
        <v>316</v>
      </c>
      <c r="M552" s="7" t="n">
        <v>2</v>
      </c>
      <c r="N552" s="27" t="n">
        <v>1299</v>
      </c>
      <c r="O552" s="28" t="n">
        <v>0.2</v>
      </c>
      <c r="P552" s="27" t="n">
        <v>2078</v>
      </c>
      <c r="Q552" s="27" t="n">
        <v>1400</v>
      </c>
      <c r="R552" s="27" t="n">
        <v>678</v>
      </c>
      <c r="S552" s="7" t="s">
        <v>60</v>
      </c>
      <c r="T552" s="7" t="str">
        <f aca="false">IF(O552=0,"No discount",IF(O552&lt;=0.2,"Up to 20%","Above 20%"))</f>
        <v>Up to 20%</v>
      </c>
    </row>
    <row r="553" customFormat="false" ht="15" hidden="false" customHeight="true" outlineLevel="0" collapsed="false">
      <c r="A553" s="7" t="s">
        <v>1218</v>
      </c>
      <c r="B553" s="26" t="n">
        <v>45861</v>
      </c>
      <c r="C553" s="26" t="n">
        <v>45867</v>
      </c>
      <c r="D553" s="7" t="s">
        <v>524</v>
      </c>
      <c r="E553" s="7" t="s">
        <v>525</v>
      </c>
      <c r="F553" s="7" t="s">
        <v>159</v>
      </c>
      <c r="G553" s="7" t="s">
        <v>323</v>
      </c>
      <c r="H553" s="7" t="s">
        <v>324</v>
      </c>
      <c r="I553" s="7" t="s">
        <v>282</v>
      </c>
      <c r="J553" s="7" t="s">
        <v>387</v>
      </c>
      <c r="K553" s="7" t="s">
        <v>691</v>
      </c>
      <c r="L553" s="7" t="s">
        <v>692</v>
      </c>
      <c r="M553" s="7" t="n">
        <v>3</v>
      </c>
      <c r="N553" s="27" t="n">
        <v>499</v>
      </c>
      <c r="O553" s="28" t="n">
        <v>0</v>
      </c>
      <c r="P553" s="27" t="n">
        <v>1497</v>
      </c>
      <c r="Q553" s="27" t="n">
        <v>780</v>
      </c>
      <c r="R553" s="27" t="n">
        <v>717</v>
      </c>
      <c r="S553" s="7" t="s">
        <v>60</v>
      </c>
      <c r="T553" s="7" t="str">
        <f aca="false">IF(O553=0,"No discount",IF(O553&lt;=0.2,"Up to 20%","Above 20%"))</f>
        <v>No discount</v>
      </c>
    </row>
    <row r="554" customFormat="false" ht="15" hidden="false" customHeight="true" outlineLevel="0" collapsed="false">
      <c r="A554" s="7" t="s">
        <v>1219</v>
      </c>
      <c r="B554" s="26" t="n">
        <v>45861</v>
      </c>
      <c r="C554" s="26" t="n">
        <v>45865</v>
      </c>
      <c r="D554" s="7" t="s">
        <v>571</v>
      </c>
      <c r="E554" s="7" t="s">
        <v>572</v>
      </c>
      <c r="F554" s="7" t="s">
        <v>159</v>
      </c>
      <c r="G554" s="7" t="s">
        <v>160</v>
      </c>
      <c r="H554" s="7" t="s">
        <v>269</v>
      </c>
      <c r="I554" s="7" t="s">
        <v>282</v>
      </c>
      <c r="J554" s="7" t="s">
        <v>387</v>
      </c>
      <c r="K554" s="7" t="s">
        <v>388</v>
      </c>
      <c r="L554" s="7" t="s">
        <v>389</v>
      </c>
      <c r="M554" s="7" t="n">
        <v>10</v>
      </c>
      <c r="N554" s="27" t="n">
        <v>1299</v>
      </c>
      <c r="O554" s="28" t="n">
        <v>0</v>
      </c>
      <c r="P554" s="27" t="n">
        <v>12990</v>
      </c>
      <c r="Q554" s="27" t="n">
        <v>7800</v>
      </c>
      <c r="R554" s="27" t="n">
        <v>5190</v>
      </c>
      <c r="S554" s="7" t="s">
        <v>60</v>
      </c>
      <c r="T554" s="7" t="str">
        <f aca="false">IF(O554=0,"No discount",IF(O554&lt;=0.2,"Up to 20%","Above 20%"))</f>
        <v>No discount</v>
      </c>
    </row>
    <row r="555" customFormat="false" ht="15" hidden="false" customHeight="true" outlineLevel="0" collapsed="false">
      <c r="A555" s="7" t="s">
        <v>1220</v>
      </c>
      <c r="B555" s="26" t="n">
        <v>45861</v>
      </c>
      <c r="C555" s="26" t="n">
        <v>45865</v>
      </c>
      <c r="D555" s="7" t="s">
        <v>675</v>
      </c>
      <c r="E555" s="7" t="s">
        <v>676</v>
      </c>
      <c r="F555" s="7" t="s">
        <v>159</v>
      </c>
      <c r="G555" s="7" t="s">
        <v>169</v>
      </c>
      <c r="H555" s="7" t="s">
        <v>170</v>
      </c>
      <c r="I555" s="7" t="s">
        <v>199</v>
      </c>
      <c r="J555" s="7" t="s">
        <v>398</v>
      </c>
      <c r="K555" s="7" t="s">
        <v>399</v>
      </c>
      <c r="L555" s="7" t="s">
        <v>400</v>
      </c>
      <c r="M555" s="7" t="n">
        <v>1</v>
      </c>
      <c r="N555" s="27" t="n">
        <v>749</v>
      </c>
      <c r="O555" s="28" t="n">
        <v>0</v>
      </c>
      <c r="P555" s="27" t="n">
        <v>749</v>
      </c>
      <c r="Q555" s="27" t="n">
        <v>350</v>
      </c>
      <c r="R555" s="27" t="n">
        <v>399</v>
      </c>
      <c r="S555" s="7" t="s">
        <v>60</v>
      </c>
      <c r="T555" s="7" t="str">
        <f aca="false">IF(O555=0,"No discount",IF(O555&lt;=0.2,"Up to 20%","Above 20%"))</f>
        <v>No discount</v>
      </c>
    </row>
    <row r="556" customFormat="false" ht="15" hidden="false" customHeight="true" outlineLevel="0" collapsed="false">
      <c r="A556" s="7" t="s">
        <v>1221</v>
      </c>
      <c r="B556" s="26" t="n">
        <v>45861</v>
      </c>
      <c r="C556" s="26" t="n">
        <v>45862</v>
      </c>
      <c r="D556" s="7" t="s">
        <v>462</v>
      </c>
      <c r="E556" s="7" t="s">
        <v>463</v>
      </c>
      <c r="F556" s="7" t="s">
        <v>159</v>
      </c>
      <c r="G556" s="7" t="s">
        <v>169</v>
      </c>
      <c r="H556" s="7" t="s">
        <v>191</v>
      </c>
      <c r="I556" s="7" t="s">
        <v>282</v>
      </c>
      <c r="J556" s="7" t="s">
        <v>427</v>
      </c>
      <c r="K556" s="7" t="s">
        <v>428</v>
      </c>
      <c r="L556" s="7" t="s">
        <v>429</v>
      </c>
      <c r="M556" s="7" t="n">
        <v>6</v>
      </c>
      <c r="N556" s="27" t="n">
        <v>149</v>
      </c>
      <c r="O556" s="28" t="n">
        <v>0.05</v>
      </c>
      <c r="P556" s="27" t="n">
        <v>849</v>
      </c>
      <c r="Q556" s="27" t="n">
        <v>420</v>
      </c>
      <c r="R556" s="27" t="n">
        <v>429</v>
      </c>
      <c r="S556" s="7" t="s">
        <v>60</v>
      </c>
      <c r="T556" s="7" t="str">
        <f aca="false">IF(O556=0,"No discount",IF(O556&lt;=0.2,"Up to 20%","Above 20%"))</f>
        <v>Up to 20%</v>
      </c>
    </row>
    <row r="557" customFormat="false" ht="15" hidden="false" customHeight="true" outlineLevel="0" collapsed="false">
      <c r="A557" s="7" t="s">
        <v>1222</v>
      </c>
      <c r="B557" s="26" t="n">
        <v>45862</v>
      </c>
      <c r="C557" s="26" t="n">
        <v>45869</v>
      </c>
      <c r="D557" s="7" t="s">
        <v>806</v>
      </c>
      <c r="E557" s="7" t="s">
        <v>807</v>
      </c>
      <c r="F557" s="7" t="s">
        <v>159</v>
      </c>
      <c r="G557" s="7" t="s">
        <v>160</v>
      </c>
      <c r="H557" s="7" t="s">
        <v>161</v>
      </c>
      <c r="I557" s="7" t="s">
        <v>192</v>
      </c>
      <c r="J557" s="7" t="s">
        <v>502</v>
      </c>
      <c r="K557" s="7" t="s">
        <v>526</v>
      </c>
      <c r="L557" s="7" t="s">
        <v>527</v>
      </c>
      <c r="M557" s="7" t="n">
        <v>5</v>
      </c>
      <c r="N557" s="27" t="n">
        <v>6499</v>
      </c>
      <c r="O557" s="28" t="n">
        <v>0.2</v>
      </c>
      <c r="P557" s="27" t="n">
        <v>25996</v>
      </c>
      <c r="Q557" s="27" t="n">
        <v>25000</v>
      </c>
      <c r="R557" s="27" t="n">
        <v>996</v>
      </c>
      <c r="S557" s="7" t="s">
        <v>60</v>
      </c>
      <c r="T557" s="7" t="str">
        <f aca="false">IF(O557=0,"No discount",IF(O557&lt;=0.2,"Up to 20%","Above 20%"))</f>
        <v>Up to 20%</v>
      </c>
    </row>
    <row r="558" customFormat="false" ht="15" hidden="false" customHeight="true" outlineLevel="0" collapsed="false">
      <c r="A558" s="7" t="s">
        <v>1223</v>
      </c>
      <c r="B558" s="26" t="n">
        <v>45863</v>
      </c>
      <c r="C558" s="26" t="n">
        <v>45867</v>
      </c>
      <c r="D558" s="7" t="s">
        <v>444</v>
      </c>
      <c r="E558" s="7" t="s">
        <v>445</v>
      </c>
      <c r="F558" s="7" t="s">
        <v>159</v>
      </c>
      <c r="G558" s="7" t="s">
        <v>206</v>
      </c>
      <c r="H558" s="7" t="s">
        <v>207</v>
      </c>
      <c r="I558" s="7" t="s">
        <v>208</v>
      </c>
      <c r="J558" s="7" t="s">
        <v>421</v>
      </c>
      <c r="K558" s="7" t="s">
        <v>422</v>
      </c>
      <c r="L558" s="7" t="s">
        <v>423</v>
      </c>
      <c r="M558" s="7" t="n">
        <v>1</v>
      </c>
      <c r="N558" s="27" t="n">
        <v>5999</v>
      </c>
      <c r="O558" s="28" t="n">
        <v>0.2</v>
      </c>
      <c r="P558" s="27" t="n">
        <v>4799</v>
      </c>
      <c r="Q558" s="27" t="n">
        <v>4300</v>
      </c>
      <c r="R558" s="27" t="n">
        <v>499</v>
      </c>
      <c r="S558" s="7" t="s">
        <v>60</v>
      </c>
      <c r="T558" s="7" t="str">
        <f aca="false">IF(O558=0,"No discount",IF(O558&lt;=0.2,"Up to 20%","Above 20%"))</f>
        <v>Up to 20%</v>
      </c>
    </row>
    <row r="559" customFormat="false" ht="15" hidden="false" customHeight="true" outlineLevel="0" collapsed="false">
      <c r="A559" s="7" t="s">
        <v>1224</v>
      </c>
      <c r="B559" s="26" t="n">
        <v>45863</v>
      </c>
      <c r="C559" s="26" t="n">
        <v>45865</v>
      </c>
      <c r="D559" s="7" t="s">
        <v>535</v>
      </c>
      <c r="E559" s="7" t="s">
        <v>536</v>
      </c>
      <c r="F559" s="7" t="s">
        <v>159</v>
      </c>
      <c r="G559" s="7" t="s">
        <v>206</v>
      </c>
      <c r="H559" s="7" t="s">
        <v>207</v>
      </c>
      <c r="I559" s="7" t="s">
        <v>192</v>
      </c>
      <c r="J559" s="7" t="s">
        <v>213</v>
      </c>
      <c r="K559" s="7" t="s">
        <v>264</v>
      </c>
      <c r="L559" s="7" t="s">
        <v>265</v>
      </c>
      <c r="M559" s="7" t="n">
        <v>2</v>
      </c>
      <c r="N559" s="27" t="n">
        <v>2499</v>
      </c>
      <c r="O559" s="28" t="n">
        <v>0.3</v>
      </c>
      <c r="P559" s="27" t="n">
        <v>3499</v>
      </c>
      <c r="Q559" s="27" t="n">
        <v>3400</v>
      </c>
      <c r="R559" s="27" t="n">
        <v>99</v>
      </c>
      <c r="S559" s="7" t="s">
        <v>60</v>
      </c>
      <c r="T559" s="7" t="str">
        <f aca="false">IF(O559=0,"No discount",IF(O559&lt;=0.2,"Up to 20%","Above 20%"))</f>
        <v>Above 20%</v>
      </c>
    </row>
    <row r="560" customFormat="false" ht="15" hidden="false" customHeight="true" outlineLevel="0" collapsed="false">
      <c r="A560" s="7" t="s">
        <v>1225</v>
      </c>
      <c r="B560" s="26" t="n">
        <v>45864</v>
      </c>
      <c r="C560" s="26" t="n">
        <v>45871</v>
      </c>
      <c r="D560" s="7" t="s">
        <v>635</v>
      </c>
      <c r="E560" s="7" t="s">
        <v>636</v>
      </c>
      <c r="F560" s="7" t="s">
        <v>159</v>
      </c>
      <c r="G560" s="7" t="s">
        <v>323</v>
      </c>
      <c r="H560" s="7" t="s">
        <v>324</v>
      </c>
      <c r="I560" s="7" t="s">
        <v>162</v>
      </c>
      <c r="J560" s="7" t="s">
        <v>185</v>
      </c>
      <c r="K560" s="7" t="s">
        <v>186</v>
      </c>
      <c r="L560" s="7" t="s">
        <v>187</v>
      </c>
      <c r="M560" s="7" t="n">
        <v>4</v>
      </c>
      <c r="N560" s="27" t="n">
        <v>3299</v>
      </c>
      <c r="O560" s="28" t="n">
        <v>0</v>
      </c>
      <c r="P560" s="27" t="n">
        <v>13196</v>
      </c>
      <c r="Q560" s="27" t="n">
        <v>7600</v>
      </c>
      <c r="R560" s="27" t="n">
        <v>5596</v>
      </c>
      <c r="S560" s="7" t="s">
        <v>60</v>
      </c>
      <c r="T560" s="7" t="str">
        <f aca="false">IF(O560=0,"No discount",IF(O560&lt;=0.2,"Up to 20%","Above 20%"))</f>
        <v>No discount</v>
      </c>
    </row>
    <row r="561" customFormat="false" ht="15" hidden="false" customHeight="true" outlineLevel="0" collapsed="false">
      <c r="A561" s="7" t="s">
        <v>1226</v>
      </c>
      <c r="B561" s="26" t="n">
        <v>45864</v>
      </c>
      <c r="C561" s="26" t="n">
        <v>45868</v>
      </c>
      <c r="D561" s="7" t="s">
        <v>197</v>
      </c>
      <c r="E561" s="7" t="s">
        <v>198</v>
      </c>
      <c r="F561" s="7" t="s">
        <v>178</v>
      </c>
      <c r="G561" s="7" t="s">
        <v>169</v>
      </c>
      <c r="H561" s="7" t="s">
        <v>191</v>
      </c>
      <c r="I561" s="7" t="s">
        <v>162</v>
      </c>
      <c r="J561" s="7" t="s">
        <v>325</v>
      </c>
      <c r="K561" s="7" t="s">
        <v>381</v>
      </c>
      <c r="L561" s="7" t="s">
        <v>382</v>
      </c>
      <c r="M561" s="7" t="n">
        <v>1</v>
      </c>
      <c r="N561" s="27" t="n">
        <v>1799</v>
      </c>
      <c r="O561" s="28" t="n">
        <v>0</v>
      </c>
      <c r="P561" s="27" t="n">
        <v>1799</v>
      </c>
      <c r="Q561" s="27" t="n">
        <v>950</v>
      </c>
      <c r="R561" s="27" t="n">
        <v>849</v>
      </c>
      <c r="S561" s="7" t="s">
        <v>60</v>
      </c>
      <c r="T561" s="7" t="str">
        <f aca="false">IF(O561=0,"No discount",IF(O561&lt;=0.2,"Up to 20%","Above 20%"))</f>
        <v>No discount</v>
      </c>
    </row>
    <row r="562" customFormat="false" ht="15" hidden="false" customHeight="true" outlineLevel="0" collapsed="false">
      <c r="A562" s="7" t="s">
        <v>1227</v>
      </c>
      <c r="B562" s="26" t="n">
        <v>45864</v>
      </c>
      <c r="C562" s="26" t="n">
        <v>45865</v>
      </c>
      <c r="D562" s="7" t="s">
        <v>571</v>
      </c>
      <c r="E562" s="7" t="s">
        <v>572</v>
      </c>
      <c r="F562" s="7" t="s">
        <v>159</v>
      </c>
      <c r="G562" s="7" t="s">
        <v>160</v>
      </c>
      <c r="H562" s="7" t="s">
        <v>269</v>
      </c>
      <c r="I562" s="7" t="s">
        <v>208</v>
      </c>
      <c r="J562" s="7" t="s">
        <v>209</v>
      </c>
      <c r="K562" s="7" t="s">
        <v>637</v>
      </c>
      <c r="L562" s="7" t="s">
        <v>638</v>
      </c>
      <c r="M562" s="7" t="n">
        <v>2</v>
      </c>
      <c r="N562" s="27" t="n">
        <v>899</v>
      </c>
      <c r="O562" s="28" t="n">
        <v>0</v>
      </c>
      <c r="P562" s="27" t="n">
        <v>1798</v>
      </c>
      <c r="Q562" s="27" t="n">
        <v>960</v>
      </c>
      <c r="R562" s="27" t="n">
        <v>838</v>
      </c>
      <c r="S562" s="7" t="s">
        <v>60</v>
      </c>
      <c r="T562" s="7" t="str">
        <f aca="false">IF(O562=0,"No discount",IF(O562&lt;=0.2,"Up to 20%","Above 20%"))</f>
        <v>No discount</v>
      </c>
    </row>
    <row r="563" customFormat="false" ht="15" hidden="false" customHeight="true" outlineLevel="0" collapsed="false">
      <c r="A563" s="7" t="s">
        <v>1228</v>
      </c>
      <c r="B563" s="26" t="n">
        <v>45864</v>
      </c>
      <c r="C563" s="26" t="n">
        <v>45865</v>
      </c>
      <c r="D563" s="7" t="s">
        <v>447</v>
      </c>
      <c r="E563" s="7" t="s">
        <v>448</v>
      </c>
      <c r="F563" s="7" t="s">
        <v>159</v>
      </c>
      <c r="G563" s="7" t="s">
        <v>206</v>
      </c>
      <c r="H563" s="7" t="s">
        <v>207</v>
      </c>
      <c r="I563" s="7" t="s">
        <v>199</v>
      </c>
      <c r="J563" s="7" t="s">
        <v>398</v>
      </c>
      <c r="K563" s="7" t="s">
        <v>399</v>
      </c>
      <c r="L563" s="7" t="s">
        <v>400</v>
      </c>
      <c r="M563" s="7" t="n">
        <v>2</v>
      </c>
      <c r="N563" s="27" t="n">
        <v>749</v>
      </c>
      <c r="O563" s="28" t="n">
        <v>0</v>
      </c>
      <c r="P563" s="27" t="n">
        <v>1498</v>
      </c>
      <c r="Q563" s="27" t="n">
        <v>700</v>
      </c>
      <c r="R563" s="27" t="n">
        <v>798</v>
      </c>
      <c r="S563" s="7" t="s">
        <v>60</v>
      </c>
      <c r="T563" s="7" t="str">
        <f aca="false">IF(O563=0,"No discount",IF(O563&lt;=0.2,"Up to 20%","Above 20%"))</f>
        <v>No discount</v>
      </c>
    </row>
    <row r="564" customFormat="false" ht="15" hidden="false" customHeight="true" outlineLevel="0" collapsed="false">
      <c r="A564" s="7" t="s">
        <v>1229</v>
      </c>
      <c r="B564" s="26" t="n">
        <v>45865</v>
      </c>
      <c r="C564" s="26" t="n">
        <v>45868</v>
      </c>
      <c r="D564" s="7" t="s">
        <v>697</v>
      </c>
      <c r="E564" s="7" t="s">
        <v>698</v>
      </c>
      <c r="F564" s="7" t="s">
        <v>219</v>
      </c>
      <c r="G564" s="7" t="s">
        <v>160</v>
      </c>
      <c r="H564" s="7" t="s">
        <v>269</v>
      </c>
      <c r="I564" s="7" t="s">
        <v>192</v>
      </c>
      <c r="J564" s="7" t="s">
        <v>213</v>
      </c>
      <c r="K564" s="7" t="s">
        <v>214</v>
      </c>
      <c r="L564" s="7" t="s">
        <v>215</v>
      </c>
      <c r="M564" s="7" t="n">
        <v>4</v>
      </c>
      <c r="N564" s="27" t="n">
        <v>5999</v>
      </c>
      <c r="O564" s="28" t="n">
        <v>0.3</v>
      </c>
      <c r="P564" s="27" t="n">
        <v>16797</v>
      </c>
      <c r="Q564" s="27" t="n">
        <v>18400</v>
      </c>
      <c r="R564" s="27" t="n">
        <v>-1603</v>
      </c>
      <c r="S564" s="7" t="s">
        <v>60</v>
      </c>
      <c r="T564" s="7" t="str">
        <f aca="false">IF(O564=0,"No discount",IF(O564&lt;=0.2,"Up to 20%","Above 20%"))</f>
        <v>Above 20%</v>
      </c>
    </row>
    <row r="565" customFormat="false" ht="15" hidden="false" customHeight="true" outlineLevel="0" collapsed="false">
      <c r="A565" s="7" t="s">
        <v>1230</v>
      </c>
      <c r="B565" s="26" t="n">
        <v>45865</v>
      </c>
      <c r="C565" s="26" t="n">
        <v>45870</v>
      </c>
      <c r="D565" s="7" t="s">
        <v>675</v>
      </c>
      <c r="E565" s="7" t="s">
        <v>676</v>
      </c>
      <c r="F565" s="7" t="s">
        <v>159</v>
      </c>
      <c r="G565" s="7" t="s">
        <v>169</v>
      </c>
      <c r="H565" s="7" t="s">
        <v>170</v>
      </c>
      <c r="I565" s="7" t="s">
        <v>282</v>
      </c>
      <c r="J565" s="7" t="s">
        <v>283</v>
      </c>
      <c r="K565" s="7" t="s">
        <v>284</v>
      </c>
      <c r="L565" s="7" t="s">
        <v>285</v>
      </c>
      <c r="M565" s="7" t="n">
        <v>4</v>
      </c>
      <c r="N565" s="27" t="n">
        <v>199</v>
      </c>
      <c r="O565" s="28" t="n">
        <v>0.05</v>
      </c>
      <c r="P565" s="27" t="n">
        <v>756</v>
      </c>
      <c r="Q565" s="27" t="n">
        <v>360</v>
      </c>
      <c r="R565" s="27" t="n">
        <v>396</v>
      </c>
      <c r="S565" s="7" t="s">
        <v>60</v>
      </c>
      <c r="T565" s="7" t="str">
        <f aca="false">IF(O565=0,"No discount",IF(O565&lt;=0.2,"Up to 20%","Above 20%"))</f>
        <v>Up to 20%</v>
      </c>
    </row>
    <row r="566" customFormat="false" ht="15" hidden="false" customHeight="true" outlineLevel="0" collapsed="false">
      <c r="A566" s="7" t="s">
        <v>1231</v>
      </c>
      <c r="B566" s="26" t="n">
        <v>45865</v>
      </c>
      <c r="C566" s="26" t="n">
        <v>45872</v>
      </c>
      <c r="D566" s="7" t="s">
        <v>601</v>
      </c>
      <c r="E566" s="7" t="s">
        <v>602</v>
      </c>
      <c r="F566" s="7" t="s">
        <v>159</v>
      </c>
      <c r="G566" s="7" t="s">
        <v>160</v>
      </c>
      <c r="H566" s="7" t="s">
        <v>263</v>
      </c>
      <c r="I566" s="7" t="s">
        <v>282</v>
      </c>
      <c r="J566" s="7" t="s">
        <v>387</v>
      </c>
      <c r="K566" s="7" t="s">
        <v>388</v>
      </c>
      <c r="L566" s="7" t="s">
        <v>389</v>
      </c>
      <c r="M566" s="7" t="n">
        <v>5</v>
      </c>
      <c r="N566" s="27" t="n">
        <v>1299</v>
      </c>
      <c r="O566" s="28" t="n">
        <v>0.05</v>
      </c>
      <c r="P566" s="27" t="n">
        <v>6170</v>
      </c>
      <c r="Q566" s="27" t="n">
        <v>3900</v>
      </c>
      <c r="R566" s="27" t="n">
        <v>2270</v>
      </c>
      <c r="S566" s="7" t="s">
        <v>60</v>
      </c>
      <c r="T566" s="7" t="str">
        <f aca="false">IF(O566=0,"No discount",IF(O566&lt;=0.2,"Up to 20%","Above 20%"))</f>
        <v>Up to 20%</v>
      </c>
    </row>
    <row r="567" customFormat="false" ht="15" hidden="false" customHeight="true" outlineLevel="0" collapsed="false">
      <c r="A567" s="7" t="s">
        <v>1232</v>
      </c>
      <c r="B567" s="26" t="n">
        <v>45865</v>
      </c>
      <c r="C567" s="26" t="n">
        <v>45871</v>
      </c>
      <c r="D567" s="7" t="s">
        <v>645</v>
      </c>
      <c r="E567" s="7" t="s">
        <v>646</v>
      </c>
      <c r="F567" s="7" t="s">
        <v>178</v>
      </c>
      <c r="G567" s="7" t="s">
        <v>160</v>
      </c>
      <c r="H567" s="7" t="s">
        <v>161</v>
      </c>
      <c r="I567" s="7" t="s">
        <v>171</v>
      </c>
      <c r="J567" s="7" t="s">
        <v>172</v>
      </c>
      <c r="K567" s="7" t="s">
        <v>173</v>
      </c>
      <c r="L567" s="7" t="s">
        <v>174</v>
      </c>
      <c r="M567" s="7" t="n">
        <v>1</v>
      </c>
      <c r="N567" s="27" t="n">
        <v>699</v>
      </c>
      <c r="O567" s="28" t="n">
        <v>0.2</v>
      </c>
      <c r="P567" s="27" t="n">
        <v>559</v>
      </c>
      <c r="Q567" s="27" t="n">
        <v>320</v>
      </c>
      <c r="R567" s="27" t="n">
        <v>239</v>
      </c>
      <c r="S567" s="7" t="s">
        <v>60</v>
      </c>
      <c r="T567" s="7" t="str">
        <f aca="false">IF(O567=0,"No discount",IF(O567&lt;=0.2,"Up to 20%","Above 20%"))</f>
        <v>Up to 20%</v>
      </c>
    </row>
    <row r="568" customFormat="false" ht="15" hidden="false" customHeight="true" outlineLevel="0" collapsed="false">
      <c r="A568" s="7" t="s">
        <v>1233</v>
      </c>
      <c r="B568" s="26" t="n">
        <v>45866</v>
      </c>
      <c r="C568" s="26" t="n">
        <v>45868</v>
      </c>
      <c r="D568" s="7" t="s">
        <v>277</v>
      </c>
      <c r="E568" s="7" t="s">
        <v>278</v>
      </c>
      <c r="F568" s="7" t="s">
        <v>159</v>
      </c>
      <c r="G568" s="7" t="s">
        <v>206</v>
      </c>
      <c r="H568" s="7" t="s">
        <v>207</v>
      </c>
      <c r="I568" s="7" t="s">
        <v>208</v>
      </c>
      <c r="J568" s="7" t="s">
        <v>209</v>
      </c>
      <c r="K568" s="7" t="s">
        <v>238</v>
      </c>
      <c r="L568" s="7" t="s">
        <v>239</v>
      </c>
      <c r="M568" s="7" t="n">
        <v>4</v>
      </c>
      <c r="N568" s="27" t="n">
        <v>2199</v>
      </c>
      <c r="O568" s="28" t="n">
        <v>0</v>
      </c>
      <c r="P568" s="27" t="n">
        <v>8796</v>
      </c>
      <c r="Q568" s="27" t="n">
        <v>5600</v>
      </c>
      <c r="R568" s="27" t="n">
        <v>3196</v>
      </c>
      <c r="S568" s="7" t="s">
        <v>60</v>
      </c>
      <c r="T568" s="7" t="str">
        <f aca="false">IF(O568=0,"No discount",IF(O568&lt;=0.2,"Up to 20%","Above 20%"))</f>
        <v>No discount</v>
      </c>
    </row>
    <row r="569" customFormat="false" ht="15" hidden="false" customHeight="true" outlineLevel="0" collapsed="false">
      <c r="A569" s="7" t="s">
        <v>1234</v>
      </c>
      <c r="B569" s="26" t="n">
        <v>45866</v>
      </c>
      <c r="C569" s="26" t="n">
        <v>45868</v>
      </c>
      <c r="D569" s="7" t="s">
        <v>929</v>
      </c>
      <c r="E569" s="7" t="s">
        <v>930</v>
      </c>
      <c r="F569" s="7" t="s">
        <v>159</v>
      </c>
      <c r="G569" s="7" t="s">
        <v>160</v>
      </c>
      <c r="H569" s="7" t="s">
        <v>161</v>
      </c>
      <c r="I569" s="7" t="s">
        <v>199</v>
      </c>
      <c r="J569" s="7" t="s">
        <v>200</v>
      </c>
      <c r="K569" s="7" t="s">
        <v>201</v>
      </c>
      <c r="L569" s="7" t="s">
        <v>202</v>
      </c>
      <c r="M569" s="7" t="n">
        <v>4</v>
      </c>
      <c r="N569" s="27" t="n">
        <v>399</v>
      </c>
      <c r="O569" s="28" t="n">
        <v>0</v>
      </c>
      <c r="P569" s="27" t="n">
        <v>1596</v>
      </c>
      <c r="Q569" s="27" t="n">
        <v>640</v>
      </c>
      <c r="R569" s="27" t="n">
        <v>956</v>
      </c>
      <c r="S569" s="7" t="s">
        <v>60</v>
      </c>
      <c r="T569" s="7" t="str">
        <f aca="false">IF(O569=0,"No discount",IF(O569&lt;=0.2,"Up to 20%","Above 20%"))</f>
        <v>No discount</v>
      </c>
    </row>
    <row r="570" customFormat="false" ht="15" hidden="false" customHeight="true" outlineLevel="0" collapsed="false">
      <c r="A570" s="7" t="s">
        <v>1235</v>
      </c>
      <c r="B570" s="26" t="n">
        <v>45866</v>
      </c>
      <c r="C570" s="26" t="n">
        <v>45873</v>
      </c>
      <c r="D570" s="7" t="s">
        <v>360</v>
      </c>
      <c r="E570" s="7" t="s">
        <v>361</v>
      </c>
      <c r="F570" s="7" t="s">
        <v>159</v>
      </c>
      <c r="G570" s="7" t="s">
        <v>206</v>
      </c>
      <c r="H570" s="7" t="s">
        <v>207</v>
      </c>
      <c r="I570" s="7" t="s">
        <v>171</v>
      </c>
      <c r="J570" s="7" t="s">
        <v>304</v>
      </c>
      <c r="K570" s="7" t="s">
        <v>499</v>
      </c>
      <c r="L570" s="7" t="s">
        <v>500</v>
      </c>
      <c r="M570" s="7" t="n">
        <v>1</v>
      </c>
      <c r="N570" s="27" t="n">
        <v>5499</v>
      </c>
      <c r="O570" s="28" t="n">
        <v>0.3</v>
      </c>
      <c r="P570" s="27" t="n">
        <v>3849</v>
      </c>
      <c r="Q570" s="27" t="n">
        <v>3900</v>
      </c>
      <c r="R570" s="27" t="n">
        <v>-51</v>
      </c>
      <c r="S570" s="7" t="s">
        <v>60</v>
      </c>
      <c r="T570" s="7" t="str">
        <f aca="false">IF(O570=0,"No discount",IF(O570&lt;=0.2,"Up to 20%","Above 20%"))</f>
        <v>Above 20%</v>
      </c>
    </row>
    <row r="571" customFormat="false" ht="15" hidden="false" customHeight="true" outlineLevel="0" collapsed="false">
      <c r="A571" s="7" t="s">
        <v>1236</v>
      </c>
      <c r="B571" s="26" t="n">
        <v>45866</v>
      </c>
      <c r="C571" s="26" t="n">
        <v>45869</v>
      </c>
      <c r="D571" s="7" t="s">
        <v>679</v>
      </c>
      <c r="E571" s="7" t="s">
        <v>680</v>
      </c>
      <c r="F571" s="7" t="s">
        <v>159</v>
      </c>
      <c r="G571" s="7" t="s">
        <v>169</v>
      </c>
      <c r="H571" s="7" t="s">
        <v>170</v>
      </c>
      <c r="I571" s="7" t="s">
        <v>192</v>
      </c>
      <c r="J571" s="7" t="s">
        <v>502</v>
      </c>
      <c r="K571" s="7" t="s">
        <v>526</v>
      </c>
      <c r="L571" s="7" t="s">
        <v>527</v>
      </c>
      <c r="M571" s="7" t="n">
        <v>1</v>
      </c>
      <c r="N571" s="27" t="n">
        <v>6499</v>
      </c>
      <c r="O571" s="28" t="n">
        <v>0.2</v>
      </c>
      <c r="P571" s="27" t="n">
        <v>5199</v>
      </c>
      <c r="Q571" s="27" t="n">
        <v>5000</v>
      </c>
      <c r="R571" s="27" t="n">
        <v>199</v>
      </c>
      <c r="S571" s="7" t="s">
        <v>60</v>
      </c>
      <c r="T571" s="7" t="str">
        <f aca="false">IF(O571=0,"No discount",IF(O571&lt;=0.2,"Up to 20%","Above 20%"))</f>
        <v>Up to 20%</v>
      </c>
    </row>
    <row r="572" customFormat="false" ht="15" hidden="false" customHeight="true" outlineLevel="0" collapsed="false">
      <c r="A572" s="7" t="s">
        <v>1237</v>
      </c>
      <c r="B572" s="26" t="n">
        <v>45867</v>
      </c>
      <c r="C572" s="26" t="n">
        <v>45872</v>
      </c>
      <c r="D572" s="7" t="s">
        <v>351</v>
      </c>
      <c r="E572" s="7" t="s">
        <v>352</v>
      </c>
      <c r="F572" s="7" t="s">
        <v>178</v>
      </c>
      <c r="G572" s="7" t="s">
        <v>169</v>
      </c>
      <c r="H572" s="7" t="s">
        <v>179</v>
      </c>
      <c r="I572" s="7" t="s">
        <v>208</v>
      </c>
      <c r="J572" s="7" t="s">
        <v>232</v>
      </c>
      <c r="K572" s="7" t="s">
        <v>233</v>
      </c>
      <c r="L572" s="7" t="s">
        <v>234</v>
      </c>
      <c r="M572" s="7" t="n">
        <v>1</v>
      </c>
      <c r="N572" s="27" t="n">
        <v>7999</v>
      </c>
      <c r="O572" s="28" t="n">
        <v>0.05</v>
      </c>
      <c r="P572" s="27" t="n">
        <v>7599</v>
      </c>
      <c r="Q572" s="27" t="n">
        <v>5600</v>
      </c>
      <c r="R572" s="27" t="n">
        <v>1999</v>
      </c>
      <c r="S572" s="7" t="s">
        <v>60</v>
      </c>
      <c r="T572" s="7" t="str">
        <f aca="false">IF(O572=0,"No discount",IF(O572&lt;=0.2,"Up to 20%","Above 20%"))</f>
        <v>Up to 20%</v>
      </c>
    </row>
    <row r="573" customFormat="false" ht="15" hidden="false" customHeight="true" outlineLevel="0" collapsed="false">
      <c r="A573" s="7" t="s">
        <v>1238</v>
      </c>
      <c r="B573" s="26" t="n">
        <v>45868</v>
      </c>
      <c r="C573" s="26" t="n">
        <v>45875</v>
      </c>
      <c r="D573" s="7" t="s">
        <v>258</v>
      </c>
      <c r="E573" s="7" t="s">
        <v>259</v>
      </c>
      <c r="F573" s="7" t="s">
        <v>159</v>
      </c>
      <c r="G573" s="7" t="s">
        <v>206</v>
      </c>
      <c r="H573" s="7" t="s">
        <v>207</v>
      </c>
      <c r="I573" s="7" t="s">
        <v>199</v>
      </c>
      <c r="J573" s="7" t="s">
        <v>398</v>
      </c>
      <c r="K573" s="7" t="s">
        <v>399</v>
      </c>
      <c r="L573" s="7" t="s">
        <v>400</v>
      </c>
      <c r="M573" s="7" t="n">
        <v>1</v>
      </c>
      <c r="N573" s="27" t="n">
        <v>749</v>
      </c>
      <c r="O573" s="28" t="n">
        <v>0</v>
      </c>
      <c r="P573" s="27" t="n">
        <v>749</v>
      </c>
      <c r="Q573" s="27" t="n">
        <v>350</v>
      </c>
      <c r="R573" s="27" t="n">
        <v>399</v>
      </c>
      <c r="S573" s="7" t="s">
        <v>60</v>
      </c>
      <c r="T573" s="7" t="str">
        <f aca="false">IF(O573=0,"No discount",IF(O573&lt;=0.2,"Up to 20%","Above 20%"))</f>
        <v>No discount</v>
      </c>
    </row>
    <row r="574" customFormat="false" ht="15" hidden="false" customHeight="true" outlineLevel="0" collapsed="false">
      <c r="A574" s="7" t="s">
        <v>1239</v>
      </c>
      <c r="B574" s="26" t="n">
        <v>45869</v>
      </c>
      <c r="C574" s="26" t="n">
        <v>45871</v>
      </c>
      <c r="D574" s="7" t="s">
        <v>538</v>
      </c>
      <c r="E574" s="7" t="s">
        <v>539</v>
      </c>
      <c r="F574" s="7" t="s">
        <v>159</v>
      </c>
      <c r="G574" s="7" t="s">
        <v>169</v>
      </c>
      <c r="H574" s="7" t="s">
        <v>191</v>
      </c>
      <c r="I574" s="7" t="s">
        <v>162</v>
      </c>
      <c r="J574" s="7" t="s">
        <v>325</v>
      </c>
      <c r="K574" s="7" t="s">
        <v>326</v>
      </c>
      <c r="L574" s="7" t="s">
        <v>327</v>
      </c>
      <c r="M574" s="7" t="n">
        <v>1</v>
      </c>
      <c r="N574" s="27" t="n">
        <v>799</v>
      </c>
      <c r="O574" s="28" t="n">
        <v>0</v>
      </c>
      <c r="P574" s="27" t="n">
        <v>799</v>
      </c>
      <c r="Q574" s="27" t="n">
        <v>380</v>
      </c>
      <c r="R574" s="27" t="n">
        <v>419</v>
      </c>
      <c r="S574" s="7" t="s">
        <v>60</v>
      </c>
      <c r="T574" s="7" t="str">
        <f aca="false">IF(O574=0,"No discount",IF(O574&lt;=0.2,"Up to 20%","Above 20%"))</f>
        <v>No discount</v>
      </c>
    </row>
    <row r="575" customFormat="false" ht="15" hidden="false" customHeight="true" outlineLevel="0" collapsed="false">
      <c r="A575" s="7" t="s">
        <v>1240</v>
      </c>
      <c r="B575" s="26" t="n">
        <v>45869</v>
      </c>
      <c r="C575" s="26" t="n">
        <v>45876</v>
      </c>
      <c r="D575" s="7" t="s">
        <v>221</v>
      </c>
      <c r="E575" s="7" t="s">
        <v>222</v>
      </c>
      <c r="F575" s="7" t="s">
        <v>219</v>
      </c>
      <c r="G575" s="7" t="s">
        <v>160</v>
      </c>
      <c r="H575" s="7" t="s">
        <v>161</v>
      </c>
      <c r="I575" s="7" t="s">
        <v>208</v>
      </c>
      <c r="J575" s="7" t="s">
        <v>209</v>
      </c>
      <c r="K575" s="7" t="s">
        <v>641</v>
      </c>
      <c r="L575" s="7" t="s">
        <v>642</v>
      </c>
      <c r="M575" s="7" t="n">
        <v>1</v>
      </c>
      <c r="N575" s="27" t="n">
        <v>1499</v>
      </c>
      <c r="O575" s="28" t="n">
        <v>0.15</v>
      </c>
      <c r="P575" s="27" t="n">
        <v>1274</v>
      </c>
      <c r="Q575" s="27" t="n">
        <v>900</v>
      </c>
      <c r="R575" s="27" t="n">
        <v>374</v>
      </c>
      <c r="S575" s="7" t="s">
        <v>60</v>
      </c>
      <c r="T575" s="7" t="str">
        <f aca="false">IF(O575=0,"No discount",IF(O575&lt;=0.2,"Up to 20%","Above 20%"))</f>
        <v>Up to 20%</v>
      </c>
    </row>
    <row r="576" customFormat="false" ht="15" hidden="false" customHeight="true" outlineLevel="0" collapsed="false">
      <c r="A576" s="7" t="s">
        <v>1241</v>
      </c>
      <c r="B576" s="26" t="n">
        <v>45869</v>
      </c>
      <c r="C576" s="26" t="n">
        <v>45871</v>
      </c>
      <c r="D576" s="7" t="s">
        <v>1212</v>
      </c>
      <c r="E576" s="7" t="s">
        <v>1213</v>
      </c>
      <c r="F576" s="7" t="s">
        <v>159</v>
      </c>
      <c r="G576" s="7" t="s">
        <v>160</v>
      </c>
      <c r="H576" s="7" t="s">
        <v>263</v>
      </c>
      <c r="I576" s="7" t="s">
        <v>282</v>
      </c>
      <c r="J576" s="7" t="s">
        <v>387</v>
      </c>
      <c r="K576" s="7" t="s">
        <v>547</v>
      </c>
      <c r="L576" s="7" t="s">
        <v>548</v>
      </c>
      <c r="M576" s="7" t="n">
        <v>1</v>
      </c>
      <c r="N576" s="27" t="n">
        <v>249</v>
      </c>
      <c r="O576" s="28" t="n">
        <v>0.05</v>
      </c>
      <c r="P576" s="27" t="n">
        <v>237</v>
      </c>
      <c r="Q576" s="27" t="n">
        <v>120</v>
      </c>
      <c r="R576" s="27" t="n">
        <v>117</v>
      </c>
      <c r="S576" s="7" t="s">
        <v>60</v>
      </c>
      <c r="T576" s="7" t="str">
        <f aca="false">IF(O576=0,"No discount",IF(O576&lt;=0.2,"Up to 20%","Above 20%"))</f>
        <v>Up to 20%</v>
      </c>
    </row>
    <row r="577" customFormat="false" ht="15" hidden="false" customHeight="true" outlineLevel="0" collapsed="false">
      <c r="A577" s="7" t="s">
        <v>1242</v>
      </c>
      <c r="B577" s="26" t="n">
        <v>45869</v>
      </c>
      <c r="C577" s="26" t="n">
        <v>45873</v>
      </c>
      <c r="D577" s="7" t="s">
        <v>416</v>
      </c>
      <c r="E577" s="7" t="s">
        <v>417</v>
      </c>
      <c r="F577" s="7" t="s">
        <v>159</v>
      </c>
      <c r="G577" s="7" t="s">
        <v>160</v>
      </c>
      <c r="H577" s="7" t="s">
        <v>269</v>
      </c>
      <c r="I577" s="7" t="s">
        <v>171</v>
      </c>
      <c r="J577" s="7" t="s">
        <v>172</v>
      </c>
      <c r="K577" s="7" t="s">
        <v>173</v>
      </c>
      <c r="L577" s="7" t="s">
        <v>174</v>
      </c>
      <c r="M577" s="7" t="n">
        <v>1</v>
      </c>
      <c r="N577" s="27" t="n">
        <v>699</v>
      </c>
      <c r="O577" s="28" t="n">
        <v>0</v>
      </c>
      <c r="P577" s="27" t="n">
        <v>699</v>
      </c>
      <c r="Q577" s="27" t="n">
        <v>320</v>
      </c>
      <c r="R577" s="27" t="n">
        <v>379</v>
      </c>
      <c r="S577" s="7" t="s">
        <v>60</v>
      </c>
      <c r="T577" s="7" t="str">
        <f aca="false">IF(O577=0,"No discount",IF(O577&lt;=0.2,"Up to 20%","Above 20%"))</f>
        <v>No discount</v>
      </c>
    </row>
    <row r="578" customFormat="false" ht="15" hidden="false" customHeight="true" outlineLevel="0" collapsed="false">
      <c r="A578" s="7" t="s">
        <v>1243</v>
      </c>
      <c r="B578" s="26" t="n">
        <v>45870</v>
      </c>
      <c r="C578" s="26" t="n">
        <v>45872</v>
      </c>
      <c r="D578" s="7" t="s">
        <v>837</v>
      </c>
      <c r="E578" s="7" t="s">
        <v>838</v>
      </c>
      <c r="F578" s="7" t="s">
        <v>178</v>
      </c>
      <c r="G578" s="7" t="s">
        <v>206</v>
      </c>
      <c r="H578" s="7" t="s">
        <v>207</v>
      </c>
      <c r="I578" s="7" t="s">
        <v>208</v>
      </c>
      <c r="J578" s="7" t="s">
        <v>421</v>
      </c>
      <c r="K578" s="7" t="s">
        <v>422</v>
      </c>
      <c r="L578" s="7" t="s">
        <v>423</v>
      </c>
      <c r="M578" s="7" t="n">
        <v>1</v>
      </c>
      <c r="N578" s="27" t="n">
        <v>5999</v>
      </c>
      <c r="O578" s="28" t="n">
        <v>0</v>
      </c>
      <c r="P578" s="27" t="n">
        <v>5999</v>
      </c>
      <c r="Q578" s="27" t="n">
        <v>4300</v>
      </c>
      <c r="R578" s="27" t="n">
        <v>1699</v>
      </c>
      <c r="S578" s="7" t="s">
        <v>60</v>
      </c>
      <c r="T578" s="7" t="str">
        <f aca="false">IF(O578=0,"No discount",IF(O578&lt;=0.2,"Up to 20%","Above 20%"))</f>
        <v>No discount</v>
      </c>
    </row>
    <row r="579" customFormat="false" ht="15" hidden="false" customHeight="true" outlineLevel="0" collapsed="false">
      <c r="A579" s="7" t="s">
        <v>1244</v>
      </c>
      <c r="B579" s="26" t="n">
        <v>45870</v>
      </c>
      <c r="C579" s="26" t="n">
        <v>45874</v>
      </c>
      <c r="D579" s="7" t="s">
        <v>555</v>
      </c>
      <c r="E579" s="7" t="s">
        <v>556</v>
      </c>
      <c r="F579" s="7" t="s">
        <v>178</v>
      </c>
      <c r="G579" s="7" t="s">
        <v>206</v>
      </c>
      <c r="H579" s="7" t="s">
        <v>207</v>
      </c>
      <c r="I579" s="7" t="s">
        <v>171</v>
      </c>
      <c r="J579" s="7" t="s">
        <v>172</v>
      </c>
      <c r="K579" s="7" t="s">
        <v>173</v>
      </c>
      <c r="L579" s="7" t="s">
        <v>174</v>
      </c>
      <c r="M579" s="7" t="n">
        <v>1</v>
      </c>
      <c r="N579" s="27" t="n">
        <v>699</v>
      </c>
      <c r="O579" s="28" t="n">
        <v>0.2</v>
      </c>
      <c r="P579" s="27" t="n">
        <v>559</v>
      </c>
      <c r="Q579" s="27" t="n">
        <v>320</v>
      </c>
      <c r="R579" s="27" t="n">
        <v>239</v>
      </c>
      <c r="S579" s="7" t="s">
        <v>60</v>
      </c>
      <c r="T579" s="7" t="str">
        <f aca="false">IF(O579=0,"No discount",IF(O579&lt;=0.2,"Up to 20%","Above 20%"))</f>
        <v>Up to 20%</v>
      </c>
    </row>
    <row r="580" customFormat="false" ht="15" hidden="false" customHeight="true" outlineLevel="0" collapsed="false">
      <c r="A580" s="7" t="s">
        <v>1245</v>
      </c>
      <c r="B580" s="26" t="n">
        <v>45870</v>
      </c>
      <c r="C580" s="26" t="n">
        <v>45873</v>
      </c>
      <c r="D580" s="7" t="s">
        <v>789</v>
      </c>
      <c r="E580" s="7" t="s">
        <v>790</v>
      </c>
      <c r="F580" s="7" t="s">
        <v>159</v>
      </c>
      <c r="G580" s="7" t="s">
        <v>160</v>
      </c>
      <c r="H580" s="7" t="s">
        <v>161</v>
      </c>
      <c r="I580" s="7" t="s">
        <v>208</v>
      </c>
      <c r="J580" s="7" t="s">
        <v>232</v>
      </c>
      <c r="K580" s="7" t="s">
        <v>233</v>
      </c>
      <c r="L580" s="7" t="s">
        <v>234</v>
      </c>
      <c r="M580" s="7" t="n">
        <v>2</v>
      </c>
      <c r="N580" s="27" t="n">
        <v>7999</v>
      </c>
      <c r="O580" s="28" t="n">
        <v>0</v>
      </c>
      <c r="P580" s="27" t="n">
        <v>15998</v>
      </c>
      <c r="Q580" s="27" t="n">
        <v>11200</v>
      </c>
      <c r="R580" s="27" t="n">
        <v>4798</v>
      </c>
      <c r="S580" s="7" t="s">
        <v>60</v>
      </c>
      <c r="T580" s="7" t="str">
        <f aca="false">IF(O580=0,"No discount",IF(O580&lt;=0.2,"Up to 20%","Above 20%"))</f>
        <v>No discount</v>
      </c>
    </row>
    <row r="581" customFormat="false" ht="15" hidden="false" customHeight="true" outlineLevel="0" collapsed="false">
      <c r="A581" s="7" t="s">
        <v>1246</v>
      </c>
      <c r="B581" s="26" t="n">
        <v>45871</v>
      </c>
      <c r="C581" s="26" t="n">
        <v>45872</v>
      </c>
      <c r="D581" s="7" t="s">
        <v>1247</v>
      </c>
      <c r="E581" s="7" t="s">
        <v>1248</v>
      </c>
      <c r="F581" s="7" t="s">
        <v>159</v>
      </c>
      <c r="G581" s="7" t="s">
        <v>160</v>
      </c>
      <c r="H581" s="7" t="s">
        <v>161</v>
      </c>
      <c r="I581" s="7" t="s">
        <v>162</v>
      </c>
      <c r="J581" s="7" t="s">
        <v>251</v>
      </c>
      <c r="K581" s="7" t="s">
        <v>252</v>
      </c>
      <c r="L581" s="7" t="s">
        <v>253</v>
      </c>
      <c r="M581" s="7" t="n">
        <v>2</v>
      </c>
      <c r="N581" s="27" t="n">
        <v>3999</v>
      </c>
      <c r="O581" s="28" t="n">
        <v>0</v>
      </c>
      <c r="P581" s="27" t="n">
        <v>7998</v>
      </c>
      <c r="Q581" s="27" t="n">
        <v>4800</v>
      </c>
      <c r="R581" s="27" t="n">
        <v>3198</v>
      </c>
      <c r="S581" s="7" t="s">
        <v>60</v>
      </c>
      <c r="T581" s="7" t="str">
        <f aca="false">IF(O581=0,"No discount",IF(O581&lt;=0.2,"Up to 20%","Above 20%"))</f>
        <v>No discount</v>
      </c>
    </row>
    <row r="582" customFormat="false" ht="15" hidden="false" customHeight="true" outlineLevel="0" collapsed="false">
      <c r="A582" s="7" t="s">
        <v>1249</v>
      </c>
      <c r="B582" s="26" t="n">
        <v>45871</v>
      </c>
      <c r="C582" s="26" t="n">
        <v>45875</v>
      </c>
      <c r="D582" s="7" t="s">
        <v>719</v>
      </c>
      <c r="E582" s="7" t="s">
        <v>720</v>
      </c>
      <c r="F582" s="7" t="s">
        <v>159</v>
      </c>
      <c r="G582" s="7" t="s">
        <v>323</v>
      </c>
      <c r="H582" s="7" t="s">
        <v>324</v>
      </c>
      <c r="I582" s="7" t="s">
        <v>192</v>
      </c>
      <c r="J582" s="7" t="s">
        <v>502</v>
      </c>
      <c r="K582" s="7" t="s">
        <v>503</v>
      </c>
      <c r="L582" s="7" t="s">
        <v>504</v>
      </c>
      <c r="M582" s="7" t="n">
        <v>1</v>
      </c>
      <c r="N582" s="27" t="n">
        <v>3499</v>
      </c>
      <c r="O582" s="28" t="n">
        <v>0.1</v>
      </c>
      <c r="P582" s="27" t="n">
        <v>3149</v>
      </c>
      <c r="Q582" s="27" t="n">
        <v>2500</v>
      </c>
      <c r="R582" s="27" t="n">
        <v>649</v>
      </c>
      <c r="S582" s="7" t="s">
        <v>60</v>
      </c>
      <c r="T582" s="7" t="str">
        <f aca="false">IF(O582=0,"No discount",IF(O582&lt;=0.2,"Up to 20%","Above 20%"))</f>
        <v>Up to 20%</v>
      </c>
    </row>
    <row r="583" customFormat="false" ht="15" hidden="false" customHeight="true" outlineLevel="0" collapsed="false">
      <c r="A583" s="7" t="s">
        <v>1250</v>
      </c>
      <c r="B583" s="26" t="n">
        <v>45872</v>
      </c>
      <c r="C583" s="26" t="n">
        <v>45873</v>
      </c>
      <c r="D583" s="7" t="s">
        <v>722</v>
      </c>
      <c r="E583" s="7" t="s">
        <v>723</v>
      </c>
      <c r="F583" s="7" t="s">
        <v>159</v>
      </c>
      <c r="G583" s="7" t="s">
        <v>160</v>
      </c>
      <c r="H583" s="7" t="s">
        <v>161</v>
      </c>
      <c r="I583" s="7" t="s">
        <v>171</v>
      </c>
      <c r="J583" s="7" t="s">
        <v>172</v>
      </c>
      <c r="K583" s="7" t="s">
        <v>180</v>
      </c>
      <c r="L583" s="7" t="s">
        <v>181</v>
      </c>
      <c r="M583" s="7" t="n">
        <v>2</v>
      </c>
      <c r="N583" s="27" t="n">
        <v>999</v>
      </c>
      <c r="O583" s="28" t="n">
        <v>0.3</v>
      </c>
      <c r="P583" s="27" t="n">
        <v>1399</v>
      </c>
      <c r="Q583" s="27" t="n">
        <v>1040</v>
      </c>
      <c r="R583" s="27" t="n">
        <v>359</v>
      </c>
      <c r="S583" s="7" t="s">
        <v>60</v>
      </c>
      <c r="T583" s="7" t="str">
        <f aca="false">IF(O583=0,"No discount",IF(O583&lt;=0.2,"Up to 20%","Above 20%"))</f>
        <v>Above 20%</v>
      </c>
    </row>
    <row r="584" customFormat="false" ht="15" hidden="false" customHeight="true" outlineLevel="0" collapsed="false">
      <c r="A584" s="7" t="s">
        <v>1251</v>
      </c>
      <c r="B584" s="26" t="n">
        <v>45872</v>
      </c>
      <c r="C584" s="26" t="n">
        <v>45874</v>
      </c>
      <c r="D584" s="7" t="s">
        <v>1073</v>
      </c>
      <c r="E584" s="7" t="s">
        <v>1074</v>
      </c>
      <c r="F584" s="7" t="s">
        <v>159</v>
      </c>
      <c r="G584" s="7" t="s">
        <v>206</v>
      </c>
      <c r="H584" s="7" t="s">
        <v>207</v>
      </c>
      <c r="I584" s="7" t="s">
        <v>208</v>
      </c>
      <c r="J584" s="7" t="s">
        <v>209</v>
      </c>
      <c r="K584" s="7" t="s">
        <v>641</v>
      </c>
      <c r="L584" s="7" t="s">
        <v>642</v>
      </c>
      <c r="M584" s="7" t="n">
        <v>2</v>
      </c>
      <c r="N584" s="27" t="n">
        <v>1499</v>
      </c>
      <c r="O584" s="28" t="n">
        <v>0.05</v>
      </c>
      <c r="P584" s="27" t="n">
        <v>2848</v>
      </c>
      <c r="Q584" s="27" t="n">
        <v>1800</v>
      </c>
      <c r="R584" s="27" t="n">
        <v>1048</v>
      </c>
      <c r="S584" s="7" t="s">
        <v>60</v>
      </c>
      <c r="T584" s="7" t="str">
        <f aca="false">IF(O584=0,"No discount",IF(O584&lt;=0.2,"Up to 20%","Above 20%"))</f>
        <v>Up to 20%</v>
      </c>
    </row>
    <row r="585" customFormat="false" ht="15" hidden="false" customHeight="true" outlineLevel="0" collapsed="false">
      <c r="A585" s="7" t="s">
        <v>1252</v>
      </c>
      <c r="B585" s="26" t="n">
        <v>45872</v>
      </c>
      <c r="C585" s="26" t="n">
        <v>45873</v>
      </c>
      <c r="D585" s="7" t="s">
        <v>318</v>
      </c>
      <c r="E585" s="7" t="s">
        <v>319</v>
      </c>
      <c r="F585" s="7" t="s">
        <v>219</v>
      </c>
      <c r="G585" s="7" t="s">
        <v>160</v>
      </c>
      <c r="H585" s="7" t="s">
        <v>263</v>
      </c>
      <c r="I585" s="7" t="s">
        <v>199</v>
      </c>
      <c r="J585" s="7" t="s">
        <v>200</v>
      </c>
      <c r="K585" s="7" t="s">
        <v>201</v>
      </c>
      <c r="L585" s="7" t="s">
        <v>202</v>
      </c>
      <c r="M585" s="7" t="n">
        <v>2</v>
      </c>
      <c r="N585" s="27" t="n">
        <v>399</v>
      </c>
      <c r="O585" s="28" t="n">
        <v>0.2</v>
      </c>
      <c r="P585" s="27" t="n">
        <v>638</v>
      </c>
      <c r="Q585" s="27" t="n">
        <v>320</v>
      </c>
      <c r="R585" s="27" t="n">
        <v>318</v>
      </c>
      <c r="S585" s="7" t="s">
        <v>60</v>
      </c>
      <c r="T585" s="7" t="str">
        <f aca="false">IF(O585=0,"No discount",IF(O585&lt;=0.2,"Up to 20%","Above 20%"))</f>
        <v>Up to 20%</v>
      </c>
    </row>
    <row r="586" customFormat="false" ht="15" hidden="false" customHeight="true" outlineLevel="0" collapsed="false">
      <c r="A586" s="7" t="s">
        <v>1253</v>
      </c>
      <c r="B586" s="26" t="n">
        <v>45872</v>
      </c>
      <c r="C586" s="26" t="n">
        <v>45874</v>
      </c>
      <c r="D586" s="7" t="s">
        <v>818</v>
      </c>
      <c r="E586" s="7" t="s">
        <v>819</v>
      </c>
      <c r="F586" s="7" t="s">
        <v>159</v>
      </c>
      <c r="G586" s="7" t="s">
        <v>206</v>
      </c>
      <c r="H586" s="7" t="s">
        <v>207</v>
      </c>
      <c r="I586" s="7" t="s">
        <v>162</v>
      </c>
      <c r="J586" s="7" t="s">
        <v>185</v>
      </c>
      <c r="K586" s="7" t="s">
        <v>186</v>
      </c>
      <c r="L586" s="7" t="s">
        <v>187</v>
      </c>
      <c r="M586" s="7" t="n">
        <v>1</v>
      </c>
      <c r="N586" s="27" t="n">
        <v>3299</v>
      </c>
      <c r="O586" s="28" t="n">
        <v>0.4</v>
      </c>
      <c r="P586" s="27" t="n">
        <v>1979</v>
      </c>
      <c r="Q586" s="27" t="n">
        <v>1900</v>
      </c>
      <c r="R586" s="27" t="n">
        <v>79</v>
      </c>
      <c r="S586" s="7" t="s">
        <v>60</v>
      </c>
      <c r="T586" s="7" t="str">
        <f aca="false">IF(O586=0,"No discount",IF(O586&lt;=0.2,"Up to 20%","Above 20%"))</f>
        <v>Above 20%</v>
      </c>
    </row>
    <row r="587" customFormat="false" ht="15" hidden="false" customHeight="true" outlineLevel="0" collapsed="false">
      <c r="A587" s="7" t="s">
        <v>1254</v>
      </c>
      <c r="B587" s="26" t="n">
        <v>45873</v>
      </c>
      <c r="C587" s="26" t="n">
        <v>45875</v>
      </c>
      <c r="D587" s="7" t="s">
        <v>555</v>
      </c>
      <c r="E587" s="7" t="s">
        <v>556</v>
      </c>
      <c r="F587" s="7" t="s">
        <v>178</v>
      </c>
      <c r="G587" s="7" t="s">
        <v>206</v>
      </c>
      <c r="H587" s="7" t="s">
        <v>207</v>
      </c>
      <c r="I587" s="7" t="s">
        <v>282</v>
      </c>
      <c r="J587" s="7" t="s">
        <v>427</v>
      </c>
      <c r="K587" s="7" t="s">
        <v>428</v>
      </c>
      <c r="L587" s="7" t="s">
        <v>429</v>
      </c>
      <c r="M587" s="7" t="n">
        <v>2</v>
      </c>
      <c r="N587" s="27" t="n">
        <v>149</v>
      </c>
      <c r="O587" s="28" t="n">
        <v>0</v>
      </c>
      <c r="P587" s="27" t="n">
        <v>298</v>
      </c>
      <c r="Q587" s="27" t="n">
        <v>140</v>
      </c>
      <c r="R587" s="27" t="n">
        <v>158</v>
      </c>
      <c r="S587" s="7" t="s">
        <v>60</v>
      </c>
      <c r="T587" s="7" t="str">
        <f aca="false">IF(O587=0,"No discount",IF(O587&lt;=0.2,"Up to 20%","Above 20%"))</f>
        <v>No discount</v>
      </c>
    </row>
    <row r="588" customFormat="false" ht="15" hidden="false" customHeight="true" outlineLevel="0" collapsed="false">
      <c r="A588" s="7" t="s">
        <v>1255</v>
      </c>
      <c r="B588" s="26" t="n">
        <v>45873</v>
      </c>
      <c r="C588" s="26" t="n">
        <v>45877</v>
      </c>
      <c r="D588" s="7" t="s">
        <v>496</v>
      </c>
      <c r="E588" s="7" t="s">
        <v>497</v>
      </c>
      <c r="F588" s="7" t="s">
        <v>178</v>
      </c>
      <c r="G588" s="7" t="s">
        <v>169</v>
      </c>
      <c r="H588" s="7" t="s">
        <v>179</v>
      </c>
      <c r="I588" s="7" t="s">
        <v>208</v>
      </c>
      <c r="J588" s="7" t="s">
        <v>209</v>
      </c>
      <c r="K588" s="7" t="s">
        <v>641</v>
      </c>
      <c r="L588" s="7" t="s">
        <v>642</v>
      </c>
      <c r="M588" s="7" t="n">
        <v>1</v>
      </c>
      <c r="N588" s="27" t="n">
        <v>1499</v>
      </c>
      <c r="O588" s="28" t="n">
        <v>0.15</v>
      </c>
      <c r="P588" s="27" t="n">
        <v>1274</v>
      </c>
      <c r="Q588" s="27" t="n">
        <v>900</v>
      </c>
      <c r="R588" s="27" t="n">
        <v>374</v>
      </c>
      <c r="S588" s="7" t="s">
        <v>60</v>
      </c>
      <c r="T588" s="7" t="str">
        <f aca="false">IF(O588=0,"No discount",IF(O588&lt;=0.2,"Up to 20%","Above 20%"))</f>
        <v>Up to 20%</v>
      </c>
    </row>
    <row r="589" customFormat="false" ht="15" hidden="false" customHeight="true" outlineLevel="0" collapsed="false">
      <c r="A589" s="7" t="s">
        <v>1256</v>
      </c>
      <c r="B589" s="26" t="n">
        <v>45874</v>
      </c>
      <c r="C589" s="26" t="n">
        <v>45881</v>
      </c>
      <c r="D589" s="7" t="s">
        <v>648</v>
      </c>
      <c r="E589" s="7" t="s">
        <v>649</v>
      </c>
      <c r="F589" s="7" t="s">
        <v>159</v>
      </c>
      <c r="G589" s="7" t="s">
        <v>160</v>
      </c>
      <c r="H589" s="7" t="s">
        <v>161</v>
      </c>
      <c r="I589" s="7" t="s">
        <v>171</v>
      </c>
      <c r="J589" s="7" t="s">
        <v>304</v>
      </c>
      <c r="K589" s="7" t="s">
        <v>305</v>
      </c>
      <c r="L589" s="7" t="s">
        <v>306</v>
      </c>
      <c r="M589" s="7" t="n">
        <v>5</v>
      </c>
      <c r="N589" s="27" t="n">
        <v>2999</v>
      </c>
      <c r="O589" s="28" t="n">
        <v>0</v>
      </c>
      <c r="P589" s="27" t="n">
        <v>14995</v>
      </c>
      <c r="Q589" s="27" t="n">
        <v>10000</v>
      </c>
      <c r="R589" s="27" t="n">
        <v>4995</v>
      </c>
      <c r="S589" s="7" t="s">
        <v>60</v>
      </c>
      <c r="T589" s="7" t="str">
        <f aca="false">IF(O589=0,"No discount",IF(O589&lt;=0.2,"Up to 20%","Above 20%"))</f>
        <v>No discount</v>
      </c>
    </row>
    <row r="590" customFormat="false" ht="15" hidden="false" customHeight="true" outlineLevel="0" collapsed="false">
      <c r="A590" s="7" t="s">
        <v>1257</v>
      </c>
      <c r="B590" s="26" t="n">
        <v>45874</v>
      </c>
      <c r="C590" s="26" t="n">
        <v>45880</v>
      </c>
      <c r="D590" s="7" t="s">
        <v>403</v>
      </c>
      <c r="E590" s="7" t="s">
        <v>404</v>
      </c>
      <c r="F590" s="7" t="s">
        <v>219</v>
      </c>
      <c r="G590" s="7" t="s">
        <v>169</v>
      </c>
      <c r="H590" s="7" t="s">
        <v>191</v>
      </c>
      <c r="I590" s="7" t="s">
        <v>199</v>
      </c>
      <c r="J590" s="7" t="s">
        <v>223</v>
      </c>
      <c r="K590" s="7" t="s">
        <v>246</v>
      </c>
      <c r="L590" s="7" t="s">
        <v>247</v>
      </c>
      <c r="M590" s="7" t="n">
        <v>2</v>
      </c>
      <c r="N590" s="27" t="n">
        <v>599</v>
      </c>
      <c r="O590" s="28" t="n">
        <v>0</v>
      </c>
      <c r="P590" s="27" t="n">
        <v>1198</v>
      </c>
      <c r="Q590" s="27" t="n">
        <v>540</v>
      </c>
      <c r="R590" s="27" t="n">
        <v>658</v>
      </c>
      <c r="S590" s="7" t="s">
        <v>60</v>
      </c>
      <c r="T590" s="7" t="str">
        <f aca="false">IF(O590=0,"No discount",IF(O590&lt;=0.2,"Up to 20%","Above 20%"))</f>
        <v>No discount</v>
      </c>
    </row>
    <row r="591" customFormat="false" ht="15" hidden="false" customHeight="true" outlineLevel="0" collapsed="false">
      <c r="A591" s="7" t="s">
        <v>1258</v>
      </c>
      <c r="B591" s="26" t="n">
        <v>45874</v>
      </c>
      <c r="C591" s="26" t="n">
        <v>45881</v>
      </c>
      <c r="D591" s="7" t="s">
        <v>189</v>
      </c>
      <c r="E591" s="7" t="s">
        <v>190</v>
      </c>
      <c r="F591" s="7" t="s">
        <v>159</v>
      </c>
      <c r="G591" s="7" t="s">
        <v>169</v>
      </c>
      <c r="H591" s="7" t="s">
        <v>191</v>
      </c>
      <c r="I591" s="7" t="s">
        <v>199</v>
      </c>
      <c r="J591" s="7" t="s">
        <v>200</v>
      </c>
      <c r="K591" s="7" t="s">
        <v>201</v>
      </c>
      <c r="L591" s="7" t="s">
        <v>202</v>
      </c>
      <c r="M591" s="7" t="n">
        <v>1</v>
      </c>
      <c r="N591" s="27" t="n">
        <v>399</v>
      </c>
      <c r="O591" s="28" t="n">
        <v>0.15</v>
      </c>
      <c r="P591" s="27" t="n">
        <v>339</v>
      </c>
      <c r="Q591" s="27" t="n">
        <v>160</v>
      </c>
      <c r="R591" s="27" t="n">
        <v>179</v>
      </c>
      <c r="S591" s="7" t="s">
        <v>60</v>
      </c>
      <c r="T591" s="7" t="str">
        <f aca="false">IF(O591=0,"No discount",IF(O591&lt;=0.2,"Up to 20%","Above 20%"))</f>
        <v>Up to 20%</v>
      </c>
    </row>
    <row r="592" customFormat="false" ht="15" hidden="false" customHeight="true" outlineLevel="0" collapsed="false">
      <c r="A592" s="7" t="s">
        <v>1259</v>
      </c>
      <c r="B592" s="26" t="n">
        <v>45875</v>
      </c>
      <c r="C592" s="26" t="n">
        <v>45876</v>
      </c>
      <c r="D592" s="7" t="s">
        <v>1168</v>
      </c>
      <c r="E592" s="7" t="s">
        <v>1169</v>
      </c>
      <c r="F592" s="7" t="s">
        <v>159</v>
      </c>
      <c r="G592" s="7" t="s">
        <v>160</v>
      </c>
      <c r="H592" s="7" t="s">
        <v>161</v>
      </c>
      <c r="I592" s="7" t="s">
        <v>162</v>
      </c>
      <c r="J592" s="7" t="s">
        <v>163</v>
      </c>
      <c r="K592" s="7" t="s">
        <v>164</v>
      </c>
      <c r="L592" s="7" t="s">
        <v>165</v>
      </c>
      <c r="M592" s="7" t="n">
        <v>4</v>
      </c>
      <c r="N592" s="27" t="n">
        <v>1999</v>
      </c>
      <c r="O592" s="28" t="n">
        <v>0.4</v>
      </c>
      <c r="P592" s="27" t="n">
        <v>4798</v>
      </c>
      <c r="Q592" s="27" t="n">
        <v>4200</v>
      </c>
      <c r="R592" s="27" t="n">
        <v>598</v>
      </c>
      <c r="S592" s="7" t="s">
        <v>60</v>
      </c>
      <c r="T592" s="7" t="str">
        <f aca="false">IF(O592=0,"No discount",IF(O592&lt;=0.2,"Up to 20%","Above 20%"))</f>
        <v>Above 20%</v>
      </c>
    </row>
    <row r="593" customFormat="false" ht="15" hidden="false" customHeight="true" outlineLevel="0" collapsed="false">
      <c r="A593" s="7" t="s">
        <v>1260</v>
      </c>
      <c r="B593" s="26" t="n">
        <v>45875</v>
      </c>
      <c r="C593" s="26" t="n">
        <v>45879</v>
      </c>
      <c r="D593" s="7" t="s">
        <v>896</v>
      </c>
      <c r="E593" s="7" t="s">
        <v>897</v>
      </c>
      <c r="F593" s="7" t="s">
        <v>159</v>
      </c>
      <c r="G593" s="7" t="s">
        <v>160</v>
      </c>
      <c r="H593" s="7" t="s">
        <v>269</v>
      </c>
      <c r="I593" s="7" t="s">
        <v>208</v>
      </c>
      <c r="J593" s="7" t="s">
        <v>209</v>
      </c>
      <c r="K593" s="7" t="s">
        <v>238</v>
      </c>
      <c r="L593" s="7" t="s">
        <v>239</v>
      </c>
      <c r="M593" s="7" t="n">
        <v>2</v>
      </c>
      <c r="N593" s="27" t="n">
        <v>2199</v>
      </c>
      <c r="O593" s="28" t="n">
        <v>0.05</v>
      </c>
      <c r="P593" s="27" t="n">
        <v>4178</v>
      </c>
      <c r="Q593" s="27" t="n">
        <v>2800</v>
      </c>
      <c r="R593" s="27" t="n">
        <v>1378</v>
      </c>
      <c r="S593" s="7" t="s">
        <v>60</v>
      </c>
      <c r="T593" s="7" t="str">
        <f aca="false">IF(O593=0,"No discount",IF(O593&lt;=0.2,"Up to 20%","Above 20%"))</f>
        <v>Up to 20%</v>
      </c>
    </row>
    <row r="594" customFormat="false" ht="15" hidden="false" customHeight="true" outlineLevel="0" collapsed="false">
      <c r="A594" s="7" t="s">
        <v>1261</v>
      </c>
      <c r="B594" s="26" t="n">
        <v>45875</v>
      </c>
      <c r="C594" s="26" t="n">
        <v>45878</v>
      </c>
      <c r="D594" s="7" t="s">
        <v>651</v>
      </c>
      <c r="E594" s="7" t="s">
        <v>652</v>
      </c>
      <c r="F594" s="7" t="s">
        <v>219</v>
      </c>
      <c r="G594" s="7" t="s">
        <v>206</v>
      </c>
      <c r="H594" s="7" t="s">
        <v>207</v>
      </c>
      <c r="I594" s="7" t="s">
        <v>208</v>
      </c>
      <c r="J594" s="7" t="s">
        <v>232</v>
      </c>
      <c r="K594" s="7" t="s">
        <v>233</v>
      </c>
      <c r="L594" s="7" t="s">
        <v>234</v>
      </c>
      <c r="M594" s="7" t="n">
        <v>1</v>
      </c>
      <c r="N594" s="27" t="n">
        <v>7999</v>
      </c>
      <c r="O594" s="28" t="n">
        <v>0</v>
      </c>
      <c r="P594" s="27" t="n">
        <v>7999</v>
      </c>
      <c r="Q594" s="27" t="n">
        <v>5600</v>
      </c>
      <c r="R594" s="27" t="n">
        <v>2399</v>
      </c>
      <c r="S594" s="7" t="s">
        <v>60</v>
      </c>
      <c r="T594" s="7" t="str">
        <f aca="false">IF(O594=0,"No discount",IF(O594&lt;=0.2,"Up to 20%","Above 20%"))</f>
        <v>No discount</v>
      </c>
    </row>
    <row r="595" customFormat="false" ht="15" hidden="false" customHeight="true" outlineLevel="0" collapsed="false">
      <c r="A595" s="7" t="s">
        <v>1262</v>
      </c>
      <c r="B595" s="26" t="n">
        <v>45876</v>
      </c>
      <c r="C595" s="26" t="n">
        <v>45882</v>
      </c>
      <c r="D595" s="7" t="s">
        <v>277</v>
      </c>
      <c r="E595" s="7" t="s">
        <v>278</v>
      </c>
      <c r="F595" s="7" t="s">
        <v>159</v>
      </c>
      <c r="G595" s="7" t="s">
        <v>206</v>
      </c>
      <c r="H595" s="7" t="s">
        <v>207</v>
      </c>
      <c r="I595" s="7" t="s">
        <v>162</v>
      </c>
      <c r="J595" s="7" t="s">
        <v>185</v>
      </c>
      <c r="K595" s="7" t="s">
        <v>186</v>
      </c>
      <c r="L595" s="7" t="s">
        <v>187</v>
      </c>
      <c r="M595" s="7" t="n">
        <v>1</v>
      </c>
      <c r="N595" s="27" t="n">
        <v>3299</v>
      </c>
      <c r="O595" s="28" t="n">
        <v>0</v>
      </c>
      <c r="P595" s="27" t="n">
        <v>3299</v>
      </c>
      <c r="Q595" s="27" t="n">
        <v>1900</v>
      </c>
      <c r="R595" s="27" t="n">
        <v>1399</v>
      </c>
      <c r="S595" s="7" t="s">
        <v>60</v>
      </c>
      <c r="T595" s="7" t="str">
        <f aca="false">IF(O595=0,"No discount",IF(O595&lt;=0.2,"Up to 20%","Above 20%"))</f>
        <v>No discount</v>
      </c>
    </row>
    <row r="596" customFormat="false" ht="15" hidden="false" customHeight="true" outlineLevel="0" collapsed="false">
      <c r="A596" s="7" t="s">
        <v>1263</v>
      </c>
      <c r="B596" s="26" t="n">
        <v>45877</v>
      </c>
      <c r="C596" s="26" t="n">
        <v>45879</v>
      </c>
      <c r="D596" s="7" t="s">
        <v>1264</v>
      </c>
      <c r="E596" s="7" t="s">
        <v>1265</v>
      </c>
      <c r="F596" s="7" t="s">
        <v>159</v>
      </c>
      <c r="G596" s="7" t="s">
        <v>169</v>
      </c>
      <c r="H596" s="7" t="s">
        <v>179</v>
      </c>
      <c r="I596" s="7" t="s">
        <v>192</v>
      </c>
      <c r="J596" s="7" t="s">
        <v>502</v>
      </c>
      <c r="K596" s="7" t="s">
        <v>503</v>
      </c>
      <c r="L596" s="7" t="s">
        <v>504</v>
      </c>
      <c r="M596" s="7" t="n">
        <v>1</v>
      </c>
      <c r="N596" s="27" t="n">
        <v>3499</v>
      </c>
      <c r="O596" s="28" t="n">
        <v>0.2</v>
      </c>
      <c r="P596" s="27" t="n">
        <v>2799</v>
      </c>
      <c r="Q596" s="27" t="n">
        <v>2500</v>
      </c>
      <c r="R596" s="27" t="n">
        <v>299</v>
      </c>
      <c r="S596" s="7" t="s">
        <v>60</v>
      </c>
      <c r="T596" s="7" t="str">
        <f aca="false">IF(O596=0,"No discount",IF(O596&lt;=0.2,"Up to 20%","Above 20%"))</f>
        <v>Up to 20%</v>
      </c>
    </row>
    <row r="597" customFormat="false" ht="15" hidden="false" customHeight="true" outlineLevel="0" collapsed="false">
      <c r="A597" s="7" t="s">
        <v>1266</v>
      </c>
      <c r="B597" s="26" t="n">
        <v>45877</v>
      </c>
      <c r="C597" s="26" t="n">
        <v>45878</v>
      </c>
      <c r="D597" s="7" t="s">
        <v>403</v>
      </c>
      <c r="E597" s="7" t="s">
        <v>404</v>
      </c>
      <c r="F597" s="7" t="s">
        <v>219</v>
      </c>
      <c r="G597" s="7" t="s">
        <v>169</v>
      </c>
      <c r="H597" s="7" t="s">
        <v>191</v>
      </c>
      <c r="I597" s="7" t="s">
        <v>208</v>
      </c>
      <c r="J597" s="7" t="s">
        <v>209</v>
      </c>
      <c r="K597" s="7" t="s">
        <v>637</v>
      </c>
      <c r="L597" s="7" t="s">
        <v>638</v>
      </c>
      <c r="M597" s="7" t="n">
        <v>1</v>
      </c>
      <c r="N597" s="27" t="n">
        <v>899</v>
      </c>
      <c r="O597" s="28" t="n">
        <v>0</v>
      </c>
      <c r="P597" s="27" t="n">
        <v>899</v>
      </c>
      <c r="Q597" s="27" t="n">
        <v>480</v>
      </c>
      <c r="R597" s="27" t="n">
        <v>419</v>
      </c>
      <c r="S597" s="7" t="s">
        <v>60</v>
      </c>
      <c r="T597" s="7" t="str">
        <f aca="false">IF(O597=0,"No discount",IF(O597&lt;=0.2,"Up to 20%","Above 20%"))</f>
        <v>No discount</v>
      </c>
    </row>
    <row r="598" customFormat="false" ht="15" hidden="false" customHeight="true" outlineLevel="0" collapsed="false">
      <c r="A598" s="7" t="s">
        <v>1267</v>
      </c>
      <c r="B598" s="26" t="n">
        <v>45877</v>
      </c>
      <c r="C598" s="26" t="n">
        <v>45880</v>
      </c>
      <c r="D598" s="7" t="s">
        <v>308</v>
      </c>
      <c r="E598" s="7" t="s">
        <v>309</v>
      </c>
      <c r="F598" s="7" t="s">
        <v>159</v>
      </c>
      <c r="G598" s="7" t="s">
        <v>169</v>
      </c>
      <c r="H598" s="7" t="s">
        <v>179</v>
      </c>
      <c r="I598" s="7" t="s">
        <v>192</v>
      </c>
      <c r="J598" s="7" t="s">
        <v>213</v>
      </c>
      <c r="K598" s="7" t="s">
        <v>264</v>
      </c>
      <c r="L598" s="7" t="s">
        <v>265</v>
      </c>
      <c r="M598" s="7" t="n">
        <v>1</v>
      </c>
      <c r="N598" s="27" t="n">
        <v>2499</v>
      </c>
      <c r="O598" s="28" t="n">
        <v>0.1</v>
      </c>
      <c r="P598" s="27" t="n">
        <v>2249</v>
      </c>
      <c r="Q598" s="27" t="n">
        <v>1700</v>
      </c>
      <c r="R598" s="27" t="n">
        <v>549</v>
      </c>
      <c r="S598" s="7" t="s">
        <v>60</v>
      </c>
      <c r="T598" s="7" t="str">
        <f aca="false">IF(O598=0,"No discount",IF(O598&lt;=0.2,"Up to 20%","Above 20%"))</f>
        <v>Up to 20%</v>
      </c>
    </row>
    <row r="599" customFormat="false" ht="15" hidden="false" customHeight="true" outlineLevel="0" collapsed="false">
      <c r="A599" s="7" t="s">
        <v>1268</v>
      </c>
      <c r="B599" s="26" t="n">
        <v>45877</v>
      </c>
      <c r="C599" s="26" t="n">
        <v>45881</v>
      </c>
      <c r="D599" s="7" t="s">
        <v>403</v>
      </c>
      <c r="E599" s="7" t="s">
        <v>404</v>
      </c>
      <c r="F599" s="7" t="s">
        <v>219</v>
      </c>
      <c r="G599" s="7" t="s">
        <v>169</v>
      </c>
      <c r="H599" s="7" t="s">
        <v>191</v>
      </c>
      <c r="I599" s="7" t="s">
        <v>192</v>
      </c>
      <c r="J599" s="7" t="s">
        <v>193</v>
      </c>
      <c r="K599" s="7" t="s">
        <v>194</v>
      </c>
      <c r="L599" s="7" t="s">
        <v>195</v>
      </c>
      <c r="M599" s="7" t="n">
        <v>3</v>
      </c>
      <c r="N599" s="27" t="n">
        <v>8999</v>
      </c>
      <c r="O599" s="28" t="n">
        <v>0.3</v>
      </c>
      <c r="P599" s="27" t="n">
        <v>18898</v>
      </c>
      <c r="Q599" s="27" t="n">
        <v>20400</v>
      </c>
      <c r="R599" s="27" t="n">
        <v>-1502</v>
      </c>
      <c r="S599" s="7" t="s">
        <v>60</v>
      </c>
      <c r="T599" s="7" t="str">
        <f aca="false">IF(O599=0,"No discount",IF(O599&lt;=0.2,"Up to 20%","Above 20%"))</f>
        <v>Above 20%</v>
      </c>
    </row>
    <row r="600" customFormat="false" ht="15" hidden="false" customHeight="true" outlineLevel="0" collapsed="false">
      <c r="A600" s="7" t="s">
        <v>1269</v>
      </c>
      <c r="B600" s="26" t="n">
        <v>45878</v>
      </c>
      <c r="C600" s="26" t="n">
        <v>45882</v>
      </c>
      <c r="D600" s="7" t="s">
        <v>311</v>
      </c>
      <c r="E600" s="7" t="s">
        <v>312</v>
      </c>
      <c r="F600" s="7" t="s">
        <v>178</v>
      </c>
      <c r="G600" s="7" t="s">
        <v>206</v>
      </c>
      <c r="H600" s="7" t="s">
        <v>207</v>
      </c>
      <c r="I600" s="7" t="s">
        <v>192</v>
      </c>
      <c r="J600" s="7" t="s">
        <v>193</v>
      </c>
      <c r="K600" s="7" t="s">
        <v>194</v>
      </c>
      <c r="L600" s="7" t="s">
        <v>195</v>
      </c>
      <c r="M600" s="7" t="n">
        <v>2</v>
      </c>
      <c r="N600" s="27" t="n">
        <v>8999</v>
      </c>
      <c r="O600" s="28" t="n">
        <v>0.2</v>
      </c>
      <c r="P600" s="27" t="n">
        <v>14398</v>
      </c>
      <c r="Q600" s="27" t="n">
        <v>13600</v>
      </c>
      <c r="R600" s="27" t="n">
        <v>798</v>
      </c>
      <c r="S600" s="7" t="s">
        <v>60</v>
      </c>
      <c r="T600" s="7" t="str">
        <f aca="false">IF(O600=0,"No discount",IF(O600&lt;=0.2,"Up to 20%","Above 20%"))</f>
        <v>Up to 20%</v>
      </c>
    </row>
    <row r="601" customFormat="false" ht="15" hidden="false" customHeight="true" outlineLevel="0" collapsed="false">
      <c r="A601" s="7" t="s">
        <v>1270</v>
      </c>
      <c r="B601" s="26" t="n">
        <v>45879</v>
      </c>
      <c r="C601" s="26" t="n">
        <v>45884</v>
      </c>
      <c r="D601" s="7" t="s">
        <v>880</v>
      </c>
      <c r="E601" s="7" t="s">
        <v>881</v>
      </c>
      <c r="F601" s="7" t="s">
        <v>159</v>
      </c>
      <c r="G601" s="7" t="s">
        <v>160</v>
      </c>
      <c r="H601" s="7" t="s">
        <v>269</v>
      </c>
      <c r="I601" s="7" t="s">
        <v>171</v>
      </c>
      <c r="J601" s="7" t="s">
        <v>172</v>
      </c>
      <c r="K601" s="7" t="s">
        <v>180</v>
      </c>
      <c r="L601" s="7" t="s">
        <v>181</v>
      </c>
      <c r="M601" s="7" t="n">
        <v>2</v>
      </c>
      <c r="N601" s="27" t="n">
        <v>999</v>
      </c>
      <c r="O601" s="28" t="n">
        <v>0</v>
      </c>
      <c r="P601" s="27" t="n">
        <v>1998</v>
      </c>
      <c r="Q601" s="27" t="n">
        <v>1040</v>
      </c>
      <c r="R601" s="27" t="n">
        <v>958</v>
      </c>
      <c r="S601" s="7" t="s">
        <v>60</v>
      </c>
      <c r="T601" s="7" t="str">
        <f aca="false">IF(O601=0,"No discount",IF(O601&lt;=0.2,"Up to 20%","Above 20%"))</f>
        <v>No discount</v>
      </c>
    </row>
    <row r="602" customFormat="false" ht="15" hidden="false" customHeight="true" outlineLevel="0" collapsed="false">
      <c r="A602" s="7" t="s">
        <v>1271</v>
      </c>
      <c r="B602" s="26" t="n">
        <v>45879</v>
      </c>
      <c r="C602" s="26" t="n">
        <v>45883</v>
      </c>
      <c r="D602" s="7" t="s">
        <v>959</v>
      </c>
      <c r="E602" s="7" t="s">
        <v>960</v>
      </c>
      <c r="F602" s="7" t="s">
        <v>219</v>
      </c>
      <c r="G602" s="7" t="s">
        <v>323</v>
      </c>
      <c r="H602" s="7" t="s">
        <v>324</v>
      </c>
      <c r="I602" s="7" t="s">
        <v>282</v>
      </c>
      <c r="J602" s="7" t="s">
        <v>283</v>
      </c>
      <c r="K602" s="7" t="s">
        <v>284</v>
      </c>
      <c r="L602" s="7" t="s">
        <v>285</v>
      </c>
      <c r="M602" s="7" t="n">
        <v>6</v>
      </c>
      <c r="N602" s="27" t="n">
        <v>199</v>
      </c>
      <c r="O602" s="28" t="n">
        <v>0</v>
      </c>
      <c r="P602" s="27" t="n">
        <v>1194</v>
      </c>
      <c r="Q602" s="27" t="n">
        <v>540</v>
      </c>
      <c r="R602" s="27" t="n">
        <v>654</v>
      </c>
      <c r="S602" s="7" t="s">
        <v>60</v>
      </c>
      <c r="T602" s="7" t="str">
        <f aca="false">IF(O602=0,"No discount",IF(O602&lt;=0.2,"Up to 20%","Above 20%"))</f>
        <v>No discount</v>
      </c>
    </row>
    <row r="603" customFormat="false" ht="15" hidden="false" customHeight="true" outlineLevel="0" collapsed="false">
      <c r="A603" s="7" t="s">
        <v>1272</v>
      </c>
      <c r="B603" s="26" t="n">
        <v>45879</v>
      </c>
      <c r="C603" s="26" t="n">
        <v>45884</v>
      </c>
      <c r="D603" s="7" t="s">
        <v>391</v>
      </c>
      <c r="E603" s="7" t="s">
        <v>392</v>
      </c>
      <c r="F603" s="7" t="s">
        <v>159</v>
      </c>
      <c r="G603" s="7" t="s">
        <v>206</v>
      </c>
      <c r="H603" s="7" t="s">
        <v>207</v>
      </c>
      <c r="I603" s="7" t="s">
        <v>282</v>
      </c>
      <c r="J603" s="7" t="s">
        <v>427</v>
      </c>
      <c r="K603" s="7" t="s">
        <v>428</v>
      </c>
      <c r="L603" s="7" t="s">
        <v>429</v>
      </c>
      <c r="M603" s="7" t="n">
        <v>4</v>
      </c>
      <c r="N603" s="27" t="n">
        <v>149</v>
      </c>
      <c r="O603" s="28" t="n">
        <v>0</v>
      </c>
      <c r="P603" s="27" t="n">
        <v>596</v>
      </c>
      <c r="Q603" s="27" t="n">
        <v>280</v>
      </c>
      <c r="R603" s="27" t="n">
        <v>316</v>
      </c>
      <c r="S603" s="7" t="s">
        <v>60</v>
      </c>
      <c r="T603" s="7" t="str">
        <f aca="false">IF(O603=0,"No discount",IF(O603&lt;=0.2,"Up to 20%","Above 20%"))</f>
        <v>No discount</v>
      </c>
    </row>
    <row r="604" customFormat="false" ht="15" hidden="false" customHeight="true" outlineLevel="0" collapsed="false">
      <c r="A604" s="7" t="s">
        <v>1273</v>
      </c>
      <c r="B604" s="26" t="n">
        <v>45879</v>
      </c>
      <c r="C604" s="26" t="n">
        <v>45882</v>
      </c>
      <c r="D604" s="7" t="s">
        <v>947</v>
      </c>
      <c r="E604" s="7" t="s">
        <v>948</v>
      </c>
      <c r="F604" s="7" t="s">
        <v>159</v>
      </c>
      <c r="G604" s="7" t="s">
        <v>160</v>
      </c>
      <c r="H604" s="7" t="s">
        <v>269</v>
      </c>
      <c r="I604" s="7" t="s">
        <v>282</v>
      </c>
      <c r="J604" s="7" t="s">
        <v>387</v>
      </c>
      <c r="K604" s="7" t="s">
        <v>691</v>
      </c>
      <c r="L604" s="7" t="s">
        <v>692</v>
      </c>
      <c r="M604" s="7" t="n">
        <v>5</v>
      </c>
      <c r="N604" s="27" t="n">
        <v>499</v>
      </c>
      <c r="O604" s="28" t="n">
        <v>0.1</v>
      </c>
      <c r="P604" s="27" t="n">
        <v>2246</v>
      </c>
      <c r="Q604" s="27" t="n">
        <v>1300</v>
      </c>
      <c r="R604" s="27" t="n">
        <v>946</v>
      </c>
      <c r="S604" s="7" t="s">
        <v>60</v>
      </c>
      <c r="T604" s="7" t="str">
        <f aca="false">IF(O604=0,"No discount",IF(O604&lt;=0.2,"Up to 20%","Above 20%"))</f>
        <v>Up to 20%</v>
      </c>
    </row>
    <row r="605" customFormat="false" ht="15" hidden="false" customHeight="true" outlineLevel="0" collapsed="false">
      <c r="A605" s="7" t="s">
        <v>1274</v>
      </c>
      <c r="B605" s="26" t="n">
        <v>45879</v>
      </c>
      <c r="C605" s="26" t="n">
        <v>45884</v>
      </c>
      <c r="D605" s="7" t="s">
        <v>1153</v>
      </c>
      <c r="E605" s="7" t="s">
        <v>1154</v>
      </c>
      <c r="F605" s="7" t="s">
        <v>159</v>
      </c>
      <c r="G605" s="7" t="s">
        <v>160</v>
      </c>
      <c r="H605" s="7" t="s">
        <v>161</v>
      </c>
      <c r="I605" s="7" t="s">
        <v>208</v>
      </c>
      <c r="J605" s="7" t="s">
        <v>209</v>
      </c>
      <c r="K605" s="7" t="s">
        <v>637</v>
      </c>
      <c r="L605" s="7" t="s">
        <v>638</v>
      </c>
      <c r="M605" s="7" t="n">
        <v>2</v>
      </c>
      <c r="N605" s="27" t="n">
        <v>899</v>
      </c>
      <c r="O605" s="28" t="n">
        <v>0.1</v>
      </c>
      <c r="P605" s="27" t="n">
        <v>1618</v>
      </c>
      <c r="Q605" s="27" t="n">
        <v>960</v>
      </c>
      <c r="R605" s="27" t="n">
        <v>658</v>
      </c>
      <c r="S605" s="7" t="s">
        <v>60</v>
      </c>
      <c r="T605" s="7" t="str">
        <f aca="false">IF(O605=0,"No discount",IF(O605&lt;=0.2,"Up to 20%","Above 20%"))</f>
        <v>Up to 20%</v>
      </c>
    </row>
    <row r="606" customFormat="false" ht="15" hidden="false" customHeight="true" outlineLevel="0" collapsed="false">
      <c r="A606" s="7" t="s">
        <v>1275</v>
      </c>
      <c r="B606" s="26" t="n">
        <v>45879</v>
      </c>
      <c r="C606" s="26" t="n">
        <v>45882</v>
      </c>
      <c r="D606" s="7" t="s">
        <v>241</v>
      </c>
      <c r="E606" s="7" t="s">
        <v>242</v>
      </c>
      <c r="F606" s="7" t="s">
        <v>159</v>
      </c>
      <c r="G606" s="7" t="s">
        <v>206</v>
      </c>
      <c r="H606" s="7" t="s">
        <v>207</v>
      </c>
      <c r="I606" s="7" t="s">
        <v>208</v>
      </c>
      <c r="J606" s="7" t="s">
        <v>209</v>
      </c>
      <c r="K606" s="7" t="s">
        <v>238</v>
      </c>
      <c r="L606" s="7" t="s">
        <v>239</v>
      </c>
      <c r="M606" s="7" t="n">
        <v>3</v>
      </c>
      <c r="N606" s="27" t="n">
        <v>2199</v>
      </c>
      <c r="O606" s="28" t="n">
        <v>0</v>
      </c>
      <c r="P606" s="27" t="n">
        <v>6597</v>
      </c>
      <c r="Q606" s="27" t="n">
        <v>4200</v>
      </c>
      <c r="R606" s="27" t="n">
        <v>2397</v>
      </c>
      <c r="S606" s="7" t="s">
        <v>60</v>
      </c>
      <c r="T606" s="7" t="str">
        <f aca="false">IF(O606=0,"No discount",IF(O606&lt;=0.2,"Up to 20%","Above 20%"))</f>
        <v>No discount</v>
      </c>
    </row>
    <row r="607" customFormat="false" ht="15" hidden="false" customHeight="true" outlineLevel="0" collapsed="false">
      <c r="A607" s="7" t="s">
        <v>1276</v>
      </c>
      <c r="B607" s="26" t="n">
        <v>45879</v>
      </c>
      <c r="C607" s="26" t="n">
        <v>45880</v>
      </c>
      <c r="D607" s="7" t="s">
        <v>896</v>
      </c>
      <c r="E607" s="7" t="s">
        <v>897</v>
      </c>
      <c r="F607" s="7" t="s">
        <v>159</v>
      </c>
      <c r="G607" s="7" t="s">
        <v>160</v>
      </c>
      <c r="H607" s="7" t="s">
        <v>269</v>
      </c>
      <c r="I607" s="7" t="s">
        <v>282</v>
      </c>
      <c r="J607" s="7" t="s">
        <v>283</v>
      </c>
      <c r="K607" s="7" t="s">
        <v>284</v>
      </c>
      <c r="L607" s="7" t="s">
        <v>285</v>
      </c>
      <c r="M607" s="7" t="n">
        <v>1</v>
      </c>
      <c r="N607" s="27" t="n">
        <v>199</v>
      </c>
      <c r="O607" s="28" t="n">
        <v>0</v>
      </c>
      <c r="P607" s="27" t="n">
        <v>199</v>
      </c>
      <c r="Q607" s="27" t="n">
        <v>90</v>
      </c>
      <c r="R607" s="27" t="n">
        <v>109</v>
      </c>
      <c r="S607" s="7" t="s">
        <v>60</v>
      </c>
      <c r="T607" s="7" t="str">
        <f aca="false">IF(O607=0,"No discount",IF(O607&lt;=0.2,"Up to 20%","Above 20%"))</f>
        <v>No discount</v>
      </c>
    </row>
    <row r="608" customFormat="false" ht="15" hidden="false" customHeight="true" outlineLevel="0" collapsed="false">
      <c r="A608" s="7" t="s">
        <v>1277</v>
      </c>
      <c r="B608" s="26" t="n">
        <v>45880</v>
      </c>
      <c r="C608" s="26" t="n">
        <v>45883</v>
      </c>
      <c r="D608" s="7" t="s">
        <v>635</v>
      </c>
      <c r="E608" s="7" t="s">
        <v>636</v>
      </c>
      <c r="F608" s="7" t="s">
        <v>159</v>
      </c>
      <c r="G608" s="7" t="s">
        <v>323</v>
      </c>
      <c r="H608" s="7" t="s">
        <v>324</v>
      </c>
      <c r="I608" s="7" t="s">
        <v>162</v>
      </c>
      <c r="J608" s="7" t="s">
        <v>185</v>
      </c>
      <c r="K608" s="7" t="s">
        <v>186</v>
      </c>
      <c r="L608" s="7" t="s">
        <v>187</v>
      </c>
      <c r="M608" s="7" t="n">
        <v>1</v>
      </c>
      <c r="N608" s="27" t="n">
        <v>3299</v>
      </c>
      <c r="O608" s="28" t="n">
        <v>0.2</v>
      </c>
      <c r="P608" s="27" t="n">
        <v>2639</v>
      </c>
      <c r="Q608" s="27" t="n">
        <v>1900</v>
      </c>
      <c r="R608" s="27" t="n">
        <v>739</v>
      </c>
      <c r="S608" s="7" t="s">
        <v>60</v>
      </c>
      <c r="T608" s="7" t="str">
        <f aca="false">IF(O608=0,"No discount",IF(O608&lt;=0.2,"Up to 20%","Above 20%"))</f>
        <v>Up to 20%</v>
      </c>
    </row>
    <row r="609" customFormat="false" ht="15" hidden="false" customHeight="true" outlineLevel="0" collapsed="false">
      <c r="A609" s="7" t="s">
        <v>1278</v>
      </c>
      <c r="B609" s="26" t="n">
        <v>45881</v>
      </c>
      <c r="C609" s="26" t="n">
        <v>45885</v>
      </c>
      <c r="D609" s="7" t="s">
        <v>167</v>
      </c>
      <c r="E609" s="7" t="s">
        <v>168</v>
      </c>
      <c r="F609" s="7" t="s">
        <v>159</v>
      </c>
      <c r="G609" s="7" t="s">
        <v>169</v>
      </c>
      <c r="H609" s="7" t="s">
        <v>170</v>
      </c>
      <c r="I609" s="7" t="s">
        <v>199</v>
      </c>
      <c r="J609" s="7" t="s">
        <v>223</v>
      </c>
      <c r="K609" s="7" t="s">
        <v>224</v>
      </c>
      <c r="L609" s="7" t="s">
        <v>225</v>
      </c>
      <c r="M609" s="7" t="n">
        <v>4</v>
      </c>
      <c r="N609" s="27" t="n">
        <v>899</v>
      </c>
      <c r="O609" s="28" t="n">
        <v>0.1</v>
      </c>
      <c r="P609" s="27" t="n">
        <v>3236</v>
      </c>
      <c r="Q609" s="27" t="n">
        <v>1520</v>
      </c>
      <c r="R609" s="27" t="n">
        <v>1716</v>
      </c>
      <c r="S609" s="7" t="s">
        <v>60</v>
      </c>
      <c r="T609" s="7" t="str">
        <f aca="false">IF(O609=0,"No discount",IF(O609&lt;=0.2,"Up to 20%","Above 20%"))</f>
        <v>Up to 20%</v>
      </c>
    </row>
    <row r="610" customFormat="false" ht="15" hidden="false" customHeight="true" outlineLevel="0" collapsed="false">
      <c r="A610" s="7" t="s">
        <v>1279</v>
      </c>
      <c r="B610" s="26" t="n">
        <v>45882</v>
      </c>
      <c r="C610" s="26" t="n">
        <v>45884</v>
      </c>
      <c r="D610" s="7" t="s">
        <v>407</v>
      </c>
      <c r="E610" s="7" t="s">
        <v>408</v>
      </c>
      <c r="F610" s="7" t="s">
        <v>159</v>
      </c>
      <c r="G610" s="7" t="s">
        <v>169</v>
      </c>
      <c r="H610" s="7" t="s">
        <v>191</v>
      </c>
      <c r="I610" s="7" t="s">
        <v>171</v>
      </c>
      <c r="J610" s="7" t="s">
        <v>172</v>
      </c>
      <c r="K610" s="7" t="s">
        <v>180</v>
      </c>
      <c r="L610" s="7" t="s">
        <v>181</v>
      </c>
      <c r="M610" s="7" t="n">
        <v>1</v>
      </c>
      <c r="N610" s="27" t="n">
        <v>999</v>
      </c>
      <c r="O610" s="28" t="n">
        <v>0</v>
      </c>
      <c r="P610" s="27" t="n">
        <v>999</v>
      </c>
      <c r="Q610" s="27" t="n">
        <v>520</v>
      </c>
      <c r="R610" s="27" t="n">
        <v>479</v>
      </c>
      <c r="S610" s="7" t="s">
        <v>60</v>
      </c>
      <c r="T610" s="7" t="str">
        <f aca="false">IF(O610=0,"No discount",IF(O610&lt;=0.2,"Up to 20%","Above 20%"))</f>
        <v>No discount</v>
      </c>
    </row>
    <row r="611" customFormat="false" ht="15" hidden="false" customHeight="true" outlineLevel="0" collapsed="false">
      <c r="A611" s="7" t="s">
        <v>1280</v>
      </c>
      <c r="B611" s="26" t="n">
        <v>45882</v>
      </c>
      <c r="C611" s="26" t="n">
        <v>45888</v>
      </c>
      <c r="D611" s="7" t="s">
        <v>1076</v>
      </c>
      <c r="E611" s="7" t="s">
        <v>1077</v>
      </c>
      <c r="F611" s="7" t="s">
        <v>219</v>
      </c>
      <c r="G611" s="7" t="s">
        <v>169</v>
      </c>
      <c r="H611" s="7" t="s">
        <v>179</v>
      </c>
      <c r="I611" s="7" t="s">
        <v>162</v>
      </c>
      <c r="J611" s="7" t="s">
        <v>251</v>
      </c>
      <c r="K611" s="7" t="s">
        <v>252</v>
      </c>
      <c r="L611" s="7" t="s">
        <v>253</v>
      </c>
      <c r="M611" s="7" t="n">
        <v>1</v>
      </c>
      <c r="N611" s="27" t="n">
        <v>3999</v>
      </c>
      <c r="O611" s="28" t="n">
        <v>0</v>
      </c>
      <c r="P611" s="27" t="n">
        <v>3999</v>
      </c>
      <c r="Q611" s="27" t="n">
        <v>2400</v>
      </c>
      <c r="R611" s="27" t="n">
        <v>1599</v>
      </c>
      <c r="S611" s="7" t="s">
        <v>60</v>
      </c>
      <c r="T611" s="7" t="str">
        <f aca="false">IF(O611=0,"No discount",IF(O611&lt;=0.2,"Up to 20%","Above 20%"))</f>
        <v>No discount</v>
      </c>
    </row>
    <row r="612" customFormat="false" ht="15" hidden="false" customHeight="true" outlineLevel="0" collapsed="false">
      <c r="A612" s="7" t="s">
        <v>1281</v>
      </c>
      <c r="B612" s="26" t="n">
        <v>45882</v>
      </c>
      <c r="C612" s="26" t="n">
        <v>45889</v>
      </c>
      <c r="D612" s="7" t="s">
        <v>796</v>
      </c>
      <c r="E612" s="7" t="s">
        <v>797</v>
      </c>
      <c r="F612" s="7" t="s">
        <v>219</v>
      </c>
      <c r="G612" s="7" t="s">
        <v>169</v>
      </c>
      <c r="H612" s="7" t="s">
        <v>170</v>
      </c>
      <c r="I612" s="7" t="s">
        <v>282</v>
      </c>
      <c r="J612" s="7" t="s">
        <v>283</v>
      </c>
      <c r="K612" s="7" t="s">
        <v>284</v>
      </c>
      <c r="L612" s="7" t="s">
        <v>285</v>
      </c>
      <c r="M612" s="7" t="n">
        <v>5</v>
      </c>
      <c r="N612" s="27" t="n">
        <v>199</v>
      </c>
      <c r="O612" s="28" t="n">
        <v>0.1</v>
      </c>
      <c r="P612" s="27" t="n">
        <v>896</v>
      </c>
      <c r="Q612" s="27" t="n">
        <v>450</v>
      </c>
      <c r="R612" s="27" t="n">
        <v>446</v>
      </c>
      <c r="S612" s="7" t="s">
        <v>60</v>
      </c>
      <c r="T612" s="7" t="str">
        <f aca="false">IF(O612=0,"No discount",IF(O612&lt;=0.2,"Up to 20%","Above 20%"))</f>
        <v>Up to 20%</v>
      </c>
    </row>
    <row r="613" customFormat="false" ht="15" hidden="false" customHeight="true" outlineLevel="0" collapsed="false">
      <c r="A613" s="7" t="s">
        <v>1282</v>
      </c>
      <c r="B613" s="26" t="n">
        <v>45882</v>
      </c>
      <c r="C613" s="26" t="n">
        <v>45889</v>
      </c>
      <c r="D613" s="7" t="s">
        <v>618</v>
      </c>
      <c r="E613" s="7" t="s">
        <v>619</v>
      </c>
      <c r="F613" s="7" t="s">
        <v>219</v>
      </c>
      <c r="G613" s="7" t="s">
        <v>169</v>
      </c>
      <c r="H613" s="7" t="s">
        <v>191</v>
      </c>
      <c r="I613" s="7" t="s">
        <v>171</v>
      </c>
      <c r="J613" s="7" t="s">
        <v>172</v>
      </c>
      <c r="K613" s="7" t="s">
        <v>173</v>
      </c>
      <c r="L613" s="7" t="s">
        <v>174</v>
      </c>
      <c r="M613" s="7" t="n">
        <v>2</v>
      </c>
      <c r="N613" s="27" t="n">
        <v>699</v>
      </c>
      <c r="O613" s="28" t="n">
        <v>0.3</v>
      </c>
      <c r="P613" s="27" t="n">
        <v>979</v>
      </c>
      <c r="Q613" s="27" t="n">
        <v>640</v>
      </c>
      <c r="R613" s="27" t="n">
        <v>339</v>
      </c>
      <c r="S613" s="7" t="s">
        <v>47</v>
      </c>
      <c r="T613" s="7" t="str">
        <f aca="false">IF(O613=0,"No discount",IF(O613&lt;=0.2,"Up to 20%","Above 20%"))</f>
        <v>Above 20%</v>
      </c>
    </row>
    <row r="614" customFormat="false" ht="15" hidden="false" customHeight="true" outlineLevel="0" collapsed="false">
      <c r="A614" s="7" t="s">
        <v>1283</v>
      </c>
      <c r="B614" s="26" t="n">
        <v>45882</v>
      </c>
      <c r="C614" s="26" t="n">
        <v>45887</v>
      </c>
      <c r="D614" s="7" t="s">
        <v>351</v>
      </c>
      <c r="E614" s="7" t="s">
        <v>352</v>
      </c>
      <c r="F614" s="7" t="s">
        <v>178</v>
      </c>
      <c r="G614" s="7" t="s">
        <v>169</v>
      </c>
      <c r="H614" s="7" t="s">
        <v>179</v>
      </c>
      <c r="I614" s="7" t="s">
        <v>162</v>
      </c>
      <c r="J614" s="7" t="s">
        <v>251</v>
      </c>
      <c r="K614" s="7" t="s">
        <v>252</v>
      </c>
      <c r="L614" s="7" t="s">
        <v>253</v>
      </c>
      <c r="M614" s="7" t="n">
        <v>2</v>
      </c>
      <c r="N614" s="27" t="n">
        <v>3999</v>
      </c>
      <c r="O614" s="28" t="n">
        <v>0.5</v>
      </c>
      <c r="P614" s="27" t="n">
        <v>3999</v>
      </c>
      <c r="Q614" s="27" t="n">
        <v>4800</v>
      </c>
      <c r="R614" s="27" t="n">
        <v>-801</v>
      </c>
      <c r="S614" s="7" t="s">
        <v>60</v>
      </c>
      <c r="T614" s="7" t="str">
        <f aca="false">IF(O614=0,"No discount",IF(O614&lt;=0.2,"Up to 20%","Above 20%"))</f>
        <v>Above 20%</v>
      </c>
    </row>
    <row r="615" customFormat="false" ht="15" hidden="false" customHeight="true" outlineLevel="0" collapsed="false">
      <c r="A615" s="7" t="s">
        <v>1284</v>
      </c>
      <c r="B615" s="26" t="n">
        <v>45882</v>
      </c>
      <c r="C615" s="26" t="n">
        <v>45886</v>
      </c>
      <c r="D615" s="7" t="s">
        <v>302</v>
      </c>
      <c r="E615" s="7" t="s">
        <v>303</v>
      </c>
      <c r="F615" s="7" t="s">
        <v>159</v>
      </c>
      <c r="G615" s="7" t="s">
        <v>160</v>
      </c>
      <c r="H615" s="7" t="s">
        <v>269</v>
      </c>
      <c r="I615" s="7" t="s">
        <v>199</v>
      </c>
      <c r="J615" s="7" t="s">
        <v>223</v>
      </c>
      <c r="K615" s="7" t="s">
        <v>224</v>
      </c>
      <c r="L615" s="7" t="s">
        <v>225</v>
      </c>
      <c r="M615" s="7" t="n">
        <v>1</v>
      </c>
      <c r="N615" s="27" t="n">
        <v>899</v>
      </c>
      <c r="O615" s="28" t="n">
        <v>0.15</v>
      </c>
      <c r="P615" s="27" t="n">
        <v>764</v>
      </c>
      <c r="Q615" s="27" t="n">
        <v>380</v>
      </c>
      <c r="R615" s="27" t="n">
        <v>384</v>
      </c>
      <c r="S615" s="7" t="s">
        <v>60</v>
      </c>
      <c r="T615" s="7" t="str">
        <f aca="false">IF(O615=0,"No discount",IF(O615&lt;=0.2,"Up to 20%","Above 20%"))</f>
        <v>Up to 20%</v>
      </c>
    </row>
    <row r="616" customFormat="false" ht="15" hidden="false" customHeight="true" outlineLevel="0" collapsed="false">
      <c r="A616" s="7" t="s">
        <v>1285</v>
      </c>
      <c r="B616" s="26" t="n">
        <v>45882</v>
      </c>
      <c r="C616" s="26" t="n">
        <v>45886</v>
      </c>
      <c r="D616" s="7" t="s">
        <v>360</v>
      </c>
      <c r="E616" s="7" t="s">
        <v>361</v>
      </c>
      <c r="F616" s="7" t="s">
        <v>159</v>
      </c>
      <c r="G616" s="7" t="s">
        <v>206</v>
      </c>
      <c r="H616" s="7" t="s">
        <v>207</v>
      </c>
      <c r="I616" s="7" t="s">
        <v>192</v>
      </c>
      <c r="J616" s="7" t="s">
        <v>193</v>
      </c>
      <c r="K616" s="7" t="s">
        <v>194</v>
      </c>
      <c r="L616" s="7" t="s">
        <v>195</v>
      </c>
      <c r="M616" s="7" t="n">
        <v>2</v>
      </c>
      <c r="N616" s="27" t="n">
        <v>8999</v>
      </c>
      <c r="O616" s="28" t="n">
        <v>0.2</v>
      </c>
      <c r="P616" s="27" t="n">
        <v>14398</v>
      </c>
      <c r="Q616" s="27" t="n">
        <v>13600</v>
      </c>
      <c r="R616" s="27" t="n">
        <v>798</v>
      </c>
      <c r="S616" s="7" t="s">
        <v>60</v>
      </c>
      <c r="T616" s="7" t="str">
        <f aca="false">IF(O616=0,"No discount",IF(O616&lt;=0.2,"Up to 20%","Above 20%"))</f>
        <v>Up to 20%</v>
      </c>
    </row>
    <row r="617" customFormat="false" ht="15" hidden="false" customHeight="true" outlineLevel="0" collapsed="false">
      <c r="A617" s="7" t="s">
        <v>1286</v>
      </c>
      <c r="B617" s="26" t="n">
        <v>45883</v>
      </c>
      <c r="C617" s="26" t="n">
        <v>45888</v>
      </c>
      <c r="D617" s="7" t="s">
        <v>906</v>
      </c>
      <c r="E617" s="7" t="s">
        <v>907</v>
      </c>
      <c r="F617" s="7" t="s">
        <v>159</v>
      </c>
      <c r="G617" s="7" t="s">
        <v>160</v>
      </c>
      <c r="H617" s="7" t="s">
        <v>263</v>
      </c>
      <c r="I617" s="7" t="s">
        <v>171</v>
      </c>
      <c r="J617" s="7" t="s">
        <v>172</v>
      </c>
      <c r="K617" s="7" t="s">
        <v>180</v>
      </c>
      <c r="L617" s="7" t="s">
        <v>181</v>
      </c>
      <c r="M617" s="7" t="n">
        <v>4</v>
      </c>
      <c r="N617" s="27" t="n">
        <v>999</v>
      </c>
      <c r="O617" s="28" t="n">
        <v>0.05</v>
      </c>
      <c r="P617" s="27" t="n">
        <v>3796</v>
      </c>
      <c r="Q617" s="27" t="n">
        <v>2080</v>
      </c>
      <c r="R617" s="27" t="n">
        <v>1716</v>
      </c>
      <c r="S617" s="7" t="s">
        <v>60</v>
      </c>
      <c r="T617" s="7" t="str">
        <f aca="false">IF(O617=0,"No discount",IF(O617&lt;=0.2,"Up to 20%","Above 20%"))</f>
        <v>Up to 20%</v>
      </c>
    </row>
    <row r="618" customFormat="false" ht="15" hidden="false" customHeight="true" outlineLevel="0" collapsed="false">
      <c r="A618" s="7" t="s">
        <v>1287</v>
      </c>
      <c r="B618" s="26" t="n">
        <v>45883</v>
      </c>
      <c r="C618" s="26" t="n">
        <v>45890</v>
      </c>
      <c r="D618" s="7" t="s">
        <v>1288</v>
      </c>
      <c r="E618" s="7" t="s">
        <v>1289</v>
      </c>
      <c r="F618" s="7" t="s">
        <v>178</v>
      </c>
      <c r="G618" s="7" t="s">
        <v>160</v>
      </c>
      <c r="H618" s="7" t="s">
        <v>269</v>
      </c>
      <c r="I618" s="7" t="s">
        <v>162</v>
      </c>
      <c r="J618" s="7" t="s">
        <v>325</v>
      </c>
      <c r="K618" s="7" t="s">
        <v>583</v>
      </c>
      <c r="L618" s="7" t="s">
        <v>584</v>
      </c>
      <c r="M618" s="7" t="n">
        <v>1</v>
      </c>
      <c r="N618" s="27" t="n">
        <v>1499</v>
      </c>
      <c r="O618" s="28" t="n">
        <v>0.3</v>
      </c>
      <c r="P618" s="27" t="n">
        <v>1049</v>
      </c>
      <c r="Q618" s="27" t="n">
        <v>750</v>
      </c>
      <c r="R618" s="27" t="n">
        <v>299</v>
      </c>
      <c r="S618" s="7" t="s">
        <v>60</v>
      </c>
      <c r="T618" s="7" t="str">
        <f aca="false">IF(O618=0,"No discount",IF(O618&lt;=0.2,"Up to 20%","Above 20%"))</f>
        <v>Above 20%</v>
      </c>
    </row>
    <row r="619" customFormat="false" ht="15" hidden="false" customHeight="true" outlineLevel="0" collapsed="false">
      <c r="A619" s="7" t="s">
        <v>1290</v>
      </c>
      <c r="B619" s="26" t="n">
        <v>45883</v>
      </c>
      <c r="C619" s="26" t="n">
        <v>45890</v>
      </c>
      <c r="D619" s="7" t="s">
        <v>183</v>
      </c>
      <c r="E619" s="7" t="s">
        <v>184</v>
      </c>
      <c r="F619" s="7" t="s">
        <v>178</v>
      </c>
      <c r="G619" s="7" t="s">
        <v>160</v>
      </c>
      <c r="H619" s="7" t="s">
        <v>161</v>
      </c>
      <c r="I619" s="7" t="s">
        <v>199</v>
      </c>
      <c r="J619" s="7" t="s">
        <v>292</v>
      </c>
      <c r="K619" s="7" t="s">
        <v>293</v>
      </c>
      <c r="L619" s="7" t="s">
        <v>294</v>
      </c>
      <c r="M619" s="7" t="n">
        <v>2</v>
      </c>
      <c r="N619" s="27" t="n">
        <v>1599</v>
      </c>
      <c r="O619" s="28" t="n">
        <v>0.1</v>
      </c>
      <c r="P619" s="27" t="n">
        <v>2878</v>
      </c>
      <c r="Q619" s="27" t="n">
        <v>1500</v>
      </c>
      <c r="R619" s="27" t="n">
        <v>1378</v>
      </c>
      <c r="S619" s="7" t="s">
        <v>47</v>
      </c>
      <c r="T619" s="7" t="str">
        <f aca="false">IF(O619=0,"No discount",IF(O619&lt;=0.2,"Up to 20%","Above 20%"))</f>
        <v>Up to 20%</v>
      </c>
    </row>
    <row r="620" customFormat="false" ht="15" hidden="false" customHeight="true" outlineLevel="0" collapsed="false">
      <c r="A620" s="7" t="s">
        <v>1291</v>
      </c>
      <c r="B620" s="26" t="n">
        <v>45883</v>
      </c>
      <c r="C620" s="26" t="n">
        <v>45890</v>
      </c>
      <c r="D620" s="7" t="s">
        <v>524</v>
      </c>
      <c r="E620" s="7" t="s">
        <v>525</v>
      </c>
      <c r="F620" s="7" t="s">
        <v>159</v>
      </c>
      <c r="G620" s="7" t="s">
        <v>323</v>
      </c>
      <c r="H620" s="7" t="s">
        <v>324</v>
      </c>
      <c r="I620" s="7" t="s">
        <v>162</v>
      </c>
      <c r="J620" s="7" t="s">
        <v>185</v>
      </c>
      <c r="K620" s="7" t="s">
        <v>186</v>
      </c>
      <c r="L620" s="7" t="s">
        <v>187</v>
      </c>
      <c r="M620" s="7" t="n">
        <v>1</v>
      </c>
      <c r="N620" s="27" t="n">
        <v>3299</v>
      </c>
      <c r="O620" s="28" t="n">
        <v>0</v>
      </c>
      <c r="P620" s="27" t="n">
        <v>3299</v>
      </c>
      <c r="Q620" s="27" t="n">
        <v>1900</v>
      </c>
      <c r="R620" s="27" t="n">
        <v>1399</v>
      </c>
      <c r="S620" s="7" t="s">
        <v>60</v>
      </c>
      <c r="T620" s="7" t="str">
        <f aca="false">IF(O620=0,"No discount",IF(O620&lt;=0.2,"Up to 20%","Above 20%"))</f>
        <v>No discount</v>
      </c>
    </row>
    <row r="621" customFormat="false" ht="15" hidden="false" customHeight="true" outlineLevel="0" collapsed="false">
      <c r="A621" s="7" t="s">
        <v>1292</v>
      </c>
      <c r="B621" s="26" t="n">
        <v>45883</v>
      </c>
      <c r="C621" s="26" t="n">
        <v>45888</v>
      </c>
      <c r="D621" s="7" t="s">
        <v>375</v>
      </c>
      <c r="E621" s="7" t="s">
        <v>376</v>
      </c>
      <c r="F621" s="7" t="s">
        <v>159</v>
      </c>
      <c r="G621" s="7" t="s">
        <v>160</v>
      </c>
      <c r="H621" s="7" t="s">
        <v>269</v>
      </c>
      <c r="I621" s="7" t="s">
        <v>199</v>
      </c>
      <c r="J621" s="7" t="s">
        <v>398</v>
      </c>
      <c r="K621" s="7" t="s">
        <v>399</v>
      </c>
      <c r="L621" s="7" t="s">
        <v>400</v>
      </c>
      <c r="M621" s="7" t="n">
        <v>1</v>
      </c>
      <c r="N621" s="27" t="n">
        <v>749</v>
      </c>
      <c r="O621" s="28" t="n">
        <v>0.15</v>
      </c>
      <c r="P621" s="27" t="n">
        <v>637</v>
      </c>
      <c r="Q621" s="27" t="n">
        <v>350</v>
      </c>
      <c r="R621" s="27" t="n">
        <v>287</v>
      </c>
      <c r="S621" s="7" t="s">
        <v>60</v>
      </c>
      <c r="T621" s="7" t="str">
        <f aca="false">IF(O621=0,"No discount",IF(O621&lt;=0.2,"Up to 20%","Above 20%"))</f>
        <v>Up to 20%</v>
      </c>
    </row>
    <row r="622" customFormat="false" ht="15" hidden="false" customHeight="true" outlineLevel="0" collapsed="false">
      <c r="A622" s="7" t="s">
        <v>1293</v>
      </c>
      <c r="B622" s="26" t="n">
        <v>45883</v>
      </c>
      <c r="C622" s="26" t="n">
        <v>45890</v>
      </c>
      <c r="D622" s="7" t="s">
        <v>227</v>
      </c>
      <c r="E622" s="7" t="s">
        <v>228</v>
      </c>
      <c r="F622" s="7" t="s">
        <v>159</v>
      </c>
      <c r="G622" s="7" t="s">
        <v>169</v>
      </c>
      <c r="H622" s="7" t="s">
        <v>179</v>
      </c>
      <c r="I622" s="7" t="s">
        <v>171</v>
      </c>
      <c r="J622" s="7" t="s">
        <v>172</v>
      </c>
      <c r="K622" s="7" t="s">
        <v>180</v>
      </c>
      <c r="L622" s="7" t="s">
        <v>181</v>
      </c>
      <c r="M622" s="7" t="n">
        <v>2</v>
      </c>
      <c r="N622" s="27" t="n">
        <v>999</v>
      </c>
      <c r="O622" s="28" t="n">
        <v>0.2</v>
      </c>
      <c r="P622" s="27" t="n">
        <v>1598</v>
      </c>
      <c r="Q622" s="27" t="n">
        <v>1040</v>
      </c>
      <c r="R622" s="27" t="n">
        <v>558</v>
      </c>
      <c r="S622" s="7" t="s">
        <v>60</v>
      </c>
      <c r="T622" s="7" t="str">
        <f aca="false">IF(O622=0,"No discount",IF(O622&lt;=0.2,"Up to 20%","Above 20%"))</f>
        <v>Up to 20%</v>
      </c>
    </row>
    <row r="623" customFormat="false" ht="15" hidden="false" customHeight="true" outlineLevel="0" collapsed="false">
      <c r="A623" s="7" t="s">
        <v>1294</v>
      </c>
      <c r="B623" s="26" t="n">
        <v>45883</v>
      </c>
      <c r="C623" s="26" t="n">
        <v>45887</v>
      </c>
      <c r="D623" s="7" t="s">
        <v>255</v>
      </c>
      <c r="E623" s="7" t="s">
        <v>256</v>
      </c>
      <c r="F623" s="7" t="s">
        <v>159</v>
      </c>
      <c r="G623" s="7" t="s">
        <v>206</v>
      </c>
      <c r="H623" s="7" t="s">
        <v>207</v>
      </c>
      <c r="I623" s="7" t="s">
        <v>162</v>
      </c>
      <c r="J623" s="7" t="s">
        <v>185</v>
      </c>
      <c r="K623" s="7" t="s">
        <v>186</v>
      </c>
      <c r="L623" s="7" t="s">
        <v>187</v>
      </c>
      <c r="M623" s="7" t="n">
        <v>2</v>
      </c>
      <c r="N623" s="27" t="n">
        <v>3299</v>
      </c>
      <c r="O623" s="28" t="n">
        <v>0.4</v>
      </c>
      <c r="P623" s="27" t="n">
        <v>3959</v>
      </c>
      <c r="Q623" s="27" t="n">
        <v>3800</v>
      </c>
      <c r="R623" s="27" t="n">
        <v>159</v>
      </c>
      <c r="S623" s="7" t="s">
        <v>47</v>
      </c>
      <c r="T623" s="7" t="str">
        <f aca="false">IF(O623=0,"No discount",IF(O623&lt;=0.2,"Up to 20%","Above 20%"))</f>
        <v>Above 20%</v>
      </c>
    </row>
    <row r="624" customFormat="false" ht="15" hidden="false" customHeight="true" outlineLevel="0" collapsed="false">
      <c r="A624" s="7" t="s">
        <v>1295</v>
      </c>
      <c r="B624" s="26" t="n">
        <v>45884</v>
      </c>
      <c r="C624" s="26" t="n">
        <v>45887</v>
      </c>
      <c r="D624" s="7" t="s">
        <v>482</v>
      </c>
      <c r="E624" s="7" t="s">
        <v>483</v>
      </c>
      <c r="F624" s="7" t="s">
        <v>178</v>
      </c>
      <c r="G624" s="7" t="s">
        <v>160</v>
      </c>
      <c r="H624" s="7" t="s">
        <v>269</v>
      </c>
      <c r="I624" s="7" t="s">
        <v>282</v>
      </c>
      <c r="J624" s="7" t="s">
        <v>283</v>
      </c>
      <c r="K624" s="7" t="s">
        <v>284</v>
      </c>
      <c r="L624" s="7" t="s">
        <v>285</v>
      </c>
      <c r="M624" s="7" t="n">
        <v>2</v>
      </c>
      <c r="N624" s="27" t="n">
        <v>199</v>
      </c>
      <c r="O624" s="28" t="n">
        <v>0</v>
      </c>
      <c r="P624" s="27" t="n">
        <v>398</v>
      </c>
      <c r="Q624" s="27" t="n">
        <v>180</v>
      </c>
      <c r="R624" s="27" t="n">
        <v>218</v>
      </c>
      <c r="S624" s="7" t="s">
        <v>60</v>
      </c>
      <c r="T624" s="7" t="str">
        <f aca="false">IF(O624=0,"No discount",IF(O624&lt;=0.2,"Up to 20%","Above 20%"))</f>
        <v>No discount</v>
      </c>
    </row>
    <row r="625" customFormat="false" ht="15" hidden="false" customHeight="true" outlineLevel="0" collapsed="false">
      <c r="A625" s="7" t="s">
        <v>1296</v>
      </c>
      <c r="B625" s="26" t="n">
        <v>45884</v>
      </c>
      <c r="C625" s="26" t="n">
        <v>45885</v>
      </c>
      <c r="D625" s="7" t="s">
        <v>815</v>
      </c>
      <c r="E625" s="7" t="s">
        <v>816</v>
      </c>
      <c r="F625" s="7" t="s">
        <v>219</v>
      </c>
      <c r="G625" s="7" t="s">
        <v>160</v>
      </c>
      <c r="H625" s="7" t="s">
        <v>269</v>
      </c>
      <c r="I625" s="7" t="s">
        <v>208</v>
      </c>
      <c r="J625" s="7" t="s">
        <v>232</v>
      </c>
      <c r="K625" s="7" t="s">
        <v>233</v>
      </c>
      <c r="L625" s="7" t="s">
        <v>234</v>
      </c>
      <c r="M625" s="7" t="n">
        <v>3</v>
      </c>
      <c r="N625" s="27" t="n">
        <v>7999</v>
      </c>
      <c r="O625" s="28" t="n">
        <v>0.05</v>
      </c>
      <c r="P625" s="27" t="n">
        <v>22797</v>
      </c>
      <c r="Q625" s="27" t="n">
        <v>16800</v>
      </c>
      <c r="R625" s="27" t="n">
        <v>5997</v>
      </c>
      <c r="S625" s="7" t="s">
        <v>60</v>
      </c>
      <c r="T625" s="7" t="str">
        <f aca="false">IF(O625=0,"No discount",IF(O625&lt;=0.2,"Up to 20%","Above 20%"))</f>
        <v>Up to 20%</v>
      </c>
    </row>
    <row r="626" customFormat="false" ht="15" hidden="false" customHeight="true" outlineLevel="0" collapsed="false">
      <c r="A626" s="7" t="s">
        <v>1297</v>
      </c>
      <c r="B626" s="26" t="n">
        <v>45885</v>
      </c>
      <c r="C626" s="26" t="n">
        <v>45886</v>
      </c>
      <c r="D626" s="7" t="s">
        <v>333</v>
      </c>
      <c r="E626" s="7" t="s">
        <v>334</v>
      </c>
      <c r="F626" s="7" t="s">
        <v>159</v>
      </c>
      <c r="G626" s="7" t="s">
        <v>160</v>
      </c>
      <c r="H626" s="7" t="s">
        <v>263</v>
      </c>
      <c r="I626" s="7" t="s">
        <v>171</v>
      </c>
      <c r="J626" s="7" t="s">
        <v>172</v>
      </c>
      <c r="K626" s="7" t="s">
        <v>593</v>
      </c>
      <c r="L626" s="7" t="s">
        <v>594</v>
      </c>
      <c r="M626" s="7" t="n">
        <v>1</v>
      </c>
      <c r="N626" s="27" t="n">
        <v>1199</v>
      </c>
      <c r="O626" s="28" t="n">
        <v>0</v>
      </c>
      <c r="P626" s="27" t="n">
        <v>1199</v>
      </c>
      <c r="Q626" s="27" t="n">
        <v>650</v>
      </c>
      <c r="R626" s="27" t="n">
        <v>549</v>
      </c>
      <c r="S626" s="7" t="s">
        <v>60</v>
      </c>
      <c r="T626" s="7" t="str">
        <f aca="false">IF(O626=0,"No discount",IF(O626&lt;=0.2,"Up to 20%","Above 20%"))</f>
        <v>No discount</v>
      </c>
    </row>
    <row r="627" customFormat="false" ht="15" hidden="false" customHeight="true" outlineLevel="0" collapsed="false">
      <c r="A627" s="7" t="s">
        <v>1298</v>
      </c>
      <c r="B627" s="26" t="n">
        <v>45885</v>
      </c>
      <c r="C627" s="26" t="n">
        <v>45889</v>
      </c>
      <c r="D627" s="7" t="s">
        <v>567</v>
      </c>
      <c r="E627" s="7" t="s">
        <v>568</v>
      </c>
      <c r="F627" s="7" t="s">
        <v>159</v>
      </c>
      <c r="G627" s="7" t="s">
        <v>169</v>
      </c>
      <c r="H627" s="7" t="s">
        <v>179</v>
      </c>
      <c r="I627" s="7" t="s">
        <v>171</v>
      </c>
      <c r="J627" s="7" t="s">
        <v>304</v>
      </c>
      <c r="K627" s="7" t="s">
        <v>305</v>
      </c>
      <c r="L627" s="7" t="s">
        <v>306</v>
      </c>
      <c r="M627" s="7" t="n">
        <v>1</v>
      </c>
      <c r="N627" s="27" t="n">
        <v>2999</v>
      </c>
      <c r="O627" s="28" t="n">
        <v>0.05</v>
      </c>
      <c r="P627" s="27" t="n">
        <v>2849</v>
      </c>
      <c r="Q627" s="27" t="n">
        <v>2000</v>
      </c>
      <c r="R627" s="27" t="n">
        <v>849</v>
      </c>
      <c r="S627" s="7" t="s">
        <v>60</v>
      </c>
      <c r="T627" s="7" t="str">
        <f aca="false">IF(O627=0,"No discount",IF(O627&lt;=0.2,"Up to 20%","Above 20%"))</f>
        <v>Up to 20%</v>
      </c>
    </row>
    <row r="628" customFormat="false" ht="15" hidden="false" customHeight="true" outlineLevel="0" collapsed="false">
      <c r="A628" s="7" t="s">
        <v>1299</v>
      </c>
      <c r="B628" s="26" t="n">
        <v>45886</v>
      </c>
      <c r="C628" s="26" t="n">
        <v>45887</v>
      </c>
      <c r="D628" s="7" t="s">
        <v>837</v>
      </c>
      <c r="E628" s="7" t="s">
        <v>838</v>
      </c>
      <c r="F628" s="7" t="s">
        <v>178</v>
      </c>
      <c r="G628" s="7" t="s">
        <v>206</v>
      </c>
      <c r="H628" s="7" t="s">
        <v>207</v>
      </c>
      <c r="I628" s="7" t="s">
        <v>208</v>
      </c>
      <c r="J628" s="7" t="s">
        <v>232</v>
      </c>
      <c r="K628" s="7" t="s">
        <v>233</v>
      </c>
      <c r="L628" s="7" t="s">
        <v>234</v>
      </c>
      <c r="M628" s="7" t="n">
        <v>1</v>
      </c>
      <c r="N628" s="27" t="n">
        <v>7999</v>
      </c>
      <c r="O628" s="28" t="n">
        <v>0.05</v>
      </c>
      <c r="P628" s="27" t="n">
        <v>7599</v>
      </c>
      <c r="Q628" s="27" t="n">
        <v>5600</v>
      </c>
      <c r="R628" s="27" t="n">
        <v>1999</v>
      </c>
      <c r="S628" s="7" t="s">
        <v>60</v>
      </c>
      <c r="T628" s="7" t="str">
        <f aca="false">IF(O628=0,"No discount",IF(O628&lt;=0.2,"Up to 20%","Above 20%"))</f>
        <v>Up to 20%</v>
      </c>
    </row>
    <row r="629" customFormat="false" ht="15" hidden="false" customHeight="true" outlineLevel="0" collapsed="false">
      <c r="A629" s="7" t="s">
        <v>1300</v>
      </c>
      <c r="B629" s="26" t="n">
        <v>45886</v>
      </c>
      <c r="C629" s="26" t="n">
        <v>45893</v>
      </c>
      <c r="D629" s="7" t="s">
        <v>176</v>
      </c>
      <c r="E629" s="7" t="s">
        <v>177</v>
      </c>
      <c r="F629" s="7" t="s">
        <v>178</v>
      </c>
      <c r="G629" s="7" t="s">
        <v>169</v>
      </c>
      <c r="H629" s="7" t="s">
        <v>179</v>
      </c>
      <c r="I629" s="7" t="s">
        <v>192</v>
      </c>
      <c r="J629" s="7" t="s">
        <v>213</v>
      </c>
      <c r="K629" s="7" t="s">
        <v>264</v>
      </c>
      <c r="L629" s="7" t="s">
        <v>265</v>
      </c>
      <c r="M629" s="7" t="n">
        <v>1</v>
      </c>
      <c r="N629" s="27" t="n">
        <v>2499</v>
      </c>
      <c r="O629" s="28" t="n">
        <v>0.4</v>
      </c>
      <c r="P629" s="27" t="n">
        <v>1499</v>
      </c>
      <c r="Q629" s="27" t="n">
        <v>1700</v>
      </c>
      <c r="R629" s="27" t="n">
        <v>-201</v>
      </c>
      <c r="S629" s="7" t="s">
        <v>60</v>
      </c>
      <c r="T629" s="7" t="str">
        <f aca="false">IF(O629=0,"No discount",IF(O629&lt;=0.2,"Up to 20%","Above 20%"))</f>
        <v>Above 20%</v>
      </c>
    </row>
    <row r="630" customFormat="false" ht="15" hidden="false" customHeight="true" outlineLevel="0" collapsed="false">
      <c r="A630" s="7" t="s">
        <v>1301</v>
      </c>
      <c r="B630" s="26" t="n">
        <v>45886</v>
      </c>
      <c r="C630" s="26" t="n">
        <v>45892</v>
      </c>
      <c r="D630" s="7" t="s">
        <v>447</v>
      </c>
      <c r="E630" s="7" t="s">
        <v>448</v>
      </c>
      <c r="F630" s="7" t="s">
        <v>159</v>
      </c>
      <c r="G630" s="7" t="s">
        <v>206</v>
      </c>
      <c r="H630" s="7" t="s">
        <v>207</v>
      </c>
      <c r="I630" s="7" t="s">
        <v>208</v>
      </c>
      <c r="J630" s="7" t="s">
        <v>209</v>
      </c>
      <c r="K630" s="7" t="s">
        <v>641</v>
      </c>
      <c r="L630" s="7" t="s">
        <v>642</v>
      </c>
      <c r="M630" s="7" t="n">
        <v>2</v>
      </c>
      <c r="N630" s="27" t="n">
        <v>1499</v>
      </c>
      <c r="O630" s="28" t="n">
        <v>0</v>
      </c>
      <c r="P630" s="27" t="n">
        <v>2998</v>
      </c>
      <c r="Q630" s="27" t="n">
        <v>1800</v>
      </c>
      <c r="R630" s="27" t="n">
        <v>1198</v>
      </c>
      <c r="S630" s="7" t="s">
        <v>60</v>
      </c>
      <c r="T630" s="7" t="str">
        <f aca="false">IF(O630=0,"No discount",IF(O630&lt;=0.2,"Up to 20%","Above 20%"))</f>
        <v>No discount</v>
      </c>
    </row>
    <row r="631" customFormat="false" ht="15" hidden="false" customHeight="true" outlineLevel="0" collapsed="false">
      <c r="A631" s="7" t="s">
        <v>1302</v>
      </c>
      <c r="B631" s="26" t="n">
        <v>45886</v>
      </c>
      <c r="C631" s="26" t="n">
        <v>45893</v>
      </c>
      <c r="D631" s="7" t="s">
        <v>333</v>
      </c>
      <c r="E631" s="7" t="s">
        <v>334</v>
      </c>
      <c r="F631" s="7" t="s">
        <v>159</v>
      </c>
      <c r="G631" s="7" t="s">
        <v>160</v>
      </c>
      <c r="H631" s="7" t="s">
        <v>263</v>
      </c>
      <c r="I631" s="7" t="s">
        <v>192</v>
      </c>
      <c r="J631" s="7" t="s">
        <v>502</v>
      </c>
      <c r="K631" s="7" t="s">
        <v>526</v>
      </c>
      <c r="L631" s="7" t="s">
        <v>527</v>
      </c>
      <c r="M631" s="7" t="n">
        <v>3</v>
      </c>
      <c r="N631" s="27" t="n">
        <v>6499</v>
      </c>
      <c r="O631" s="28" t="n">
        <v>0.3</v>
      </c>
      <c r="P631" s="27" t="n">
        <v>13648</v>
      </c>
      <c r="Q631" s="27" t="n">
        <v>15000</v>
      </c>
      <c r="R631" s="27" t="n">
        <v>-1352</v>
      </c>
      <c r="S631" s="7" t="s">
        <v>60</v>
      </c>
      <c r="T631" s="7" t="str">
        <f aca="false">IF(O631=0,"No discount",IF(O631&lt;=0.2,"Up to 20%","Above 20%"))</f>
        <v>Above 20%</v>
      </c>
    </row>
    <row r="632" customFormat="false" ht="15" hidden="false" customHeight="true" outlineLevel="0" collapsed="false">
      <c r="A632" s="7" t="s">
        <v>1303</v>
      </c>
      <c r="B632" s="26" t="n">
        <v>45886</v>
      </c>
      <c r="C632" s="26" t="n">
        <v>45892</v>
      </c>
      <c r="D632" s="7" t="s">
        <v>781</v>
      </c>
      <c r="E632" s="7" t="s">
        <v>782</v>
      </c>
      <c r="F632" s="7" t="s">
        <v>219</v>
      </c>
      <c r="G632" s="7" t="s">
        <v>160</v>
      </c>
      <c r="H632" s="7" t="s">
        <v>269</v>
      </c>
      <c r="I632" s="7" t="s">
        <v>199</v>
      </c>
      <c r="J632" s="7" t="s">
        <v>398</v>
      </c>
      <c r="K632" s="7" t="s">
        <v>399</v>
      </c>
      <c r="L632" s="7" t="s">
        <v>400</v>
      </c>
      <c r="M632" s="7" t="n">
        <v>2</v>
      </c>
      <c r="N632" s="27" t="n">
        <v>749</v>
      </c>
      <c r="O632" s="28" t="n">
        <v>0.1</v>
      </c>
      <c r="P632" s="27" t="n">
        <v>1348</v>
      </c>
      <c r="Q632" s="27" t="n">
        <v>700</v>
      </c>
      <c r="R632" s="27" t="n">
        <v>648</v>
      </c>
      <c r="S632" s="7" t="s">
        <v>60</v>
      </c>
      <c r="T632" s="7" t="str">
        <f aca="false">IF(O632=0,"No discount",IF(O632&lt;=0.2,"Up to 20%","Above 20%"))</f>
        <v>Up to 20%</v>
      </c>
    </row>
    <row r="633" customFormat="false" ht="15" hidden="false" customHeight="true" outlineLevel="0" collapsed="false">
      <c r="A633" s="7" t="s">
        <v>1304</v>
      </c>
      <c r="B633" s="26" t="n">
        <v>45886</v>
      </c>
      <c r="C633" s="26" t="n">
        <v>45887</v>
      </c>
      <c r="D633" s="7" t="s">
        <v>244</v>
      </c>
      <c r="E633" s="7" t="s">
        <v>245</v>
      </c>
      <c r="F633" s="7" t="s">
        <v>178</v>
      </c>
      <c r="G633" s="7" t="s">
        <v>206</v>
      </c>
      <c r="H633" s="7" t="s">
        <v>207</v>
      </c>
      <c r="I633" s="7" t="s">
        <v>171</v>
      </c>
      <c r="J633" s="7" t="s">
        <v>314</v>
      </c>
      <c r="K633" s="7" t="s">
        <v>315</v>
      </c>
      <c r="L633" s="7" t="s">
        <v>316</v>
      </c>
      <c r="M633" s="7" t="n">
        <v>2</v>
      </c>
      <c r="N633" s="27" t="n">
        <v>1299</v>
      </c>
      <c r="O633" s="28" t="n">
        <v>0.05</v>
      </c>
      <c r="P633" s="27" t="n">
        <v>2468</v>
      </c>
      <c r="Q633" s="27" t="n">
        <v>1400</v>
      </c>
      <c r="R633" s="27" t="n">
        <v>1068</v>
      </c>
      <c r="S633" s="7" t="s">
        <v>60</v>
      </c>
      <c r="T633" s="7" t="str">
        <f aca="false">IF(O633=0,"No discount",IF(O633&lt;=0.2,"Up to 20%","Above 20%"))</f>
        <v>Up to 20%</v>
      </c>
    </row>
    <row r="634" customFormat="false" ht="15" hidden="false" customHeight="true" outlineLevel="0" collapsed="false">
      <c r="A634" s="7" t="s">
        <v>1305</v>
      </c>
      <c r="B634" s="26" t="n">
        <v>45887</v>
      </c>
      <c r="C634" s="26" t="n">
        <v>45890</v>
      </c>
      <c r="D634" s="7" t="s">
        <v>469</v>
      </c>
      <c r="E634" s="7" t="s">
        <v>470</v>
      </c>
      <c r="F634" s="7" t="s">
        <v>219</v>
      </c>
      <c r="G634" s="7" t="s">
        <v>160</v>
      </c>
      <c r="H634" s="7" t="s">
        <v>269</v>
      </c>
      <c r="I634" s="7" t="s">
        <v>208</v>
      </c>
      <c r="J634" s="7" t="s">
        <v>209</v>
      </c>
      <c r="K634" s="7" t="s">
        <v>238</v>
      </c>
      <c r="L634" s="7" t="s">
        <v>239</v>
      </c>
      <c r="M634" s="7" t="n">
        <v>2</v>
      </c>
      <c r="N634" s="27" t="n">
        <v>2199</v>
      </c>
      <c r="O634" s="28" t="n">
        <v>0</v>
      </c>
      <c r="P634" s="27" t="n">
        <v>4398</v>
      </c>
      <c r="Q634" s="27" t="n">
        <v>2800</v>
      </c>
      <c r="R634" s="27" t="n">
        <v>1598</v>
      </c>
      <c r="S634" s="7" t="s">
        <v>60</v>
      </c>
      <c r="T634" s="7" t="str">
        <f aca="false">IF(O634=0,"No discount",IF(O634&lt;=0.2,"Up to 20%","Above 20%"))</f>
        <v>No discount</v>
      </c>
    </row>
    <row r="635" customFormat="false" ht="15" hidden="false" customHeight="true" outlineLevel="0" collapsed="false">
      <c r="A635" s="7" t="s">
        <v>1306</v>
      </c>
      <c r="B635" s="26" t="n">
        <v>45888</v>
      </c>
      <c r="C635" s="26" t="n">
        <v>45892</v>
      </c>
      <c r="D635" s="7" t="s">
        <v>1288</v>
      </c>
      <c r="E635" s="7" t="s">
        <v>1289</v>
      </c>
      <c r="F635" s="7" t="s">
        <v>178</v>
      </c>
      <c r="G635" s="7" t="s">
        <v>160</v>
      </c>
      <c r="H635" s="7" t="s">
        <v>269</v>
      </c>
      <c r="I635" s="7" t="s">
        <v>162</v>
      </c>
      <c r="J635" s="7" t="s">
        <v>185</v>
      </c>
      <c r="K635" s="7" t="s">
        <v>186</v>
      </c>
      <c r="L635" s="7" t="s">
        <v>187</v>
      </c>
      <c r="M635" s="7" t="n">
        <v>4</v>
      </c>
      <c r="N635" s="27" t="n">
        <v>3299</v>
      </c>
      <c r="O635" s="28" t="n">
        <v>0.4</v>
      </c>
      <c r="P635" s="27" t="n">
        <v>7918</v>
      </c>
      <c r="Q635" s="27" t="n">
        <v>7600</v>
      </c>
      <c r="R635" s="27" t="n">
        <v>318</v>
      </c>
      <c r="S635" s="7" t="s">
        <v>60</v>
      </c>
      <c r="T635" s="7" t="str">
        <f aca="false">IF(O635=0,"No discount",IF(O635&lt;=0.2,"Up to 20%","Above 20%"))</f>
        <v>Above 20%</v>
      </c>
    </row>
    <row r="636" customFormat="false" ht="15" hidden="false" customHeight="true" outlineLevel="0" collapsed="false">
      <c r="A636" s="7" t="s">
        <v>1307</v>
      </c>
      <c r="B636" s="26" t="n">
        <v>45888</v>
      </c>
      <c r="C636" s="26" t="n">
        <v>45892</v>
      </c>
      <c r="D636" s="7" t="s">
        <v>438</v>
      </c>
      <c r="E636" s="7" t="s">
        <v>439</v>
      </c>
      <c r="F636" s="7" t="s">
        <v>159</v>
      </c>
      <c r="G636" s="7" t="s">
        <v>323</v>
      </c>
      <c r="H636" s="7" t="s">
        <v>324</v>
      </c>
      <c r="I636" s="7" t="s">
        <v>208</v>
      </c>
      <c r="J636" s="7" t="s">
        <v>232</v>
      </c>
      <c r="K636" s="7" t="s">
        <v>671</v>
      </c>
      <c r="L636" s="7" t="s">
        <v>672</v>
      </c>
      <c r="M636" s="7" t="n">
        <v>1</v>
      </c>
      <c r="N636" s="27" t="n">
        <v>3299</v>
      </c>
      <c r="O636" s="28" t="n">
        <v>0.1</v>
      </c>
      <c r="P636" s="27" t="n">
        <v>2969</v>
      </c>
      <c r="Q636" s="27" t="n">
        <v>2100</v>
      </c>
      <c r="R636" s="27" t="n">
        <v>869</v>
      </c>
      <c r="S636" s="7" t="s">
        <v>60</v>
      </c>
      <c r="T636" s="7" t="str">
        <f aca="false">IF(O636=0,"No discount",IF(O636&lt;=0.2,"Up to 20%","Above 20%"))</f>
        <v>Up to 20%</v>
      </c>
    </row>
    <row r="637" customFormat="false" ht="15" hidden="false" customHeight="true" outlineLevel="0" collapsed="false">
      <c r="A637" s="7" t="s">
        <v>1308</v>
      </c>
      <c r="B637" s="26" t="n">
        <v>45889</v>
      </c>
      <c r="C637" s="26" t="n">
        <v>45892</v>
      </c>
      <c r="D637" s="7" t="s">
        <v>244</v>
      </c>
      <c r="E637" s="7" t="s">
        <v>245</v>
      </c>
      <c r="F637" s="7" t="s">
        <v>178</v>
      </c>
      <c r="G637" s="7" t="s">
        <v>206</v>
      </c>
      <c r="H637" s="7" t="s">
        <v>207</v>
      </c>
      <c r="I637" s="7" t="s">
        <v>199</v>
      </c>
      <c r="J637" s="7" t="s">
        <v>398</v>
      </c>
      <c r="K637" s="7" t="s">
        <v>399</v>
      </c>
      <c r="L637" s="7" t="s">
        <v>400</v>
      </c>
      <c r="M637" s="7" t="n">
        <v>3</v>
      </c>
      <c r="N637" s="27" t="n">
        <v>749</v>
      </c>
      <c r="O637" s="28" t="n">
        <v>0.15</v>
      </c>
      <c r="P637" s="27" t="n">
        <v>1910</v>
      </c>
      <c r="Q637" s="27" t="n">
        <v>1050</v>
      </c>
      <c r="R637" s="27" t="n">
        <v>860</v>
      </c>
      <c r="S637" s="7" t="s">
        <v>60</v>
      </c>
      <c r="T637" s="7" t="str">
        <f aca="false">IF(O637=0,"No discount",IF(O637&lt;=0.2,"Up to 20%","Above 20%"))</f>
        <v>Up to 20%</v>
      </c>
    </row>
    <row r="638" customFormat="false" ht="15" hidden="false" customHeight="true" outlineLevel="0" collapsed="false">
      <c r="A638" s="7" t="s">
        <v>1309</v>
      </c>
      <c r="B638" s="26" t="n">
        <v>45889</v>
      </c>
      <c r="C638" s="26" t="n">
        <v>45895</v>
      </c>
      <c r="D638" s="7" t="s">
        <v>818</v>
      </c>
      <c r="E638" s="7" t="s">
        <v>819</v>
      </c>
      <c r="F638" s="7" t="s">
        <v>159</v>
      </c>
      <c r="G638" s="7" t="s">
        <v>206</v>
      </c>
      <c r="H638" s="7" t="s">
        <v>207</v>
      </c>
      <c r="I638" s="7" t="s">
        <v>162</v>
      </c>
      <c r="J638" s="7" t="s">
        <v>185</v>
      </c>
      <c r="K638" s="7" t="s">
        <v>186</v>
      </c>
      <c r="L638" s="7" t="s">
        <v>187</v>
      </c>
      <c r="M638" s="7" t="n">
        <v>2</v>
      </c>
      <c r="N638" s="27" t="n">
        <v>3299</v>
      </c>
      <c r="O638" s="28" t="n">
        <v>0.5</v>
      </c>
      <c r="P638" s="27" t="n">
        <v>3299</v>
      </c>
      <c r="Q638" s="27" t="n">
        <v>3800</v>
      </c>
      <c r="R638" s="27" t="n">
        <v>-501</v>
      </c>
      <c r="S638" s="7" t="s">
        <v>60</v>
      </c>
      <c r="T638" s="7" t="str">
        <f aca="false">IF(O638=0,"No discount",IF(O638&lt;=0.2,"Up to 20%","Above 20%"))</f>
        <v>Above 20%</v>
      </c>
    </row>
    <row r="639" customFormat="false" ht="15" hidden="false" customHeight="true" outlineLevel="0" collapsed="false">
      <c r="A639" s="7" t="s">
        <v>1310</v>
      </c>
      <c r="B639" s="26" t="n">
        <v>45889</v>
      </c>
      <c r="C639" s="26" t="n">
        <v>45890</v>
      </c>
      <c r="D639" s="7" t="s">
        <v>447</v>
      </c>
      <c r="E639" s="7" t="s">
        <v>448</v>
      </c>
      <c r="F639" s="7" t="s">
        <v>159</v>
      </c>
      <c r="G639" s="7" t="s">
        <v>206</v>
      </c>
      <c r="H639" s="7" t="s">
        <v>207</v>
      </c>
      <c r="I639" s="7" t="s">
        <v>282</v>
      </c>
      <c r="J639" s="7" t="s">
        <v>283</v>
      </c>
      <c r="K639" s="7" t="s">
        <v>284</v>
      </c>
      <c r="L639" s="7" t="s">
        <v>285</v>
      </c>
      <c r="M639" s="7" t="n">
        <v>3</v>
      </c>
      <c r="N639" s="27" t="n">
        <v>199</v>
      </c>
      <c r="O639" s="28" t="n">
        <v>0.1</v>
      </c>
      <c r="P639" s="27" t="n">
        <v>537</v>
      </c>
      <c r="Q639" s="27" t="n">
        <v>270</v>
      </c>
      <c r="R639" s="27" t="n">
        <v>267</v>
      </c>
      <c r="S639" s="7" t="s">
        <v>47</v>
      </c>
      <c r="T639" s="7" t="str">
        <f aca="false">IF(O639=0,"No discount",IF(O639&lt;=0.2,"Up to 20%","Above 20%"))</f>
        <v>Up to 20%</v>
      </c>
    </row>
    <row r="640" customFormat="false" ht="15" hidden="false" customHeight="true" outlineLevel="0" collapsed="false">
      <c r="A640" s="7" t="s">
        <v>1311</v>
      </c>
      <c r="B640" s="26" t="n">
        <v>45889</v>
      </c>
      <c r="C640" s="26" t="n">
        <v>45895</v>
      </c>
      <c r="D640" s="7" t="s">
        <v>1312</v>
      </c>
      <c r="E640" s="7" t="s">
        <v>1313</v>
      </c>
      <c r="F640" s="7" t="s">
        <v>159</v>
      </c>
      <c r="G640" s="7" t="s">
        <v>160</v>
      </c>
      <c r="H640" s="7" t="s">
        <v>161</v>
      </c>
      <c r="I640" s="7" t="s">
        <v>199</v>
      </c>
      <c r="J640" s="7" t="s">
        <v>292</v>
      </c>
      <c r="K640" s="7" t="s">
        <v>293</v>
      </c>
      <c r="L640" s="7" t="s">
        <v>294</v>
      </c>
      <c r="M640" s="7" t="n">
        <v>2</v>
      </c>
      <c r="N640" s="27" t="n">
        <v>1599</v>
      </c>
      <c r="O640" s="28" t="n">
        <v>0.2</v>
      </c>
      <c r="P640" s="27" t="n">
        <v>2558</v>
      </c>
      <c r="Q640" s="27" t="n">
        <v>1500</v>
      </c>
      <c r="R640" s="27" t="n">
        <v>1058</v>
      </c>
      <c r="S640" s="7" t="s">
        <v>60</v>
      </c>
      <c r="T640" s="7" t="str">
        <f aca="false">IF(O640=0,"No discount",IF(O640&lt;=0.2,"Up to 20%","Above 20%"))</f>
        <v>Up to 20%</v>
      </c>
    </row>
    <row r="641" customFormat="false" ht="15" hidden="false" customHeight="true" outlineLevel="0" collapsed="false">
      <c r="A641" s="7" t="s">
        <v>1314</v>
      </c>
      <c r="B641" s="26" t="n">
        <v>45890</v>
      </c>
      <c r="C641" s="26" t="n">
        <v>45896</v>
      </c>
      <c r="D641" s="7" t="s">
        <v>746</v>
      </c>
      <c r="E641" s="7" t="s">
        <v>747</v>
      </c>
      <c r="F641" s="7" t="s">
        <v>159</v>
      </c>
      <c r="G641" s="7" t="s">
        <v>160</v>
      </c>
      <c r="H641" s="7" t="s">
        <v>269</v>
      </c>
      <c r="I641" s="7" t="s">
        <v>171</v>
      </c>
      <c r="J641" s="7" t="s">
        <v>304</v>
      </c>
      <c r="K641" s="7" t="s">
        <v>305</v>
      </c>
      <c r="L641" s="7" t="s">
        <v>306</v>
      </c>
      <c r="M641" s="7" t="n">
        <v>3</v>
      </c>
      <c r="N641" s="27" t="n">
        <v>2999</v>
      </c>
      <c r="O641" s="28" t="n">
        <v>0.2</v>
      </c>
      <c r="P641" s="27" t="n">
        <v>7198</v>
      </c>
      <c r="Q641" s="27" t="n">
        <v>6000</v>
      </c>
      <c r="R641" s="27" t="n">
        <v>1198</v>
      </c>
      <c r="S641" s="7" t="s">
        <v>60</v>
      </c>
      <c r="T641" s="7" t="str">
        <f aca="false">IF(O641=0,"No discount",IF(O641&lt;=0.2,"Up to 20%","Above 20%"))</f>
        <v>Up to 20%</v>
      </c>
    </row>
    <row r="642" customFormat="false" ht="15" hidden="false" customHeight="true" outlineLevel="0" collapsed="false">
      <c r="A642" s="7" t="s">
        <v>1315</v>
      </c>
      <c r="B642" s="26" t="n">
        <v>45890</v>
      </c>
      <c r="C642" s="26" t="n">
        <v>45897</v>
      </c>
      <c r="D642" s="7" t="s">
        <v>244</v>
      </c>
      <c r="E642" s="7" t="s">
        <v>245</v>
      </c>
      <c r="F642" s="7" t="s">
        <v>178</v>
      </c>
      <c r="G642" s="7" t="s">
        <v>206</v>
      </c>
      <c r="H642" s="7" t="s">
        <v>207</v>
      </c>
      <c r="I642" s="7" t="s">
        <v>282</v>
      </c>
      <c r="J642" s="7" t="s">
        <v>427</v>
      </c>
      <c r="K642" s="7" t="s">
        <v>428</v>
      </c>
      <c r="L642" s="7" t="s">
        <v>429</v>
      </c>
      <c r="M642" s="7" t="n">
        <v>1</v>
      </c>
      <c r="N642" s="27" t="n">
        <v>149</v>
      </c>
      <c r="O642" s="28" t="n">
        <v>0.05</v>
      </c>
      <c r="P642" s="27" t="n">
        <v>142</v>
      </c>
      <c r="Q642" s="27" t="n">
        <v>70</v>
      </c>
      <c r="R642" s="27" t="n">
        <v>72</v>
      </c>
      <c r="S642" s="7" t="s">
        <v>60</v>
      </c>
      <c r="T642" s="7" t="str">
        <f aca="false">IF(O642=0,"No discount",IF(O642&lt;=0.2,"Up to 20%","Above 20%"))</f>
        <v>Up to 20%</v>
      </c>
    </row>
    <row r="643" customFormat="false" ht="15" hidden="false" customHeight="true" outlineLevel="0" collapsed="false">
      <c r="A643" s="7" t="s">
        <v>1316</v>
      </c>
      <c r="B643" s="26" t="n">
        <v>45890</v>
      </c>
      <c r="C643" s="26" t="n">
        <v>45893</v>
      </c>
      <c r="D643" s="7" t="s">
        <v>459</v>
      </c>
      <c r="E643" s="7" t="s">
        <v>460</v>
      </c>
      <c r="F643" s="7" t="s">
        <v>219</v>
      </c>
      <c r="G643" s="7" t="s">
        <v>160</v>
      </c>
      <c r="H643" s="7" t="s">
        <v>269</v>
      </c>
      <c r="I643" s="7" t="s">
        <v>171</v>
      </c>
      <c r="J643" s="7" t="s">
        <v>172</v>
      </c>
      <c r="K643" s="7" t="s">
        <v>173</v>
      </c>
      <c r="L643" s="7" t="s">
        <v>174</v>
      </c>
      <c r="M643" s="7" t="n">
        <v>1</v>
      </c>
      <c r="N643" s="27" t="n">
        <v>699</v>
      </c>
      <c r="O643" s="28" t="n">
        <v>0.1</v>
      </c>
      <c r="P643" s="27" t="n">
        <v>629</v>
      </c>
      <c r="Q643" s="27" t="n">
        <v>320</v>
      </c>
      <c r="R643" s="27" t="n">
        <v>309</v>
      </c>
      <c r="S643" s="7" t="s">
        <v>60</v>
      </c>
      <c r="T643" s="7" t="str">
        <f aca="false">IF(O643=0,"No discount",IF(O643&lt;=0.2,"Up to 20%","Above 20%"))</f>
        <v>Up to 20%</v>
      </c>
    </row>
    <row r="644" customFormat="false" ht="15" hidden="false" customHeight="true" outlineLevel="0" collapsed="false">
      <c r="A644" s="7" t="s">
        <v>1317</v>
      </c>
      <c r="B644" s="26" t="n">
        <v>45891</v>
      </c>
      <c r="C644" s="26" t="n">
        <v>45894</v>
      </c>
      <c r="D644" s="7" t="s">
        <v>789</v>
      </c>
      <c r="E644" s="7" t="s">
        <v>790</v>
      </c>
      <c r="F644" s="7" t="s">
        <v>159</v>
      </c>
      <c r="G644" s="7" t="s">
        <v>160</v>
      </c>
      <c r="H644" s="7" t="s">
        <v>161</v>
      </c>
      <c r="I644" s="7" t="s">
        <v>192</v>
      </c>
      <c r="J644" s="7" t="s">
        <v>502</v>
      </c>
      <c r="K644" s="7" t="s">
        <v>526</v>
      </c>
      <c r="L644" s="7" t="s">
        <v>527</v>
      </c>
      <c r="M644" s="7" t="n">
        <v>1</v>
      </c>
      <c r="N644" s="27" t="n">
        <v>6499</v>
      </c>
      <c r="O644" s="28" t="n">
        <v>0.2</v>
      </c>
      <c r="P644" s="27" t="n">
        <v>5199</v>
      </c>
      <c r="Q644" s="27" t="n">
        <v>5000</v>
      </c>
      <c r="R644" s="27" t="n">
        <v>199</v>
      </c>
      <c r="S644" s="7" t="s">
        <v>60</v>
      </c>
      <c r="T644" s="7" t="str">
        <f aca="false">IF(O644=0,"No discount",IF(O644&lt;=0.2,"Up to 20%","Above 20%"))</f>
        <v>Up to 20%</v>
      </c>
    </row>
    <row r="645" customFormat="false" ht="15" hidden="false" customHeight="true" outlineLevel="0" collapsed="false">
      <c r="A645" s="7" t="s">
        <v>1318</v>
      </c>
      <c r="B645" s="26" t="n">
        <v>45891</v>
      </c>
      <c r="C645" s="26" t="n">
        <v>45896</v>
      </c>
      <c r="D645" s="7" t="s">
        <v>1203</v>
      </c>
      <c r="E645" s="7" t="s">
        <v>1204</v>
      </c>
      <c r="F645" s="7" t="s">
        <v>219</v>
      </c>
      <c r="G645" s="7" t="s">
        <v>323</v>
      </c>
      <c r="H645" s="7" t="s">
        <v>324</v>
      </c>
      <c r="I645" s="7" t="s">
        <v>208</v>
      </c>
      <c r="J645" s="7" t="s">
        <v>209</v>
      </c>
      <c r="K645" s="7" t="s">
        <v>637</v>
      </c>
      <c r="L645" s="7" t="s">
        <v>638</v>
      </c>
      <c r="M645" s="7" t="n">
        <v>3</v>
      </c>
      <c r="N645" s="27" t="n">
        <v>899</v>
      </c>
      <c r="O645" s="28" t="n">
        <v>0</v>
      </c>
      <c r="P645" s="27" t="n">
        <v>2697</v>
      </c>
      <c r="Q645" s="27" t="n">
        <v>1440</v>
      </c>
      <c r="R645" s="27" t="n">
        <v>1257</v>
      </c>
      <c r="S645" s="7" t="s">
        <v>60</v>
      </c>
      <c r="T645" s="7" t="str">
        <f aca="false">IF(O645=0,"No discount",IF(O645&lt;=0.2,"Up to 20%","Above 20%"))</f>
        <v>No discount</v>
      </c>
    </row>
    <row r="646" customFormat="false" ht="15" hidden="false" customHeight="true" outlineLevel="0" collapsed="false">
      <c r="A646" s="7" t="s">
        <v>1319</v>
      </c>
      <c r="B646" s="26" t="n">
        <v>45891</v>
      </c>
      <c r="C646" s="26" t="n">
        <v>45897</v>
      </c>
      <c r="D646" s="7" t="s">
        <v>567</v>
      </c>
      <c r="E646" s="7" t="s">
        <v>568</v>
      </c>
      <c r="F646" s="7" t="s">
        <v>159</v>
      </c>
      <c r="G646" s="7" t="s">
        <v>169</v>
      </c>
      <c r="H646" s="7" t="s">
        <v>179</v>
      </c>
      <c r="I646" s="7" t="s">
        <v>171</v>
      </c>
      <c r="J646" s="7" t="s">
        <v>172</v>
      </c>
      <c r="K646" s="7" t="s">
        <v>173</v>
      </c>
      <c r="L646" s="7" t="s">
        <v>174</v>
      </c>
      <c r="M646" s="7" t="n">
        <v>2</v>
      </c>
      <c r="N646" s="27" t="n">
        <v>699</v>
      </c>
      <c r="O646" s="28" t="n">
        <v>0</v>
      </c>
      <c r="P646" s="27" t="n">
        <v>1398</v>
      </c>
      <c r="Q646" s="27" t="n">
        <v>640</v>
      </c>
      <c r="R646" s="27" t="n">
        <v>758</v>
      </c>
      <c r="S646" s="7" t="s">
        <v>60</v>
      </c>
      <c r="T646" s="7" t="str">
        <f aca="false">IF(O646=0,"No discount",IF(O646&lt;=0.2,"Up to 20%","Above 20%"))</f>
        <v>No discount</v>
      </c>
    </row>
    <row r="647" customFormat="false" ht="15" hidden="false" customHeight="true" outlineLevel="0" collapsed="false">
      <c r="A647" s="7" t="s">
        <v>1320</v>
      </c>
      <c r="B647" s="26" t="n">
        <v>45891</v>
      </c>
      <c r="C647" s="26" t="n">
        <v>45897</v>
      </c>
      <c r="D647" s="7" t="s">
        <v>363</v>
      </c>
      <c r="E647" s="7" t="s">
        <v>364</v>
      </c>
      <c r="F647" s="7" t="s">
        <v>159</v>
      </c>
      <c r="G647" s="7" t="s">
        <v>169</v>
      </c>
      <c r="H647" s="7" t="s">
        <v>170</v>
      </c>
      <c r="I647" s="7" t="s">
        <v>282</v>
      </c>
      <c r="J647" s="7" t="s">
        <v>427</v>
      </c>
      <c r="K647" s="7" t="s">
        <v>428</v>
      </c>
      <c r="L647" s="7" t="s">
        <v>429</v>
      </c>
      <c r="M647" s="7" t="n">
        <v>2</v>
      </c>
      <c r="N647" s="27" t="n">
        <v>149</v>
      </c>
      <c r="O647" s="28" t="n">
        <v>0.05</v>
      </c>
      <c r="P647" s="27" t="n">
        <v>283</v>
      </c>
      <c r="Q647" s="27" t="n">
        <v>140</v>
      </c>
      <c r="R647" s="27" t="n">
        <v>143</v>
      </c>
      <c r="S647" s="7" t="s">
        <v>60</v>
      </c>
      <c r="T647" s="7" t="str">
        <f aca="false">IF(O647=0,"No discount",IF(O647&lt;=0.2,"Up to 20%","Above 20%"))</f>
        <v>Up to 20%</v>
      </c>
    </row>
    <row r="648" customFormat="false" ht="15" hidden="false" customHeight="true" outlineLevel="0" collapsed="false">
      <c r="A648" s="7" t="s">
        <v>1321</v>
      </c>
      <c r="B648" s="26" t="n">
        <v>45893</v>
      </c>
      <c r="C648" s="26" t="n">
        <v>45895</v>
      </c>
      <c r="D648" s="7" t="s">
        <v>339</v>
      </c>
      <c r="E648" s="7" t="s">
        <v>340</v>
      </c>
      <c r="F648" s="7" t="s">
        <v>178</v>
      </c>
      <c r="G648" s="7" t="s">
        <v>169</v>
      </c>
      <c r="H648" s="7" t="s">
        <v>179</v>
      </c>
      <c r="I648" s="7" t="s">
        <v>208</v>
      </c>
      <c r="J648" s="7" t="s">
        <v>209</v>
      </c>
      <c r="K648" s="7" t="s">
        <v>210</v>
      </c>
      <c r="L648" s="7" t="s">
        <v>211</v>
      </c>
      <c r="M648" s="7" t="n">
        <v>1</v>
      </c>
      <c r="N648" s="27" t="n">
        <v>3499</v>
      </c>
      <c r="O648" s="28" t="n">
        <v>0.05</v>
      </c>
      <c r="P648" s="27" t="n">
        <v>3324</v>
      </c>
      <c r="Q648" s="27" t="n">
        <v>2200</v>
      </c>
      <c r="R648" s="27" t="n">
        <v>1124</v>
      </c>
      <c r="S648" s="7" t="s">
        <v>60</v>
      </c>
      <c r="T648" s="7" t="str">
        <f aca="false">IF(O648=0,"No discount",IF(O648&lt;=0.2,"Up to 20%","Above 20%"))</f>
        <v>Up to 20%</v>
      </c>
    </row>
    <row r="649" customFormat="false" ht="15" hidden="false" customHeight="true" outlineLevel="0" collapsed="false">
      <c r="A649" s="7" t="s">
        <v>1322</v>
      </c>
      <c r="B649" s="26" t="n">
        <v>45893</v>
      </c>
      <c r="C649" s="26" t="n">
        <v>45894</v>
      </c>
      <c r="D649" s="7" t="s">
        <v>884</v>
      </c>
      <c r="E649" s="7" t="s">
        <v>885</v>
      </c>
      <c r="F649" s="7" t="s">
        <v>159</v>
      </c>
      <c r="G649" s="7" t="s">
        <v>206</v>
      </c>
      <c r="H649" s="7" t="s">
        <v>207</v>
      </c>
      <c r="I649" s="7" t="s">
        <v>208</v>
      </c>
      <c r="J649" s="7" t="s">
        <v>209</v>
      </c>
      <c r="K649" s="7" t="s">
        <v>210</v>
      </c>
      <c r="L649" s="7" t="s">
        <v>211</v>
      </c>
      <c r="M649" s="7" t="n">
        <v>4</v>
      </c>
      <c r="N649" s="27" t="n">
        <v>3499</v>
      </c>
      <c r="O649" s="28" t="n">
        <v>0.05</v>
      </c>
      <c r="P649" s="27" t="n">
        <v>13296</v>
      </c>
      <c r="Q649" s="27" t="n">
        <v>8800</v>
      </c>
      <c r="R649" s="27" t="n">
        <v>4496</v>
      </c>
      <c r="S649" s="7" t="s">
        <v>60</v>
      </c>
      <c r="T649" s="7" t="str">
        <f aca="false">IF(O649=0,"No discount",IF(O649&lt;=0.2,"Up to 20%","Above 20%"))</f>
        <v>Up to 20%</v>
      </c>
    </row>
    <row r="650" customFormat="false" ht="15" hidden="false" customHeight="true" outlineLevel="0" collapsed="false">
      <c r="A650" s="7" t="s">
        <v>1323</v>
      </c>
      <c r="B650" s="26" t="n">
        <v>45893</v>
      </c>
      <c r="C650" s="26" t="n">
        <v>45900</v>
      </c>
      <c r="D650" s="7" t="s">
        <v>1324</v>
      </c>
      <c r="E650" s="7" t="s">
        <v>1325</v>
      </c>
      <c r="F650" s="7" t="s">
        <v>178</v>
      </c>
      <c r="G650" s="7" t="s">
        <v>160</v>
      </c>
      <c r="H650" s="7" t="s">
        <v>269</v>
      </c>
      <c r="I650" s="7" t="s">
        <v>199</v>
      </c>
      <c r="J650" s="7" t="s">
        <v>292</v>
      </c>
      <c r="K650" s="7" t="s">
        <v>293</v>
      </c>
      <c r="L650" s="7" t="s">
        <v>294</v>
      </c>
      <c r="M650" s="7" t="n">
        <v>1</v>
      </c>
      <c r="N650" s="27" t="n">
        <v>1599</v>
      </c>
      <c r="O650" s="28" t="n">
        <v>0.15</v>
      </c>
      <c r="P650" s="27" t="n">
        <v>1359</v>
      </c>
      <c r="Q650" s="27" t="n">
        <v>750</v>
      </c>
      <c r="R650" s="27" t="n">
        <v>609</v>
      </c>
      <c r="S650" s="7" t="s">
        <v>60</v>
      </c>
      <c r="T650" s="7" t="str">
        <f aca="false">IF(O650=0,"No discount",IF(O650&lt;=0.2,"Up to 20%","Above 20%"))</f>
        <v>Up to 20%</v>
      </c>
    </row>
    <row r="651" customFormat="false" ht="15" hidden="false" customHeight="true" outlineLevel="0" collapsed="false">
      <c r="A651" s="7" t="s">
        <v>1326</v>
      </c>
      <c r="B651" s="26" t="n">
        <v>45894</v>
      </c>
      <c r="C651" s="26" t="n">
        <v>45900</v>
      </c>
      <c r="D651" s="7" t="s">
        <v>197</v>
      </c>
      <c r="E651" s="7" t="s">
        <v>198</v>
      </c>
      <c r="F651" s="7" t="s">
        <v>178</v>
      </c>
      <c r="G651" s="7" t="s">
        <v>169</v>
      </c>
      <c r="H651" s="7" t="s">
        <v>191</v>
      </c>
      <c r="I651" s="7" t="s">
        <v>282</v>
      </c>
      <c r="J651" s="7" t="s">
        <v>427</v>
      </c>
      <c r="K651" s="7" t="s">
        <v>428</v>
      </c>
      <c r="L651" s="7" t="s">
        <v>429</v>
      </c>
      <c r="M651" s="7" t="n">
        <v>4</v>
      </c>
      <c r="N651" s="27" t="n">
        <v>149</v>
      </c>
      <c r="O651" s="28" t="n">
        <v>0</v>
      </c>
      <c r="P651" s="27" t="n">
        <v>596</v>
      </c>
      <c r="Q651" s="27" t="n">
        <v>280</v>
      </c>
      <c r="R651" s="27" t="n">
        <v>316</v>
      </c>
      <c r="S651" s="7" t="s">
        <v>60</v>
      </c>
      <c r="T651" s="7" t="str">
        <f aca="false">IF(O651=0,"No discount",IF(O651&lt;=0.2,"Up to 20%","Above 20%"))</f>
        <v>No discount</v>
      </c>
    </row>
    <row r="652" customFormat="false" ht="15" hidden="false" customHeight="true" outlineLevel="0" collapsed="false">
      <c r="A652" s="7" t="s">
        <v>1327</v>
      </c>
      <c r="B652" s="26" t="n">
        <v>45894</v>
      </c>
      <c r="C652" s="26" t="n">
        <v>45896</v>
      </c>
      <c r="D652" s="7" t="s">
        <v>459</v>
      </c>
      <c r="E652" s="7" t="s">
        <v>460</v>
      </c>
      <c r="F652" s="7" t="s">
        <v>219</v>
      </c>
      <c r="G652" s="7" t="s">
        <v>160</v>
      </c>
      <c r="H652" s="7" t="s">
        <v>269</v>
      </c>
      <c r="I652" s="7" t="s">
        <v>199</v>
      </c>
      <c r="J652" s="7" t="s">
        <v>200</v>
      </c>
      <c r="K652" s="7" t="s">
        <v>201</v>
      </c>
      <c r="L652" s="7" t="s">
        <v>202</v>
      </c>
      <c r="M652" s="7" t="n">
        <v>1</v>
      </c>
      <c r="N652" s="27" t="n">
        <v>399</v>
      </c>
      <c r="O652" s="28" t="n">
        <v>0.2</v>
      </c>
      <c r="P652" s="27" t="n">
        <v>319</v>
      </c>
      <c r="Q652" s="27" t="n">
        <v>160</v>
      </c>
      <c r="R652" s="27" t="n">
        <v>159</v>
      </c>
      <c r="S652" s="7" t="s">
        <v>60</v>
      </c>
      <c r="T652" s="7" t="str">
        <f aca="false">IF(O652=0,"No discount",IF(O652&lt;=0.2,"Up to 20%","Above 20%"))</f>
        <v>Up to 20%</v>
      </c>
    </row>
    <row r="653" customFormat="false" ht="15" hidden="false" customHeight="true" outlineLevel="0" collapsed="false">
      <c r="A653" s="7" t="s">
        <v>1328</v>
      </c>
      <c r="B653" s="26" t="n">
        <v>45894</v>
      </c>
      <c r="C653" s="26" t="n">
        <v>45901</v>
      </c>
      <c r="D653" s="7" t="s">
        <v>806</v>
      </c>
      <c r="E653" s="7" t="s">
        <v>807</v>
      </c>
      <c r="F653" s="7" t="s">
        <v>159</v>
      </c>
      <c r="G653" s="7" t="s">
        <v>160</v>
      </c>
      <c r="H653" s="7" t="s">
        <v>161</v>
      </c>
      <c r="I653" s="7" t="s">
        <v>199</v>
      </c>
      <c r="J653" s="7" t="s">
        <v>398</v>
      </c>
      <c r="K653" s="7" t="s">
        <v>399</v>
      </c>
      <c r="L653" s="7" t="s">
        <v>400</v>
      </c>
      <c r="M653" s="7" t="n">
        <v>1</v>
      </c>
      <c r="N653" s="27" t="n">
        <v>749</v>
      </c>
      <c r="O653" s="28" t="n">
        <v>0</v>
      </c>
      <c r="P653" s="27" t="n">
        <v>749</v>
      </c>
      <c r="Q653" s="27" t="n">
        <v>350</v>
      </c>
      <c r="R653" s="27" t="n">
        <v>399</v>
      </c>
      <c r="S653" s="7" t="s">
        <v>60</v>
      </c>
      <c r="T653" s="7" t="str">
        <f aca="false">IF(O653=0,"No discount",IF(O653&lt;=0.2,"Up to 20%","Above 20%"))</f>
        <v>No discount</v>
      </c>
    </row>
    <row r="654" customFormat="false" ht="15" hidden="false" customHeight="true" outlineLevel="0" collapsed="false">
      <c r="A654" s="7" t="s">
        <v>1329</v>
      </c>
      <c r="B654" s="26" t="n">
        <v>45895</v>
      </c>
      <c r="C654" s="26" t="n">
        <v>45900</v>
      </c>
      <c r="D654" s="7" t="s">
        <v>648</v>
      </c>
      <c r="E654" s="7" t="s">
        <v>649</v>
      </c>
      <c r="F654" s="7" t="s">
        <v>159</v>
      </c>
      <c r="G654" s="7" t="s">
        <v>160</v>
      </c>
      <c r="H654" s="7" t="s">
        <v>161</v>
      </c>
      <c r="I654" s="7" t="s">
        <v>192</v>
      </c>
      <c r="J654" s="7" t="s">
        <v>213</v>
      </c>
      <c r="K654" s="7" t="s">
        <v>264</v>
      </c>
      <c r="L654" s="7" t="s">
        <v>265</v>
      </c>
      <c r="M654" s="7" t="n">
        <v>2</v>
      </c>
      <c r="N654" s="27" t="n">
        <v>2499</v>
      </c>
      <c r="O654" s="28" t="n">
        <v>0.4</v>
      </c>
      <c r="P654" s="27" t="n">
        <v>2999</v>
      </c>
      <c r="Q654" s="27" t="n">
        <v>3400</v>
      </c>
      <c r="R654" s="27" t="n">
        <v>-401</v>
      </c>
      <c r="S654" s="7" t="s">
        <v>60</v>
      </c>
      <c r="T654" s="7" t="str">
        <f aca="false">IF(O654=0,"No discount",IF(O654&lt;=0.2,"Up to 20%","Above 20%"))</f>
        <v>Above 20%</v>
      </c>
    </row>
    <row r="655" customFormat="false" ht="15" hidden="false" customHeight="true" outlineLevel="0" collapsed="false">
      <c r="A655" s="7" t="s">
        <v>1330</v>
      </c>
      <c r="B655" s="26" t="n">
        <v>45895</v>
      </c>
      <c r="C655" s="26" t="n">
        <v>45902</v>
      </c>
      <c r="D655" s="7" t="s">
        <v>773</v>
      </c>
      <c r="E655" s="7" t="s">
        <v>774</v>
      </c>
      <c r="F655" s="7" t="s">
        <v>159</v>
      </c>
      <c r="G655" s="7" t="s">
        <v>206</v>
      </c>
      <c r="H655" s="7" t="s">
        <v>207</v>
      </c>
      <c r="I655" s="7" t="s">
        <v>162</v>
      </c>
      <c r="J655" s="7" t="s">
        <v>325</v>
      </c>
      <c r="K655" s="7" t="s">
        <v>381</v>
      </c>
      <c r="L655" s="7" t="s">
        <v>382</v>
      </c>
      <c r="M655" s="7" t="n">
        <v>3</v>
      </c>
      <c r="N655" s="27" t="n">
        <v>1799</v>
      </c>
      <c r="O655" s="28" t="n">
        <v>0.2</v>
      </c>
      <c r="P655" s="27" t="n">
        <v>4318</v>
      </c>
      <c r="Q655" s="27" t="n">
        <v>2850</v>
      </c>
      <c r="R655" s="27" t="n">
        <v>1468</v>
      </c>
      <c r="S655" s="7" t="s">
        <v>60</v>
      </c>
      <c r="T655" s="7" t="str">
        <f aca="false">IF(O655=0,"No discount",IF(O655&lt;=0.2,"Up to 20%","Above 20%"))</f>
        <v>Up to 20%</v>
      </c>
    </row>
    <row r="656" customFormat="false" ht="15" hidden="false" customHeight="true" outlineLevel="0" collapsed="false">
      <c r="A656" s="7" t="s">
        <v>1331</v>
      </c>
      <c r="B656" s="26" t="n">
        <v>45895</v>
      </c>
      <c r="C656" s="26" t="n">
        <v>45899</v>
      </c>
      <c r="D656" s="7" t="s">
        <v>462</v>
      </c>
      <c r="E656" s="7" t="s">
        <v>463</v>
      </c>
      <c r="F656" s="7" t="s">
        <v>159</v>
      </c>
      <c r="G656" s="7" t="s">
        <v>169</v>
      </c>
      <c r="H656" s="7" t="s">
        <v>191</v>
      </c>
      <c r="I656" s="7" t="s">
        <v>199</v>
      </c>
      <c r="J656" s="7" t="s">
        <v>200</v>
      </c>
      <c r="K656" s="7" t="s">
        <v>201</v>
      </c>
      <c r="L656" s="7" t="s">
        <v>202</v>
      </c>
      <c r="M656" s="7" t="n">
        <v>1</v>
      </c>
      <c r="N656" s="27" t="n">
        <v>399</v>
      </c>
      <c r="O656" s="28" t="n">
        <v>0</v>
      </c>
      <c r="P656" s="27" t="n">
        <v>399</v>
      </c>
      <c r="Q656" s="27" t="n">
        <v>160</v>
      </c>
      <c r="R656" s="27" t="n">
        <v>239</v>
      </c>
      <c r="S656" s="7" t="s">
        <v>60</v>
      </c>
      <c r="T656" s="7" t="str">
        <f aca="false">IF(O656=0,"No discount",IF(O656&lt;=0.2,"Up to 20%","Above 20%"))</f>
        <v>No discount</v>
      </c>
    </row>
    <row r="657" customFormat="false" ht="15" hidden="false" customHeight="true" outlineLevel="0" collapsed="false">
      <c r="A657" s="7" t="s">
        <v>1332</v>
      </c>
      <c r="B657" s="26" t="n">
        <v>45896</v>
      </c>
      <c r="C657" s="26" t="n">
        <v>45903</v>
      </c>
      <c r="D657" s="7" t="s">
        <v>880</v>
      </c>
      <c r="E657" s="7" t="s">
        <v>881</v>
      </c>
      <c r="F657" s="7" t="s">
        <v>159</v>
      </c>
      <c r="G657" s="7" t="s">
        <v>160</v>
      </c>
      <c r="H657" s="7" t="s">
        <v>269</v>
      </c>
      <c r="I657" s="7" t="s">
        <v>171</v>
      </c>
      <c r="J657" s="7" t="s">
        <v>304</v>
      </c>
      <c r="K657" s="7" t="s">
        <v>305</v>
      </c>
      <c r="L657" s="7" t="s">
        <v>306</v>
      </c>
      <c r="M657" s="7" t="n">
        <v>1</v>
      </c>
      <c r="N657" s="27" t="n">
        <v>2999</v>
      </c>
      <c r="O657" s="28" t="n">
        <v>0.1</v>
      </c>
      <c r="P657" s="27" t="n">
        <v>2699</v>
      </c>
      <c r="Q657" s="27" t="n">
        <v>2000</v>
      </c>
      <c r="R657" s="27" t="n">
        <v>699</v>
      </c>
      <c r="S657" s="7" t="s">
        <v>60</v>
      </c>
      <c r="T657" s="7" t="str">
        <f aca="false">IF(O657=0,"No discount",IF(O657&lt;=0.2,"Up to 20%","Above 20%"))</f>
        <v>Up to 20%</v>
      </c>
    </row>
    <row r="658" customFormat="false" ht="15" hidden="false" customHeight="true" outlineLevel="0" collapsed="false">
      <c r="A658" s="7" t="s">
        <v>1333</v>
      </c>
      <c r="B658" s="26" t="n">
        <v>45896</v>
      </c>
      <c r="C658" s="26" t="n">
        <v>45898</v>
      </c>
      <c r="D658" s="7" t="s">
        <v>221</v>
      </c>
      <c r="E658" s="7" t="s">
        <v>222</v>
      </c>
      <c r="F658" s="7" t="s">
        <v>219</v>
      </c>
      <c r="G658" s="7" t="s">
        <v>160</v>
      </c>
      <c r="H658" s="7" t="s">
        <v>161</v>
      </c>
      <c r="I658" s="7" t="s">
        <v>208</v>
      </c>
      <c r="J658" s="7" t="s">
        <v>232</v>
      </c>
      <c r="K658" s="7" t="s">
        <v>233</v>
      </c>
      <c r="L658" s="7" t="s">
        <v>234</v>
      </c>
      <c r="M658" s="7" t="n">
        <v>1</v>
      </c>
      <c r="N658" s="27" t="n">
        <v>7999</v>
      </c>
      <c r="O658" s="28" t="n">
        <v>0</v>
      </c>
      <c r="P658" s="27" t="n">
        <v>7999</v>
      </c>
      <c r="Q658" s="27" t="n">
        <v>5600</v>
      </c>
      <c r="R658" s="27" t="n">
        <v>2399</v>
      </c>
      <c r="S658" s="7" t="s">
        <v>60</v>
      </c>
      <c r="T658" s="7" t="str">
        <f aca="false">IF(O658=0,"No discount",IF(O658&lt;=0.2,"Up to 20%","Above 20%"))</f>
        <v>No discount</v>
      </c>
    </row>
    <row r="659" customFormat="false" ht="15" hidden="false" customHeight="true" outlineLevel="0" collapsed="false">
      <c r="A659" s="7" t="s">
        <v>1334</v>
      </c>
      <c r="B659" s="26" t="n">
        <v>45896</v>
      </c>
      <c r="C659" s="26" t="n">
        <v>45899</v>
      </c>
      <c r="D659" s="7" t="s">
        <v>485</v>
      </c>
      <c r="E659" s="7" t="s">
        <v>486</v>
      </c>
      <c r="F659" s="7" t="s">
        <v>159</v>
      </c>
      <c r="G659" s="7" t="s">
        <v>169</v>
      </c>
      <c r="H659" s="7" t="s">
        <v>179</v>
      </c>
      <c r="I659" s="7" t="s">
        <v>199</v>
      </c>
      <c r="J659" s="7" t="s">
        <v>398</v>
      </c>
      <c r="K659" s="7" t="s">
        <v>399</v>
      </c>
      <c r="L659" s="7" t="s">
        <v>400</v>
      </c>
      <c r="M659" s="7" t="n">
        <v>2</v>
      </c>
      <c r="N659" s="27" t="n">
        <v>749</v>
      </c>
      <c r="O659" s="28" t="n">
        <v>0.15</v>
      </c>
      <c r="P659" s="27" t="n">
        <v>1273</v>
      </c>
      <c r="Q659" s="27" t="n">
        <v>700</v>
      </c>
      <c r="R659" s="27" t="n">
        <v>573</v>
      </c>
      <c r="S659" s="7" t="s">
        <v>60</v>
      </c>
      <c r="T659" s="7" t="str">
        <f aca="false">IF(O659=0,"No discount",IF(O659&lt;=0.2,"Up to 20%","Above 20%"))</f>
        <v>Up to 20%</v>
      </c>
    </row>
    <row r="660" customFormat="false" ht="15" hidden="false" customHeight="true" outlineLevel="0" collapsed="false">
      <c r="A660" s="7" t="s">
        <v>1335</v>
      </c>
      <c r="B660" s="26" t="n">
        <v>45896</v>
      </c>
      <c r="C660" s="26" t="n">
        <v>45901</v>
      </c>
      <c r="D660" s="7" t="s">
        <v>571</v>
      </c>
      <c r="E660" s="7" t="s">
        <v>572</v>
      </c>
      <c r="F660" s="7" t="s">
        <v>159</v>
      </c>
      <c r="G660" s="7" t="s">
        <v>160</v>
      </c>
      <c r="H660" s="7" t="s">
        <v>269</v>
      </c>
      <c r="I660" s="7" t="s">
        <v>192</v>
      </c>
      <c r="J660" s="7" t="s">
        <v>213</v>
      </c>
      <c r="K660" s="7" t="s">
        <v>264</v>
      </c>
      <c r="L660" s="7" t="s">
        <v>265</v>
      </c>
      <c r="M660" s="7" t="n">
        <v>1</v>
      </c>
      <c r="N660" s="27" t="n">
        <v>2499</v>
      </c>
      <c r="O660" s="28" t="n">
        <v>0.1</v>
      </c>
      <c r="P660" s="27" t="n">
        <v>2249</v>
      </c>
      <c r="Q660" s="27" t="n">
        <v>1700</v>
      </c>
      <c r="R660" s="27" t="n">
        <v>549</v>
      </c>
      <c r="S660" s="7" t="s">
        <v>60</v>
      </c>
      <c r="T660" s="7" t="str">
        <f aca="false">IF(O660=0,"No discount",IF(O660&lt;=0.2,"Up to 20%","Above 20%"))</f>
        <v>Up to 20%</v>
      </c>
    </row>
    <row r="661" customFormat="false" ht="15" hidden="false" customHeight="true" outlineLevel="0" collapsed="false">
      <c r="A661" s="7" t="s">
        <v>1336</v>
      </c>
      <c r="B661" s="26" t="n">
        <v>45897</v>
      </c>
      <c r="C661" s="26" t="n">
        <v>45900</v>
      </c>
      <c r="D661" s="7" t="s">
        <v>351</v>
      </c>
      <c r="E661" s="7" t="s">
        <v>352</v>
      </c>
      <c r="F661" s="7" t="s">
        <v>178</v>
      </c>
      <c r="G661" s="7" t="s">
        <v>169</v>
      </c>
      <c r="H661" s="7" t="s">
        <v>179</v>
      </c>
      <c r="I661" s="7" t="s">
        <v>192</v>
      </c>
      <c r="J661" s="7" t="s">
        <v>502</v>
      </c>
      <c r="K661" s="7" t="s">
        <v>503</v>
      </c>
      <c r="L661" s="7" t="s">
        <v>504</v>
      </c>
      <c r="M661" s="7" t="n">
        <v>2</v>
      </c>
      <c r="N661" s="27" t="n">
        <v>3499</v>
      </c>
      <c r="O661" s="28" t="n">
        <v>0.4</v>
      </c>
      <c r="P661" s="27" t="n">
        <v>4199</v>
      </c>
      <c r="Q661" s="27" t="n">
        <v>5000</v>
      </c>
      <c r="R661" s="27" t="n">
        <v>-801</v>
      </c>
      <c r="S661" s="7" t="s">
        <v>60</v>
      </c>
      <c r="T661" s="7" t="str">
        <f aca="false">IF(O661=0,"No discount",IF(O661&lt;=0.2,"Up to 20%","Above 20%"))</f>
        <v>Above 20%</v>
      </c>
    </row>
    <row r="662" customFormat="false" ht="15" hidden="false" customHeight="true" outlineLevel="0" collapsed="false">
      <c r="A662" s="7" t="s">
        <v>1337</v>
      </c>
      <c r="B662" s="26" t="n">
        <v>45897</v>
      </c>
      <c r="C662" s="26" t="n">
        <v>45898</v>
      </c>
      <c r="D662" s="7" t="s">
        <v>792</v>
      </c>
      <c r="E662" s="7" t="s">
        <v>793</v>
      </c>
      <c r="F662" s="7" t="s">
        <v>219</v>
      </c>
      <c r="G662" s="7" t="s">
        <v>160</v>
      </c>
      <c r="H662" s="7" t="s">
        <v>161</v>
      </c>
      <c r="I662" s="7" t="s">
        <v>192</v>
      </c>
      <c r="J662" s="7" t="s">
        <v>502</v>
      </c>
      <c r="K662" s="7" t="s">
        <v>526</v>
      </c>
      <c r="L662" s="7" t="s">
        <v>527</v>
      </c>
      <c r="M662" s="7" t="n">
        <v>1</v>
      </c>
      <c r="N662" s="27" t="n">
        <v>6499</v>
      </c>
      <c r="O662" s="28" t="n">
        <v>0.1</v>
      </c>
      <c r="P662" s="27" t="n">
        <v>5849</v>
      </c>
      <c r="Q662" s="27" t="n">
        <v>5000</v>
      </c>
      <c r="R662" s="27" t="n">
        <v>849</v>
      </c>
      <c r="S662" s="7" t="s">
        <v>60</v>
      </c>
      <c r="T662" s="7" t="str">
        <f aca="false">IF(O662=0,"No discount",IF(O662&lt;=0.2,"Up to 20%","Above 20%"))</f>
        <v>Up to 20%</v>
      </c>
    </row>
    <row r="663" customFormat="false" ht="15" hidden="false" customHeight="true" outlineLevel="0" collapsed="false">
      <c r="A663" s="7" t="s">
        <v>1338</v>
      </c>
      <c r="B663" s="26" t="n">
        <v>45897</v>
      </c>
      <c r="C663" s="26" t="n">
        <v>45899</v>
      </c>
      <c r="D663" s="7" t="s">
        <v>697</v>
      </c>
      <c r="E663" s="7" t="s">
        <v>698</v>
      </c>
      <c r="F663" s="7" t="s">
        <v>219</v>
      </c>
      <c r="G663" s="7" t="s">
        <v>160</v>
      </c>
      <c r="H663" s="7" t="s">
        <v>269</v>
      </c>
      <c r="I663" s="7" t="s">
        <v>208</v>
      </c>
      <c r="J663" s="7" t="s">
        <v>209</v>
      </c>
      <c r="K663" s="7" t="s">
        <v>637</v>
      </c>
      <c r="L663" s="7" t="s">
        <v>638</v>
      </c>
      <c r="M663" s="7" t="n">
        <v>1</v>
      </c>
      <c r="N663" s="27" t="n">
        <v>899</v>
      </c>
      <c r="O663" s="28" t="n">
        <v>0.1</v>
      </c>
      <c r="P663" s="27" t="n">
        <v>809</v>
      </c>
      <c r="Q663" s="27" t="n">
        <v>480</v>
      </c>
      <c r="R663" s="27" t="n">
        <v>329</v>
      </c>
      <c r="S663" s="7" t="s">
        <v>60</v>
      </c>
      <c r="T663" s="7" t="str">
        <f aca="false">IF(O663=0,"No discount",IF(O663&lt;=0.2,"Up to 20%","Above 20%"))</f>
        <v>Up to 20%</v>
      </c>
    </row>
    <row r="664" customFormat="false" ht="15" hidden="false" customHeight="true" outlineLevel="0" collapsed="false">
      <c r="A664" s="7" t="s">
        <v>1339</v>
      </c>
      <c r="B664" s="26" t="n">
        <v>45897</v>
      </c>
      <c r="C664" s="26" t="n">
        <v>45903</v>
      </c>
      <c r="D664" s="7" t="s">
        <v>796</v>
      </c>
      <c r="E664" s="7" t="s">
        <v>797</v>
      </c>
      <c r="F664" s="7" t="s">
        <v>219</v>
      </c>
      <c r="G664" s="7" t="s">
        <v>169</v>
      </c>
      <c r="H664" s="7" t="s">
        <v>170</v>
      </c>
      <c r="I664" s="7" t="s">
        <v>171</v>
      </c>
      <c r="J664" s="7" t="s">
        <v>172</v>
      </c>
      <c r="K664" s="7" t="s">
        <v>173</v>
      </c>
      <c r="L664" s="7" t="s">
        <v>174</v>
      </c>
      <c r="M664" s="7" t="n">
        <v>3</v>
      </c>
      <c r="N664" s="27" t="n">
        <v>699</v>
      </c>
      <c r="O664" s="28" t="n">
        <v>0.1</v>
      </c>
      <c r="P664" s="27" t="n">
        <v>1887</v>
      </c>
      <c r="Q664" s="27" t="n">
        <v>960</v>
      </c>
      <c r="R664" s="27" t="n">
        <v>927</v>
      </c>
      <c r="S664" s="7" t="s">
        <v>60</v>
      </c>
      <c r="T664" s="7" t="str">
        <f aca="false">IF(O664=0,"No discount",IF(O664&lt;=0.2,"Up to 20%","Above 20%"))</f>
        <v>Up to 20%</v>
      </c>
    </row>
    <row r="665" customFormat="false" ht="15" hidden="false" customHeight="true" outlineLevel="0" collapsed="false">
      <c r="A665" s="7" t="s">
        <v>1340</v>
      </c>
      <c r="B665" s="26" t="n">
        <v>45897</v>
      </c>
      <c r="C665" s="26" t="n">
        <v>45902</v>
      </c>
      <c r="D665" s="7" t="s">
        <v>799</v>
      </c>
      <c r="E665" s="7" t="s">
        <v>800</v>
      </c>
      <c r="F665" s="7" t="s">
        <v>159</v>
      </c>
      <c r="G665" s="7" t="s">
        <v>169</v>
      </c>
      <c r="H665" s="7" t="s">
        <v>191</v>
      </c>
      <c r="I665" s="7" t="s">
        <v>171</v>
      </c>
      <c r="J665" s="7" t="s">
        <v>304</v>
      </c>
      <c r="K665" s="7" t="s">
        <v>305</v>
      </c>
      <c r="L665" s="7" t="s">
        <v>306</v>
      </c>
      <c r="M665" s="7" t="n">
        <v>1</v>
      </c>
      <c r="N665" s="27" t="n">
        <v>2999</v>
      </c>
      <c r="O665" s="28" t="n">
        <v>0.1</v>
      </c>
      <c r="P665" s="27" t="n">
        <v>2699</v>
      </c>
      <c r="Q665" s="27" t="n">
        <v>2000</v>
      </c>
      <c r="R665" s="27" t="n">
        <v>699</v>
      </c>
      <c r="S665" s="7" t="s">
        <v>60</v>
      </c>
      <c r="T665" s="7" t="str">
        <f aca="false">IF(O665=0,"No discount",IF(O665&lt;=0.2,"Up to 20%","Above 20%"))</f>
        <v>Up to 20%</v>
      </c>
    </row>
    <row r="666" customFormat="false" ht="15" hidden="false" customHeight="true" outlineLevel="0" collapsed="false">
      <c r="A666" s="7" t="s">
        <v>1341</v>
      </c>
      <c r="B666" s="26" t="n">
        <v>45897</v>
      </c>
      <c r="C666" s="26" t="n">
        <v>45899</v>
      </c>
      <c r="D666" s="7" t="s">
        <v>425</v>
      </c>
      <c r="E666" s="7" t="s">
        <v>426</v>
      </c>
      <c r="F666" s="7" t="s">
        <v>159</v>
      </c>
      <c r="G666" s="7" t="s">
        <v>206</v>
      </c>
      <c r="H666" s="7" t="s">
        <v>207</v>
      </c>
      <c r="I666" s="7" t="s">
        <v>208</v>
      </c>
      <c r="J666" s="7" t="s">
        <v>209</v>
      </c>
      <c r="K666" s="7" t="s">
        <v>238</v>
      </c>
      <c r="L666" s="7" t="s">
        <v>239</v>
      </c>
      <c r="M666" s="7" t="n">
        <v>1</v>
      </c>
      <c r="N666" s="27" t="n">
        <v>2199</v>
      </c>
      <c r="O666" s="28" t="n">
        <v>0.1</v>
      </c>
      <c r="P666" s="27" t="n">
        <v>1979</v>
      </c>
      <c r="Q666" s="27" t="n">
        <v>1400</v>
      </c>
      <c r="R666" s="27" t="n">
        <v>579</v>
      </c>
      <c r="S666" s="7" t="s">
        <v>60</v>
      </c>
      <c r="T666" s="7" t="str">
        <f aca="false">IF(O666=0,"No discount",IF(O666&lt;=0.2,"Up to 20%","Above 20%"))</f>
        <v>Up to 20%</v>
      </c>
    </row>
    <row r="667" customFormat="false" ht="15" hidden="false" customHeight="true" outlineLevel="0" collapsed="false">
      <c r="A667" s="7" t="s">
        <v>1342</v>
      </c>
      <c r="B667" s="26" t="n">
        <v>45897</v>
      </c>
      <c r="C667" s="26" t="n">
        <v>45898</v>
      </c>
      <c r="D667" s="7" t="s">
        <v>412</v>
      </c>
      <c r="E667" s="7" t="s">
        <v>413</v>
      </c>
      <c r="F667" s="7" t="s">
        <v>178</v>
      </c>
      <c r="G667" s="7" t="s">
        <v>206</v>
      </c>
      <c r="H667" s="7" t="s">
        <v>207</v>
      </c>
      <c r="I667" s="7" t="s">
        <v>199</v>
      </c>
      <c r="J667" s="7" t="s">
        <v>200</v>
      </c>
      <c r="K667" s="7" t="s">
        <v>201</v>
      </c>
      <c r="L667" s="7" t="s">
        <v>202</v>
      </c>
      <c r="M667" s="7" t="n">
        <v>2</v>
      </c>
      <c r="N667" s="27" t="n">
        <v>399</v>
      </c>
      <c r="O667" s="28" t="n">
        <v>0.15</v>
      </c>
      <c r="P667" s="27" t="n">
        <v>678</v>
      </c>
      <c r="Q667" s="27" t="n">
        <v>320</v>
      </c>
      <c r="R667" s="27" t="n">
        <v>358</v>
      </c>
      <c r="S667" s="7" t="s">
        <v>60</v>
      </c>
      <c r="T667" s="7" t="str">
        <f aca="false">IF(O667=0,"No discount",IF(O667&lt;=0.2,"Up to 20%","Above 20%"))</f>
        <v>Up to 20%</v>
      </c>
    </row>
    <row r="668" customFormat="false" ht="15" hidden="false" customHeight="true" outlineLevel="0" collapsed="false">
      <c r="A668" s="7" t="s">
        <v>1343</v>
      </c>
      <c r="B668" s="26" t="n">
        <v>45898</v>
      </c>
      <c r="C668" s="26" t="n">
        <v>45902</v>
      </c>
      <c r="D668" s="7" t="s">
        <v>773</v>
      </c>
      <c r="E668" s="7" t="s">
        <v>774</v>
      </c>
      <c r="F668" s="7" t="s">
        <v>159</v>
      </c>
      <c r="G668" s="7" t="s">
        <v>206</v>
      </c>
      <c r="H668" s="7" t="s">
        <v>207</v>
      </c>
      <c r="I668" s="7" t="s">
        <v>199</v>
      </c>
      <c r="J668" s="7" t="s">
        <v>200</v>
      </c>
      <c r="K668" s="7" t="s">
        <v>201</v>
      </c>
      <c r="L668" s="7" t="s">
        <v>202</v>
      </c>
      <c r="M668" s="7" t="n">
        <v>2</v>
      </c>
      <c r="N668" s="27" t="n">
        <v>399</v>
      </c>
      <c r="O668" s="28" t="n">
        <v>0</v>
      </c>
      <c r="P668" s="27" t="n">
        <v>798</v>
      </c>
      <c r="Q668" s="27" t="n">
        <v>320</v>
      </c>
      <c r="R668" s="27" t="n">
        <v>478</v>
      </c>
      <c r="S668" s="7" t="s">
        <v>60</v>
      </c>
      <c r="T668" s="7" t="str">
        <f aca="false">IF(O668=0,"No discount",IF(O668&lt;=0.2,"Up to 20%","Above 20%"))</f>
        <v>No discount</v>
      </c>
    </row>
    <row r="669" customFormat="false" ht="15" hidden="false" customHeight="true" outlineLevel="0" collapsed="false">
      <c r="A669" s="7" t="s">
        <v>1344</v>
      </c>
      <c r="B669" s="26" t="n">
        <v>45898</v>
      </c>
      <c r="C669" s="26" t="n">
        <v>45900</v>
      </c>
      <c r="D669" s="7" t="s">
        <v>806</v>
      </c>
      <c r="E669" s="7" t="s">
        <v>807</v>
      </c>
      <c r="F669" s="7" t="s">
        <v>159</v>
      </c>
      <c r="G669" s="7" t="s">
        <v>160</v>
      </c>
      <c r="H669" s="7" t="s">
        <v>161</v>
      </c>
      <c r="I669" s="7" t="s">
        <v>171</v>
      </c>
      <c r="J669" s="7" t="s">
        <v>172</v>
      </c>
      <c r="K669" s="7" t="s">
        <v>593</v>
      </c>
      <c r="L669" s="7" t="s">
        <v>594</v>
      </c>
      <c r="M669" s="7" t="n">
        <v>1</v>
      </c>
      <c r="N669" s="27" t="n">
        <v>1199</v>
      </c>
      <c r="O669" s="28" t="n">
        <v>0</v>
      </c>
      <c r="P669" s="27" t="n">
        <v>1199</v>
      </c>
      <c r="Q669" s="27" t="n">
        <v>650</v>
      </c>
      <c r="R669" s="27" t="n">
        <v>549</v>
      </c>
      <c r="S669" s="7" t="s">
        <v>60</v>
      </c>
      <c r="T669" s="7" t="str">
        <f aca="false">IF(O669=0,"No discount",IF(O669&lt;=0.2,"Up to 20%","Above 20%"))</f>
        <v>No discount</v>
      </c>
    </row>
    <row r="670" customFormat="false" ht="15" hidden="false" customHeight="true" outlineLevel="0" collapsed="false">
      <c r="A670" s="7" t="s">
        <v>1345</v>
      </c>
      <c r="B670" s="26" t="n">
        <v>45898</v>
      </c>
      <c r="C670" s="26" t="n">
        <v>45899</v>
      </c>
      <c r="D670" s="7" t="s">
        <v>597</v>
      </c>
      <c r="E670" s="7" t="s">
        <v>598</v>
      </c>
      <c r="F670" s="7" t="s">
        <v>159</v>
      </c>
      <c r="G670" s="7" t="s">
        <v>160</v>
      </c>
      <c r="H670" s="7" t="s">
        <v>269</v>
      </c>
      <c r="I670" s="7" t="s">
        <v>208</v>
      </c>
      <c r="J670" s="7" t="s">
        <v>232</v>
      </c>
      <c r="K670" s="7" t="s">
        <v>233</v>
      </c>
      <c r="L670" s="7" t="s">
        <v>234</v>
      </c>
      <c r="M670" s="7" t="n">
        <v>1</v>
      </c>
      <c r="N670" s="27" t="n">
        <v>7999</v>
      </c>
      <c r="O670" s="28" t="n">
        <v>0</v>
      </c>
      <c r="P670" s="27" t="n">
        <v>7999</v>
      </c>
      <c r="Q670" s="27" t="n">
        <v>5600</v>
      </c>
      <c r="R670" s="27" t="n">
        <v>2399</v>
      </c>
      <c r="S670" s="7" t="s">
        <v>60</v>
      </c>
      <c r="T670" s="7" t="str">
        <f aca="false">IF(O670=0,"No discount",IF(O670&lt;=0.2,"Up to 20%","Above 20%"))</f>
        <v>No discount</v>
      </c>
    </row>
    <row r="671" customFormat="false" ht="15" hidden="false" customHeight="true" outlineLevel="0" collapsed="false">
      <c r="A671" s="7" t="s">
        <v>1346</v>
      </c>
      <c r="B671" s="26" t="n">
        <v>45898</v>
      </c>
      <c r="C671" s="26" t="n">
        <v>45904</v>
      </c>
      <c r="D671" s="7" t="s">
        <v>760</v>
      </c>
      <c r="E671" s="7" t="s">
        <v>761</v>
      </c>
      <c r="F671" s="7" t="s">
        <v>159</v>
      </c>
      <c r="G671" s="7" t="s">
        <v>169</v>
      </c>
      <c r="H671" s="7" t="s">
        <v>170</v>
      </c>
      <c r="I671" s="7" t="s">
        <v>171</v>
      </c>
      <c r="J671" s="7" t="s">
        <v>304</v>
      </c>
      <c r="K671" s="7" t="s">
        <v>499</v>
      </c>
      <c r="L671" s="7" t="s">
        <v>500</v>
      </c>
      <c r="M671" s="7" t="n">
        <v>1</v>
      </c>
      <c r="N671" s="27" t="n">
        <v>5499</v>
      </c>
      <c r="O671" s="28" t="n">
        <v>0</v>
      </c>
      <c r="P671" s="27" t="n">
        <v>5499</v>
      </c>
      <c r="Q671" s="27" t="n">
        <v>3900</v>
      </c>
      <c r="R671" s="27" t="n">
        <v>1599</v>
      </c>
      <c r="S671" s="7" t="s">
        <v>60</v>
      </c>
      <c r="T671" s="7" t="str">
        <f aca="false">IF(O671=0,"No discount",IF(O671&lt;=0.2,"Up to 20%","Above 20%"))</f>
        <v>No discount</v>
      </c>
    </row>
    <row r="672" customFormat="false" ht="15" hidden="false" customHeight="true" outlineLevel="0" collapsed="false">
      <c r="A672" s="7" t="s">
        <v>1347</v>
      </c>
      <c r="B672" s="26" t="n">
        <v>45899</v>
      </c>
      <c r="C672" s="26" t="n">
        <v>45900</v>
      </c>
      <c r="D672" s="7" t="s">
        <v>726</v>
      </c>
      <c r="E672" s="7" t="s">
        <v>727</v>
      </c>
      <c r="F672" s="7" t="s">
        <v>178</v>
      </c>
      <c r="G672" s="7" t="s">
        <v>206</v>
      </c>
      <c r="H672" s="7" t="s">
        <v>207</v>
      </c>
      <c r="I672" s="7" t="s">
        <v>171</v>
      </c>
      <c r="J672" s="7" t="s">
        <v>172</v>
      </c>
      <c r="K672" s="7" t="s">
        <v>173</v>
      </c>
      <c r="L672" s="7" t="s">
        <v>174</v>
      </c>
      <c r="M672" s="7" t="n">
        <v>1</v>
      </c>
      <c r="N672" s="27" t="n">
        <v>699</v>
      </c>
      <c r="O672" s="28" t="n">
        <v>0.2</v>
      </c>
      <c r="P672" s="27" t="n">
        <v>559</v>
      </c>
      <c r="Q672" s="27" t="n">
        <v>320</v>
      </c>
      <c r="R672" s="27" t="n">
        <v>239</v>
      </c>
      <c r="S672" s="7" t="s">
        <v>60</v>
      </c>
      <c r="T672" s="7" t="str">
        <f aca="false">IF(O672=0,"No discount",IF(O672&lt;=0.2,"Up to 20%","Above 20%"))</f>
        <v>Up to 20%</v>
      </c>
    </row>
    <row r="673" customFormat="false" ht="15" hidden="false" customHeight="true" outlineLevel="0" collapsed="false">
      <c r="A673" s="7" t="s">
        <v>1348</v>
      </c>
      <c r="B673" s="26" t="n">
        <v>45899</v>
      </c>
      <c r="C673" s="26" t="n">
        <v>45906</v>
      </c>
      <c r="D673" s="7" t="s">
        <v>318</v>
      </c>
      <c r="E673" s="7" t="s">
        <v>319</v>
      </c>
      <c r="F673" s="7" t="s">
        <v>219</v>
      </c>
      <c r="G673" s="7" t="s">
        <v>160</v>
      </c>
      <c r="H673" s="7" t="s">
        <v>263</v>
      </c>
      <c r="I673" s="7" t="s">
        <v>208</v>
      </c>
      <c r="J673" s="7" t="s">
        <v>232</v>
      </c>
      <c r="K673" s="7" t="s">
        <v>233</v>
      </c>
      <c r="L673" s="7" t="s">
        <v>234</v>
      </c>
      <c r="M673" s="7" t="n">
        <v>2</v>
      </c>
      <c r="N673" s="27" t="n">
        <v>7999</v>
      </c>
      <c r="O673" s="28" t="n">
        <v>0</v>
      </c>
      <c r="P673" s="27" t="n">
        <v>15998</v>
      </c>
      <c r="Q673" s="27" t="n">
        <v>11200</v>
      </c>
      <c r="R673" s="27" t="n">
        <v>4798</v>
      </c>
      <c r="S673" s="7" t="s">
        <v>60</v>
      </c>
      <c r="T673" s="7" t="str">
        <f aca="false">IF(O673=0,"No discount",IF(O673&lt;=0.2,"Up to 20%","Above 20%"))</f>
        <v>No discount</v>
      </c>
    </row>
    <row r="674" customFormat="false" ht="15" hidden="false" customHeight="true" outlineLevel="0" collapsed="false">
      <c r="A674" s="7" t="s">
        <v>1349</v>
      </c>
      <c r="B674" s="26" t="n">
        <v>45900</v>
      </c>
      <c r="C674" s="26" t="n">
        <v>45906</v>
      </c>
      <c r="D674" s="7" t="s">
        <v>267</v>
      </c>
      <c r="E674" s="7" t="s">
        <v>268</v>
      </c>
      <c r="F674" s="7" t="s">
        <v>159</v>
      </c>
      <c r="G674" s="7" t="s">
        <v>160</v>
      </c>
      <c r="H674" s="7" t="s">
        <v>269</v>
      </c>
      <c r="I674" s="7" t="s">
        <v>282</v>
      </c>
      <c r="J674" s="7" t="s">
        <v>387</v>
      </c>
      <c r="K674" s="7" t="s">
        <v>388</v>
      </c>
      <c r="L674" s="7" t="s">
        <v>389</v>
      </c>
      <c r="M674" s="7" t="n">
        <v>2</v>
      </c>
      <c r="N674" s="27" t="n">
        <v>1299</v>
      </c>
      <c r="O674" s="28" t="n">
        <v>0</v>
      </c>
      <c r="P674" s="27" t="n">
        <v>2598</v>
      </c>
      <c r="Q674" s="27" t="n">
        <v>1560</v>
      </c>
      <c r="R674" s="27" t="n">
        <v>1038</v>
      </c>
      <c r="S674" s="7" t="s">
        <v>60</v>
      </c>
      <c r="T674" s="7" t="str">
        <f aca="false">IF(O674=0,"No discount",IF(O674&lt;=0.2,"Up to 20%","Above 20%"))</f>
        <v>No discount</v>
      </c>
    </row>
    <row r="675" customFormat="false" ht="15" hidden="false" customHeight="true" outlineLevel="0" collapsed="false">
      <c r="A675" s="7" t="s">
        <v>1350</v>
      </c>
      <c r="B675" s="26" t="n">
        <v>45900</v>
      </c>
      <c r="C675" s="26" t="n">
        <v>45902</v>
      </c>
      <c r="D675" s="7" t="s">
        <v>403</v>
      </c>
      <c r="E675" s="7" t="s">
        <v>404</v>
      </c>
      <c r="F675" s="7" t="s">
        <v>219</v>
      </c>
      <c r="G675" s="7" t="s">
        <v>169</v>
      </c>
      <c r="H675" s="7" t="s">
        <v>191</v>
      </c>
      <c r="I675" s="7" t="s">
        <v>171</v>
      </c>
      <c r="J675" s="7" t="s">
        <v>304</v>
      </c>
      <c r="K675" s="7" t="s">
        <v>305</v>
      </c>
      <c r="L675" s="7" t="s">
        <v>306</v>
      </c>
      <c r="M675" s="7" t="n">
        <v>2</v>
      </c>
      <c r="N675" s="27" t="n">
        <v>2999</v>
      </c>
      <c r="O675" s="28" t="n">
        <v>0.1</v>
      </c>
      <c r="P675" s="27" t="n">
        <v>5398</v>
      </c>
      <c r="Q675" s="27" t="n">
        <v>4000</v>
      </c>
      <c r="R675" s="27" t="n">
        <v>1398</v>
      </c>
      <c r="S675" s="7" t="s">
        <v>47</v>
      </c>
      <c r="T675" s="7" t="str">
        <f aca="false">IF(O675=0,"No discount",IF(O675&lt;=0.2,"Up to 20%","Above 20%"))</f>
        <v>Up to 20%</v>
      </c>
    </row>
    <row r="676" customFormat="false" ht="15" hidden="false" customHeight="true" outlineLevel="0" collapsed="false">
      <c r="A676" s="7" t="s">
        <v>1351</v>
      </c>
      <c r="B676" s="26" t="n">
        <v>45901</v>
      </c>
      <c r="C676" s="26" t="n">
        <v>45906</v>
      </c>
      <c r="D676" s="7" t="s">
        <v>662</v>
      </c>
      <c r="E676" s="7" t="s">
        <v>663</v>
      </c>
      <c r="F676" s="7" t="s">
        <v>159</v>
      </c>
      <c r="G676" s="7" t="s">
        <v>160</v>
      </c>
      <c r="H676" s="7" t="s">
        <v>161</v>
      </c>
      <c r="I676" s="7" t="s">
        <v>192</v>
      </c>
      <c r="J676" s="7" t="s">
        <v>193</v>
      </c>
      <c r="K676" s="7" t="s">
        <v>194</v>
      </c>
      <c r="L676" s="7" t="s">
        <v>195</v>
      </c>
      <c r="M676" s="7" t="n">
        <v>1</v>
      </c>
      <c r="N676" s="27" t="n">
        <v>8999</v>
      </c>
      <c r="O676" s="28" t="n">
        <v>0.2</v>
      </c>
      <c r="P676" s="27" t="n">
        <v>7199</v>
      </c>
      <c r="Q676" s="27" t="n">
        <v>6800</v>
      </c>
      <c r="R676" s="27" t="n">
        <v>399</v>
      </c>
      <c r="S676" s="7" t="s">
        <v>60</v>
      </c>
      <c r="T676" s="7" t="str">
        <f aca="false">IF(O676=0,"No discount",IF(O676&lt;=0.2,"Up to 20%","Above 20%"))</f>
        <v>Up to 20%</v>
      </c>
    </row>
    <row r="677" customFormat="false" ht="15" hidden="false" customHeight="true" outlineLevel="0" collapsed="false">
      <c r="A677" s="7" t="s">
        <v>1352</v>
      </c>
      <c r="B677" s="26" t="n">
        <v>45901</v>
      </c>
      <c r="C677" s="26" t="n">
        <v>45908</v>
      </c>
      <c r="D677" s="7" t="s">
        <v>167</v>
      </c>
      <c r="E677" s="7" t="s">
        <v>168</v>
      </c>
      <c r="F677" s="7" t="s">
        <v>159</v>
      </c>
      <c r="G677" s="7" t="s">
        <v>169</v>
      </c>
      <c r="H677" s="7" t="s">
        <v>170</v>
      </c>
      <c r="I677" s="7" t="s">
        <v>199</v>
      </c>
      <c r="J677" s="7" t="s">
        <v>398</v>
      </c>
      <c r="K677" s="7" t="s">
        <v>399</v>
      </c>
      <c r="L677" s="7" t="s">
        <v>400</v>
      </c>
      <c r="M677" s="7" t="n">
        <v>1</v>
      </c>
      <c r="N677" s="27" t="n">
        <v>749</v>
      </c>
      <c r="O677" s="28" t="n">
        <v>0.3</v>
      </c>
      <c r="P677" s="27" t="n">
        <v>524</v>
      </c>
      <c r="Q677" s="27" t="n">
        <v>350</v>
      </c>
      <c r="R677" s="27" t="n">
        <v>174</v>
      </c>
      <c r="S677" s="7" t="s">
        <v>60</v>
      </c>
      <c r="T677" s="7" t="str">
        <f aca="false">IF(O677=0,"No discount",IF(O677&lt;=0.2,"Up to 20%","Above 20%"))</f>
        <v>Above 20%</v>
      </c>
    </row>
    <row r="678" customFormat="false" ht="15" hidden="false" customHeight="true" outlineLevel="0" collapsed="false">
      <c r="A678" s="7" t="s">
        <v>1353</v>
      </c>
      <c r="B678" s="26" t="n">
        <v>45901</v>
      </c>
      <c r="C678" s="26" t="n">
        <v>45904</v>
      </c>
      <c r="D678" s="7" t="s">
        <v>648</v>
      </c>
      <c r="E678" s="7" t="s">
        <v>649</v>
      </c>
      <c r="F678" s="7" t="s">
        <v>159</v>
      </c>
      <c r="G678" s="7" t="s">
        <v>160</v>
      </c>
      <c r="H678" s="7" t="s">
        <v>161</v>
      </c>
      <c r="I678" s="7" t="s">
        <v>199</v>
      </c>
      <c r="J678" s="7" t="s">
        <v>200</v>
      </c>
      <c r="K678" s="7" t="s">
        <v>201</v>
      </c>
      <c r="L678" s="7" t="s">
        <v>202</v>
      </c>
      <c r="M678" s="7" t="n">
        <v>1</v>
      </c>
      <c r="N678" s="27" t="n">
        <v>399</v>
      </c>
      <c r="O678" s="28" t="n">
        <v>0.1</v>
      </c>
      <c r="P678" s="27" t="n">
        <v>359</v>
      </c>
      <c r="Q678" s="27" t="n">
        <v>160</v>
      </c>
      <c r="R678" s="27" t="n">
        <v>199</v>
      </c>
      <c r="S678" s="7" t="s">
        <v>47</v>
      </c>
      <c r="T678" s="7" t="str">
        <f aca="false">IF(O678=0,"No discount",IF(O678&lt;=0.2,"Up to 20%","Above 20%"))</f>
        <v>Up to 20%</v>
      </c>
    </row>
    <row r="679" customFormat="false" ht="15" hidden="false" customHeight="true" outlineLevel="0" collapsed="false">
      <c r="A679" s="7" t="s">
        <v>1354</v>
      </c>
      <c r="B679" s="26" t="n">
        <v>45902</v>
      </c>
      <c r="C679" s="26" t="n">
        <v>45909</v>
      </c>
      <c r="D679" s="7" t="s">
        <v>321</v>
      </c>
      <c r="E679" s="7" t="s">
        <v>322</v>
      </c>
      <c r="F679" s="7" t="s">
        <v>219</v>
      </c>
      <c r="G679" s="7" t="s">
        <v>323</v>
      </c>
      <c r="H679" s="7" t="s">
        <v>324</v>
      </c>
      <c r="I679" s="7" t="s">
        <v>162</v>
      </c>
      <c r="J679" s="7" t="s">
        <v>163</v>
      </c>
      <c r="K679" s="7" t="s">
        <v>164</v>
      </c>
      <c r="L679" s="7" t="s">
        <v>165</v>
      </c>
      <c r="M679" s="7" t="n">
        <v>3</v>
      </c>
      <c r="N679" s="27" t="n">
        <v>1999</v>
      </c>
      <c r="O679" s="28" t="n">
        <v>0.1</v>
      </c>
      <c r="P679" s="27" t="n">
        <v>5397</v>
      </c>
      <c r="Q679" s="27" t="n">
        <v>3150</v>
      </c>
      <c r="R679" s="27" t="n">
        <v>2247</v>
      </c>
      <c r="S679" s="7" t="s">
        <v>47</v>
      </c>
      <c r="T679" s="7" t="str">
        <f aca="false">IF(O679=0,"No discount",IF(O679&lt;=0.2,"Up to 20%","Above 20%"))</f>
        <v>Up to 20%</v>
      </c>
    </row>
    <row r="680" customFormat="false" ht="15" hidden="false" customHeight="true" outlineLevel="0" collapsed="false">
      <c r="A680" s="7" t="s">
        <v>1355</v>
      </c>
      <c r="B680" s="26" t="n">
        <v>45902</v>
      </c>
      <c r="C680" s="26" t="n">
        <v>45907</v>
      </c>
      <c r="D680" s="7" t="s">
        <v>545</v>
      </c>
      <c r="E680" s="7" t="s">
        <v>546</v>
      </c>
      <c r="F680" s="7" t="s">
        <v>219</v>
      </c>
      <c r="G680" s="7" t="s">
        <v>169</v>
      </c>
      <c r="H680" s="7" t="s">
        <v>179</v>
      </c>
      <c r="I680" s="7" t="s">
        <v>162</v>
      </c>
      <c r="J680" s="7" t="s">
        <v>163</v>
      </c>
      <c r="K680" s="7" t="s">
        <v>507</v>
      </c>
      <c r="L680" s="7" t="s">
        <v>508</v>
      </c>
      <c r="M680" s="7" t="n">
        <v>2</v>
      </c>
      <c r="N680" s="27" t="n">
        <v>1199</v>
      </c>
      <c r="O680" s="28" t="n">
        <v>0.5</v>
      </c>
      <c r="P680" s="27" t="n">
        <v>1199</v>
      </c>
      <c r="Q680" s="27" t="n">
        <v>1200</v>
      </c>
      <c r="R680" s="27" t="n">
        <v>-1</v>
      </c>
      <c r="S680" s="7" t="s">
        <v>60</v>
      </c>
      <c r="T680" s="7" t="str">
        <f aca="false">IF(O680=0,"No discount",IF(O680&lt;=0.2,"Up to 20%","Above 20%"))</f>
        <v>Above 20%</v>
      </c>
    </row>
    <row r="681" customFormat="false" ht="15" hidden="false" customHeight="true" outlineLevel="0" collapsed="false">
      <c r="A681" s="7" t="s">
        <v>1356</v>
      </c>
      <c r="B681" s="26" t="n">
        <v>45903</v>
      </c>
      <c r="C681" s="26" t="n">
        <v>45908</v>
      </c>
      <c r="D681" s="7" t="s">
        <v>1090</v>
      </c>
      <c r="E681" s="7" t="s">
        <v>1091</v>
      </c>
      <c r="F681" s="7" t="s">
        <v>178</v>
      </c>
      <c r="G681" s="7" t="s">
        <v>169</v>
      </c>
      <c r="H681" s="7" t="s">
        <v>179</v>
      </c>
      <c r="I681" s="7" t="s">
        <v>282</v>
      </c>
      <c r="J681" s="7" t="s">
        <v>283</v>
      </c>
      <c r="K681" s="7" t="s">
        <v>284</v>
      </c>
      <c r="L681" s="7" t="s">
        <v>285</v>
      </c>
      <c r="M681" s="7" t="n">
        <v>1</v>
      </c>
      <c r="N681" s="27" t="n">
        <v>199</v>
      </c>
      <c r="O681" s="28" t="n">
        <v>0.1</v>
      </c>
      <c r="P681" s="27" t="n">
        <v>179</v>
      </c>
      <c r="Q681" s="27" t="n">
        <v>90</v>
      </c>
      <c r="R681" s="27" t="n">
        <v>89</v>
      </c>
      <c r="S681" s="7" t="s">
        <v>60</v>
      </c>
      <c r="T681" s="7" t="str">
        <f aca="false">IF(O681=0,"No discount",IF(O681&lt;=0.2,"Up to 20%","Above 20%"))</f>
        <v>Up to 20%</v>
      </c>
    </row>
    <row r="682" customFormat="false" ht="15" hidden="false" customHeight="true" outlineLevel="0" collapsed="false">
      <c r="A682" s="7" t="s">
        <v>1357</v>
      </c>
      <c r="B682" s="26" t="n">
        <v>45903</v>
      </c>
      <c r="C682" s="26" t="n">
        <v>45905</v>
      </c>
      <c r="D682" s="7" t="s">
        <v>465</v>
      </c>
      <c r="E682" s="7" t="s">
        <v>466</v>
      </c>
      <c r="F682" s="7" t="s">
        <v>219</v>
      </c>
      <c r="G682" s="7" t="s">
        <v>323</v>
      </c>
      <c r="H682" s="7" t="s">
        <v>324</v>
      </c>
      <c r="I682" s="7" t="s">
        <v>171</v>
      </c>
      <c r="J682" s="7" t="s">
        <v>304</v>
      </c>
      <c r="K682" s="7" t="s">
        <v>305</v>
      </c>
      <c r="L682" s="7" t="s">
        <v>306</v>
      </c>
      <c r="M682" s="7" t="n">
        <v>1</v>
      </c>
      <c r="N682" s="27" t="n">
        <v>2999</v>
      </c>
      <c r="O682" s="28" t="n">
        <v>0.1</v>
      </c>
      <c r="P682" s="27" t="n">
        <v>2699</v>
      </c>
      <c r="Q682" s="27" t="n">
        <v>2000</v>
      </c>
      <c r="R682" s="27" t="n">
        <v>699</v>
      </c>
      <c r="S682" s="7" t="s">
        <v>60</v>
      </c>
      <c r="T682" s="7" t="str">
        <f aca="false">IF(O682=0,"No discount",IF(O682&lt;=0.2,"Up to 20%","Above 20%"))</f>
        <v>Up to 20%</v>
      </c>
    </row>
    <row r="683" customFormat="false" ht="15" hidden="false" customHeight="true" outlineLevel="0" collapsed="false">
      <c r="A683" s="7" t="s">
        <v>1358</v>
      </c>
      <c r="B683" s="26" t="n">
        <v>45903</v>
      </c>
      <c r="C683" s="26" t="n">
        <v>45905</v>
      </c>
      <c r="D683" s="7" t="s">
        <v>321</v>
      </c>
      <c r="E683" s="7" t="s">
        <v>322</v>
      </c>
      <c r="F683" s="7" t="s">
        <v>219</v>
      </c>
      <c r="G683" s="7" t="s">
        <v>323</v>
      </c>
      <c r="H683" s="7" t="s">
        <v>324</v>
      </c>
      <c r="I683" s="7" t="s">
        <v>199</v>
      </c>
      <c r="J683" s="7" t="s">
        <v>398</v>
      </c>
      <c r="K683" s="7" t="s">
        <v>399</v>
      </c>
      <c r="L683" s="7" t="s">
        <v>400</v>
      </c>
      <c r="M683" s="7" t="n">
        <v>1</v>
      </c>
      <c r="N683" s="27" t="n">
        <v>749</v>
      </c>
      <c r="O683" s="28" t="n">
        <v>0.15</v>
      </c>
      <c r="P683" s="27" t="n">
        <v>637</v>
      </c>
      <c r="Q683" s="27" t="n">
        <v>350</v>
      </c>
      <c r="R683" s="27" t="n">
        <v>287</v>
      </c>
      <c r="S683" s="7" t="s">
        <v>60</v>
      </c>
      <c r="T683" s="7" t="str">
        <f aca="false">IF(O683=0,"No discount",IF(O683&lt;=0.2,"Up to 20%","Above 20%"))</f>
        <v>Up to 20%</v>
      </c>
    </row>
    <row r="684" customFormat="false" ht="15" hidden="false" customHeight="true" outlineLevel="0" collapsed="false">
      <c r="A684" s="7" t="s">
        <v>1359</v>
      </c>
      <c r="B684" s="26" t="n">
        <v>45904</v>
      </c>
      <c r="C684" s="26" t="n">
        <v>45909</v>
      </c>
      <c r="D684" s="7" t="s">
        <v>459</v>
      </c>
      <c r="E684" s="7" t="s">
        <v>460</v>
      </c>
      <c r="F684" s="7" t="s">
        <v>219</v>
      </c>
      <c r="G684" s="7" t="s">
        <v>160</v>
      </c>
      <c r="H684" s="7" t="s">
        <v>269</v>
      </c>
      <c r="I684" s="7" t="s">
        <v>171</v>
      </c>
      <c r="J684" s="7" t="s">
        <v>304</v>
      </c>
      <c r="K684" s="7" t="s">
        <v>305</v>
      </c>
      <c r="L684" s="7" t="s">
        <v>306</v>
      </c>
      <c r="M684" s="7" t="n">
        <v>2</v>
      </c>
      <c r="N684" s="27" t="n">
        <v>2999</v>
      </c>
      <c r="O684" s="28" t="n">
        <v>0.1</v>
      </c>
      <c r="P684" s="27" t="n">
        <v>5398</v>
      </c>
      <c r="Q684" s="27" t="n">
        <v>4000</v>
      </c>
      <c r="R684" s="27" t="n">
        <v>1398</v>
      </c>
      <c r="S684" s="7" t="s">
        <v>60</v>
      </c>
      <c r="T684" s="7" t="str">
        <f aca="false">IF(O684=0,"No discount",IF(O684&lt;=0.2,"Up to 20%","Above 20%"))</f>
        <v>Up to 20%</v>
      </c>
    </row>
    <row r="685" customFormat="false" ht="15" hidden="false" customHeight="true" outlineLevel="0" collapsed="false">
      <c r="A685" s="7" t="s">
        <v>1360</v>
      </c>
      <c r="B685" s="26" t="n">
        <v>45904</v>
      </c>
      <c r="C685" s="26" t="n">
        <v>45910</v>
      </c>
      <c r="D685" s="7" t="s">
        <v>1361</v>
      </c>
      <c r="E685" s="7" t="s">
        <v>1362</v>
      </c>
      <c r="F685" s="7" t="s">
        <v>159</v>
      </c>
      <c r="G685" s="7" t="s">
        <v>160</v>
      </c>
      <c r="H685" s="7" t="s">
        <v>269</v>
      </c>
      <c r="I685" s="7" t="s">
        <v>171</v>
      </c>
      <c r="J685" s="7" t="s">
        <v>172</v>
      </c>
      <c r="K685" s="7" t="s">
        <v>173</v>
      </c>
      <c r="L685" s="7" t="s">
        <v>174</v>
      </c>
      <c r="M685" s="7" t="n">
        <v>1</v>
      </c>
      <c r="N685" s="27" t="n">
        <v>699</v>
      </c>
      <c r="O685" s="28" t="n">
        <v>0.1</v>
      </c>
      <c r="P685" s="27" t="n">
        <v>629</v>
      </c>
      <c r="Q685" s="27" t="n">
        <v>320</v>
      </c>
      <c r="R685" s="27" t="n">
        <v>309</v>
      </c>
      <c r="S685" s="7" t="s">
        <v>60</v>
      </c>
      <c r="T685" s="7" t="str">
        <f aca="false">IF(O685=0,"No discount",IF(O685&lt;=0.2,"Up to 20%","Above 20%"))</f>
        <v>Up to 20%</v>
      </c>
    </row>
    <row r="686" customFormat="false" ht="15" hidden="false" customHeight="true" outlineLevel="0" collapsed="false">
      <c r="A686" s="7" t="s">
        <v>1363</v>
      </c>
      <c r="B686" s="26" t="n">
        <v>45904</v>
      </c>
      <c r="C686" s="26" t="n">
        <v>45907</v>
      </c>
      <c r="D686" s="7" t="s">
        <v>757</v>
      </c>
      <c r="E686" s="7" t="s">
        <v>758</v>
      </c>
      <c r="F686" s="7" t="s">
        <v>159</v>
      </c>
      <c r="G686" s="7" t="s">
        <v>160</v>
      </c>
      <c r="H686" s="7" t="s">
        <v>161</v>
      </c>
      <c r="I686" s="7" t="s">
        <v>208</v>
      </c>
      <c r="J686" s="7" t="s">
        <v>209</v>
      </c>
      <c r="K686" s="7" t="s">
        <v>210</v>
      </c>
      <c r="L686" s="7" t="s">
        <v>211</v>
      </c>
      <c r="M686" s="7" t="n">
        <v>1</v>
      </c>
      <c r="N686" s="27" t="n">
        <v>3499</v>
      </c>
      <c r="O686" s="28" t="n">
        <v>0.2</v>
      </c>
      <c r="P686" s="27" t="n">
        <v>2799</v>
      </c>
      <c r="Q686" s="27" t="n">
        <v>2200</v>
      </c>
      <c r="R686" s="27" t="n">
        <v>599</v>
      </c>
      <c r="S686" s="7" t="s">
        <v>60</v>
      </c>
      <c r="T686" s="7" t="str">
        <f aca="false">IF(O686=0,"No discount",IF(O686&lt;=0.2,"Up to 20%","Above 20%"))</f>
        <v>Up to 20%</v>
      </c>
    </row>
    <row r="687" customFormat="false" ht="15" hidden="false" customHeight="true" outlineLevel="0" collapsed="false">
      <c r="A687" s="7" t="s">
        <v>1364</v>
      </c>
      <c r="B687" s="26" t="n">
        <v>45904</v>
      </c>
      <c r="C687" s="26" t="n">
        <v>45907</v>
      </c>
      <c r="D687" s="7" t="s">
        <v>345</v>
      </c>
      <c r="E687" s="7" t="s">
        <v>346</v>
      </c>
      <c r="F687" s="7" t="s">
        <v>159</v>
      </c>
      <c r="G687" s="7" t="s">
        <v>160</v>
      </c>
      <c r="H687" s="7" t="s">
        <v>161</v>
      </c>
      <c r="I687" s="7" t="s">
        <v>162</v>
      </c>
      <c r="J687" s="7" t="s">
        <v>185</v>
      </c>
      <c r="K687" s="7" t="s">
        <v>186</v>
      </c>
      <c r="L687" s="7" t="s">
        <v>187</v>
      </c>
      <c r="M687" s="7" t="n">
        <v>2</v>
      </c>
      <c r="N687" s="27" t="n">
        <v>3299</v>
      </c>
      <c r="O687" s="28" t="n">
        <v>0.1</v>
      </c>
      <c r="P687" s="27" t="n">
        <v>5938</v>
      </c>
      <c r="Q687" s="27" t="n">
        <v>3800</v>
      </c>
      <c r="R687" s="27" t="n">
        <v>2138</v>
      </c>
      <c r="S687" s="7" t="s">
        <v>60</v>
      </c>
      <c r="T687" s="7" t="str">
        <f aca="false">IF(O687=0,"No discount",IF(O687&lt;=0.2,"Up to 20%","Above 20%"))</f>
        <v>Up to 20%</v>
      </c>
    </row>
    <row r="688" customFormat="false" ht="15" hidden="false" customHeight="true" outlineLevel="0" collapsed="false">
      <c r="A688" s="7" t="s">
        <v>1365</v>
      </c>
      <c r="B688" s="26" t="n">
        <v>45905</v>
      </c>
      <c r="C688" s="26" t="n">
        <v>45910</v>
      </c>
      <c r="D688" s="7" t="s">
        <v>722</v>
      </c>
      <c r="E688" s="7" t="s">
        <v>723</v>
      </c>
      <c r="F688" s="7" t="s">
        <v>159</v>
      </c>
      <c r="G688" s="7" t="s">
        <v>160</v>
      </c>
      <c r="H688" s="7" t="s">
        <v>161</v>
      </c>
      <c r="I688" s="7" t="s">
        <v>199</v>
      </c>
      <c r="J688" s="7" t="s">
        <v>223</v>
      </c>
      <c r="K688" s="7" t="s">
        <v>224</v>
      </c>
      <c r="L688" s="7" t="s">
        <v>225</v>
      </c>
      <c r="M688" s="7" t="n">
        <v>1</v>
      </c>
      <c r="N688" s="27" t="n">
        <v>899</v>
      </c>
      <c r="O688" s="28" t="n">
        <v>0.1</v>
      </c>
      <c r="P688" s="27" t="n">
        <v>809</v>
      </c>
      <c r="Q688" s="27" t="n">
        <v>380</v>
      </c>
      <c r="R688" s="27" t="n">
        <v>429</v>
      </c>
      <c r="S688" s="7" t="s">
        <v>60</v>
      </c>
      <c r="T688" s="7" t="str">
        <f aca="false">IF(O688=0,"No discount",IF(O688&lt;=0.2,"Up to 20%","Above 20%"))</f>
        <v>Up to 20%</v>
      </c>
    </row>
    <row r="689" customFormat="false" ht="15" hidden="false" customHeight="true" outlineLevel="0" collapsed="false">
      <c r="A689" s="7" t="s">
        <v>1366</v>
      </c>
      <c r="B689" s="26" t="n">
        <v>45905</v>
      </c>
      <c r="C689" s="26" t="n">
        <v>45912</v>
      </c>
      <c r="D689" s="7" t="s">
        <v>896</v>
      </c>
      <c r="E689" s="7" t="s">
        <v>897</v>
      </c>
      <c r="F689" s="7" t="s">
        <v>159</v>
      </c>
      <c r="G689" s="7" t="s">
        <v>160</v>
      </c>
      <c r="H689" s="7" t="s">
        <v>269</v>
      </c>
      <c r="I689" s="7" t="s">
        <v>162</v>
      </c>
      <c r="J689" s="7" t="s">
        <v>185</v>
      </c>
      <c r="K689" s="7" t="s">
        <v>186</v>
      </c>
      <c r="L689" s="7" t="s">
        <v>187</v>
      </c>
      <c r="M689" s="7" t="n">
        <v>1</v>
      </c>
      <c r="N689" s="27" t="n">
        <v>3299</v>
      </c>
      <c r="O689" s="28" t="n">
        <v>0.3</v>
      </c>
      <c r="P689" s="27" t="n">
        <v>2309</v>
      </c>
      <c r="Q689" s="27" t="n">
        <v>1900</v>
      </c>
      <c r="R689" s="27" t="n">
        <v>409</v>
      </c>
      <c r="S689" s="7" t="s">
        <v>60</v>
      </c>
      <c r="T689" s="7" t="str">
        <f aca="false">IF(O689=0,"No discount",IF(O689&lt;=0.2,"Up to 20%","Above 20%"))</f>
        <v>Above 20%</v>
      </c>
    </row>
    <row r="690" customFormat="false" ht="15" hidden="false" customHeight="true" outlineLevel="0" collapsed="false">
      <c r="A690" s="7" t="s">
        <v>1367</v>
      </c>
      <c r="B690" s="26" t="n">
        <v>45906</v>
      </c>
      <c r="C690" s="26" t="n">
        <v>45913</v>
      </c>
      <c r="D690" s="7" t="s">
        <v>357</v>
      </c>
      <c r="E690" s="7" t="s">
        <v>358</v>
      </c>
      <c r="F690" s="7" t="s">
        <v>219</v>
      </c>
      <c r="G690" s="7" t="s">
        <v>160</v>
      </c>
      <c r="H690" s="7" t="s">
        <v>161</v>
      </c>
      <c r="I690" s="7" t="s">
        <v>208</v>
      </c>
      <c r="J690" s="7" t="s">
        <v>232</v>
      </c>
      <c r="K690" s="7" t="s">
        <v>233</v>
      </c>
      <c r="L690" s="7" t="s">
        <v>234</v>
      </c>
      <c r="M690" s="7" t="n">
        <v>2</v>
      </c>
      <c r="N690" s="27" t="n">
        <v>7999</v>
      </c>
      <c r="O690" s="28" t="n">
        <v>0.05</v>
      </c>
      <c r="P690" s="27" t="n">
        <v>15198</v>
      </c>
      <c r="Q690" s="27" t="n">
        <v>11200</v>
      </c>
      <c r="R690" s="27" t="n">
        <v>3998</v>
      </c>
      <c r="S690" s="7" t="s">
        <v>60</v>
      </c>
      <c r="T690" s="7" t="str">
        <f aca="false">IF(O690=0,"No discount",IF(O690&lt;=0.2,"Up to 20%","Above 20%"))</f>
        <v>Up to 20%</v>
      </c>
    </row>
    <row r="691" customFormat="false" ht="15" hidden="false" customHeight="true" outlineLevel="0" collapsed="false">
      <c r="A691" s="7" t="s">
        <v>1368</v>
      </c>
      <c r="B691" s="26" t="n">
        <v>45906</v>
      </c>
      <c r="C691" s="26" t="n">
        <v>45909</v>
      </c>
      <c r="D691" s="7" t="s">
        <v>496</v>
      </c>
      <c r="E691" s="7" t="s">
        <v>497</v>
      </c>
      <c r="F691" s="7" t="s">
        <v>178</v>
      </c>
      <c r="G691" s="7" t="s">
        <v>169</v>
      </c>
      <c r="H691" s="7" t="s">
        <v>179</v>
      </c>
      <c r="I691" s="7" t="s">
        <v>199</v>
      </c>
      <c r="J691" s="7" t="s">
        <v>223</v>
      </c>
      <c r="K691" s="7" t="s">
        <v>224</v>
      </c>
      <c r="L691" s="7" t="s">
        <v>225</v>
      </c>
      <c r="M691" s="7" t="n">
        <v>1</v>
      </c>
      <c r="N691" s="27" t="n">
        <v>899</v>
      </c>
      <c r="O691" s="28" t="n">
        <v>0</v>
      </c>
      <c r="P691" s="27" t="n">
        <v>899</v>
      </c>
      <c r="Q691" s="27" t="n">
        <v>380</v>
      </c>
      <c r="R691" s="27" t="n">
        <v>519</v>
      </c>
      <c r="S691" s="7" t="s">
        <v>60</v>
      </c>
      <c r="T691" s="7" t="str">
        <f aca="false">IF(O691=0,"No discount",IF(O691&lt;=0.2,"Up to 20%","Above 20%"))</f>
        <v>No discount</v>
      </c>
    </row>
    <row r="692" customFormat="false" ht="15" hidden="false" customHeight="true" outlineLevel="0" collapsed="false">
      <c r="A692" s="7" t="s">
        <v>1369</v>
      </c>
      <c r="B692" s="26" t="n">
        <v>45906</v>
      </c>
      <c r="C692" s="26" t="n">
        <v>45911</v>
      </c>
      <c r="D692" s="7" t="s">
        <v>267</v>
      </c>
      <c r="E692" s="7" t="s">
        <v>268</v>
      </c>
      <c r="F692" s="7" t="s">
        <v>159</v>
      </c>
      <c r="G692" s="7" t="s">
        <v>160</v>
      </c>
      <c r="H692" s="7" t="s">
        <v>269</v>
      </c>
      <c r="I692" s="7" t="s">
        <v>199</v>
      </c>
      <c r="J692" s="7" t="s">
        <v>200</v>
      </c>
      <c r="K692" s="7" t="s">
        <v>201</v>
      </c>
      <c r="L692" s="7" t="s">
        <v>202</v>
      </c>
      <c r="M692" s="7" t="n">
        <v>1</v>
      </c>
      <c r="N692" s="27" t="n">
        <v>399</v>
      </c>
      <c r="O692" s="28" t="n">
        <v>0.1</v>
      </c>
      <c r="P692" s="27" t="n">
        <v>359</v>
      </c>
      <c r="Q692" s="27" t="n">
        <v>160</v>
      </c>
      <c r="R692" s="27" t="n">
        <v>199</v>
      </c>
      <c r="S692" s="7" t="s">
        <v>60</v>
      </c>
      <c r="T692" s="7" t="str">
        <f aca="false">IF(O692=0,"No discount",IF(O692&lt;=0.2,"Up to 20%","Above 20%"))</f>
        <v>Up to 20%</v>
      </c>
    </row>
    <row r="693" customFormat="false" ht="15" hidden="false" customHeight="true" outlineLevel="0" collapsed="false">
      <c r="A693" s="7" t="s">
        <v>1370</v>
      </c>
      <c r="B693" s="26" t="n">
        <v>45906</v>
      </c>
      <c r="C693" s="26" t="n">
        <v>45907</v>
      </c>
      <c r="D693" s="7" t="s">
        <v>900</v>
      </c>
      <c r="E693" s="7" t="s">
        <v>901</v>
      </c>
      <c r="F693" s="7" t="s">
        <v>219</v>
      </c>
      <c r="G693" s="7" t="s">
        <v>160</v>
      </c>
      <c r="H693" s="7" t="s">
        <v>269</v>
      </c>
      <c r="I693" s="7" t="s">
        <v>208</v>
      </c>
      <c r="J693" s="7" t="s">
        <v>209</v>
      </c>
      <c r="K693" s="7" t="s">
        <v>637</v>
      </c>
      <c r="L693" s="7" t="s">
        <v>638</v>
      </c>
      <c r="M693" s="7" t="n">
        <v>3</v>
      </c>
      <c r="N693" s="27" t="n">
        <v>899</v>
      </c>
      <c r="O693" s="28" t="n">
        <v>0</v>
      </c>
      <c r="P693" s="27" t="n">
        <v>2697</v>
      </c>
      <c r="Q693" s="27" t="n">
        <v>1440</v>
      </c>
      <c r="R693" s="27" t="n">
        <v>1257</v>
      </c>
      <c r="S693" s="7" t="s">
        <v>60</v>
      </c>
      <c r="T693" s="7" t="str">
        <f aca="false">IF(O693=0,"No discount",IF(O693&lt;=0.2,"Up to 20%","Above 20%"))</f>
        <v>No discount</v>
      </c>
    </row>
    <row r="694" customFormat="false" ht="15" hidden="false" customHeight="true" outlineLevel="0" collapsed="false">
      <c r="A694" s="7" t="s">
        <v>1371</v>
      </c>
      <c r="B694" s="26" t="n">
        <v>45907</v>
      </c>
      <c r="C694" s="26" t="n">
        <v>45908</v>
      </c>
      <c r="D694" s="7" t="s">
        <v>444</v>
      </c>
      <c r="E694" s="7" t="s">
        <v>445</v>
      </c>
      <c r="F694" s="7" t="s">
        <v>159</v>
      </c>
      <c r="G694" s="7" t="s">
        <v>206</v>
      </c>
      <c r="H694" s="7" t="s">
        <v>207</v>
      </c>
      <c r="I694" s="7" t="s">
        <v>162</v>
      </c>
      <c r="J694" s="7" t="s">
        <v>163</v>
      </c>
      <c r="K694" s="7" t="s">
        <v>164</v>
      </c>
      <c r="L694" s="7" t="s">
        <v>165</v>
      </c>
      <c r="M694" s="7" t="n">
        <v>2</v>
      </c>
      <c r="N694" s="27" t="n">
        <v>1999</v>
      </c>
      <c r="O694" s="28" t="n">
        <v>0.2</v>
      </c>
      <c r="P694" s="27" t="n">
        <v>3198</v>
      </c>
      <c r="Q694" s="27" t="n">
        <v>2100</v>
      </c>
      <c r="R694" s="27" t="n">
        <v>1098</v>
      </c>
      <c r="S694" s="7" t="s">
        <v>47</v>
      </c>
      <c r="T694" s="7" t="str">
        <f aca="false">IF(O694=0,"No discount",IF(O694&lt;=0.2,"Up to 20%","Above 20%"))</f>
        <v>Up to 20%</v>
      </c>
    </row>
    <row r="695" customFormat="false" ht="15" hidden="false" customHeight="true" outlineLevel="0" collapsed="false">
      <c r="A695" s="7" t="s">
        <v>1372</v>
      </c>
      <c r="B695" s="26" t="n">
        <v>45907</v>
      </c>
      <c r="C695" s="26" t="n">
        <v>45913</v>
      </c>
      <c r="D695" s="7" t="s">
        <v>321</v>
      </c>
      <c r="E695" s="7" t="s">
        <v>322</v>
      </c>
      <c r="F695" s="7" t="s">
        <v>219</v>
      </c>
      <c r="G695" s="7" t="s">
        <v>323</v>
      </c>
      <c r="H695" s="7" t="s">
        <v>324</v>
      </c>
      <c r="I695" s="7" t="s">
        <v>171</v>
      </c>
      <c r="J695" s="7" t="s">
        <v>172</v>
      </c>
      <c r="K695" s="7" t="s">
        <v>180</v>
      </c>
      <c r="L695" s="7" t="s">
        <v>181</v>
      </c>
      <c r="M695" s="7" t="n">
        <v>1</v>
      </c>
      <c r="N695" s="27" t="n">
        <v>999</v>
      </c>
      <c r="O695" s="28" t="n">
        <v>0</v>
      </c>
      <c r="P695" s="27" t="n">
        <v>999</v>
      </c>
      <c r="Q695" s="27" t="n">
        <v>520</v>
      </c>
      <c r="R695" s="27" t="n">
        <v>479</v>
      </c>
      <c r="S695" s="7" t="s">
        <v>60</v>
      </c>
      <c r="T695" s="7" t="str">
        <f aca="false">IF(O695=0,"No discount",IF(O695&lt;=0.2,"Up to 20%","Above 20%"))</f>
        <v>No discount</v>
      </c>
    </row>
    <row r="696" customFormat="false" ht="15" hidden="false" customHeight="true" outlineLevel="0" collapsed="false">
      <c r="A696" s="7" t="s">
        <v>1373</v>
      </c>
      <c r="B696" s="26" t="n">
        <v>45907</v>
      </c>
      <c r="C696" s="26" t="n">
        <v>45912</v>
      </c>
      <c r="D696" s="7" t="s">
        <v>903</v>
      </c>
      <c r="E696" s="7" t="s">
        <v>904</v>
      </c>
      <c r="F696" s="7" t="s">
        <v>219</v>
      </c>
      <c r="G696" s="7" t="s">
        <v>206</v>
      </c>
      <c r="H696" s="7" t="s">
        <v>207</v>
      </c>
      <c r="I696" s="7" t="s">
        <v>192</v>
      </c>
      <c r="J696" s="7" t="s">
        <v>213</v>
      </c>
      <c r="K696" s="7" t="s">
        <v>264</v>
      </c>
      <c r="L696" s="7" t="s">
        <v>265</v>
      </c>
      <c r="M696" s="7" t="n">
        <v>1</v>
      </c>
      <c r="N696" s="27" t="n">
        <v>2499</v>
      </c>
      <c r="O696" s="28" t="n">
        <v>0.4</v>
      </c>
      <c r="P696" s="27" t="n">
        <v>1499</v>
      </c>
      <c r="Q696" s="27" t="n">
        <v>1700</v>
      </c>
      <c r="R696" s="27" t="n">
        <v>-201</v>
      </c>
      <c r="S696" s="7" t="s">
        <v>60</v>
      </c>
      <c r="T696" s="7" t="str">
        <f aca="false">IF(O696=0,"No discount",IF(O696&lt;=0.2,"Up to 20%","Above 20%"))</f>
        <v>Above 20%</v>
      </c>
    </row>
    <row r="697" customFormat="false" ht="15" hidden="false" customHeight="true" outlineLevel="0" collapsed="false">
      <c r="A697" s="7" t="s">
        <v>1374</v>
      </c>
      <c r="B697" s="26" t="n">
        <v>45907</v>
      </c>
      <c r="C697" s="26" t="n">
        <v>45908</v>
      </c>
      <c r="D697" s="7" t="s">
        <v>459</v>
      </c>
      <c r="E697" s="7" t="s">
        <v>460</v>
      </c>
      <c r="F697" s="7" t="s">
        <v>219</v>
      </c>
      <c r="G697" s="7" t="s">
        <v>160</v>
      </c>
      <c r="H697" s="7" t="s">
        <v>269</v>
      </c>
      <c r="I697" s="7" t="s">
        <v>171</v>
      </c>
      <c r="J697" s="7" t="s">
        <v>314</v>
      </c>
      <c r="K697" s="7" t="s">
        <v>315</v>
      </c>
      <c r="L697" s="7" t="s">
        <v>316</v>
      </c>
      <c r="M697" s="7" t="n">
        <v>2</v>
      </c>
      <c r="N697" s="27" t="n">
        <v>1299</v>
      </c>
      <c r="O697" s="28" t="n">
        <v>0.1</v>
      </c>
      <c r="P697" s="27" t="n">
        <v>2338</v>
      </c>
      <c r="Q697" s="27" t="n">
        <v>1400</v>
      </c>
      <c r="R697" s="27" t="n">
        <v>938</v>
      </c>
      <c r="S697" s="7" t="s">
        <v>60</v>
      </c>
      <c r="T697" s="7" t="str">
        <f aca="false">IF(O697=0,"No discount",IF(O697&lt;=0.2,"Up to 20%","Above 20%"))</f>
        <v>Up to 20%</v>
      </c>
    </row>
    <row r="698" customFormat="false" ht="15" hidden="false" customHeight="true" outlineLevel="0" collapsed="false">
      <c r="A698" s="7" t="s">
        <v>1375</v>
      </c>
      <c r="B698" s="26" t="n">
        <v>45907</v>
      </c>
      <c r="C698" s="26" t="n">
        <v>45908</v>
      </c>
      <c r="D698" s="7" t="s">
        <v>947</v>
      </c>
      <c r="E698" s="7" t="s">
        <v>948</v>
      </c>
      <c r="F698" s="7" t="s">
        <v>159</v>
      </c>
      <c r="G698" s="7" t="s">
        <v>160</v>
      </c>
      <c r="H698" s="7" t="s">
        <v>269</v>
      </c>
      <c r="I698" s="7" t="s">
        <v>192</v>
      </c>
      <c r="J698" s="7" t="s">
        <v>502</v>
      </c>
      <c r="K698" s="7" t="s">
        <v>526</v>
      </c>
      <c r="L698" s="7" t="s">
        <v>527</v>
      </c>
      <c r="M698" s="7" t="n">
        <v>2</v>
      </c>
      <c r="N698" s="27" t="n">
        <v>6499</v>
      </c>
      <c r="O698" s="28" t="n">
        <v>0.3</v>
      </c>
      <c r="P698" s="27" t="n">
        <v>9099</v>
      </c>
      <c r="Q698" s="27" t="n">
        <v>10000</v>
      </c>
      <c r="R698" s="27" t="n">
        <v>-901</v>
      </c>
      <c r="S698" s="7" t="s">
        <v>60</v>
      </c>
      <c r="T698" s="7" t="str">
        <f aca="false">IF(O698=0,"No discount",IF(O698&lt;=0.2,"Up to 20%","Above 20%"))</f>
        <v>Above 20%</v>
      </c>
    </row>
    <row r="699" customFormat="false" ht="15" hidden="false" customHeight="true" outlineLevel="0" collapsed="false">
      <c r="A699" s="7" t="s">
        <v>1376</v>
      </c>
      <c r="B699" s="26" t="n">
        <v>45908</v>
      </c>
      <c r="C699" s="26" t="n">
        <v>45909</v>
      </c>
      <c r="D699" s="7" t="s">
        <v>651</v>
      </c>
      <c r="E699" s="7" t="s">
        <v>652</v>
      </c>
      <c r="F699" s="7" t="s">
        <v>219</v>
      </c>
      <c r="G699" s="7" t="s">
        <v>206</v>
      </c>
      <c r="H699" s="7" t="s">
        <v>207</v>
      </c>
      <c r="I699" s="7" t="s">
        <v>171</v>
      </c>
      <c r="J699" s="7" t="s">
        <v>172</v>
      </c>
      <c r="K699" s="7" t="s">
        <v>173</v>
      </c>
      <c r="L699" s="7" t="s">
        <v>174</v>
      </c>
      <c r="M699" s="7" t="n">
        <v>1</v>
      </c>
      <c r="N699" s="27" t="n">
        <v>699</v>
      </c>
      <c r="O699" s="28" t="n">
        <v>0.1</v>
      </c>
      <c r="P699" s="27" t="n">
        <v>629</v>
      </c>
      <c r="Q699" s="27" t="n">
        <v>320</v>
      </c>
      <c r="R699" s="27" t="n">
        <v>309</v>
      </c>
      <c r="S699" s="7" t="s">
        <v>60</v>
      </c>
      <c r="T699" s="7" t="str">
        <f aca="false">IF(O699=0,"No discount",IF(O699&lt;=0.2,"Up to 20%","Above 20%"))</f>
        <v>Up to 20%</v>
      </c>
    </row>
    <row r="700" customFormat="false" ht="15" hidden="false" customHeight="true" outlineLevel="0" collapsed="false">
      <c r="A700" s="7" t="s">
        <v>1377</v>
      </c>
      <c r="B700" s="26" t="n">
        <v>45908</v>
      </c>
      <c r="C700" s="26" t="n">
        <v>45909</v>
      </c>
      <c r="D700" s="7" t="s">
        <v>456</v>
      </c>
      <c r="E700" s="7" t="s">
        <v>457</v>
      </c>
      <c r="F700" s="7" t="s">
        <v>159</v>
      </c>
      <c r="G700" s="7" t="s">
        <v>169</v>
      </c>
      <c r="H700" s="7" t="s">
        <v>170</v>
      </c>
      <c r="I700" s="7" t="s">
        <v>208</v>
      </c>
      <c r="J700" s="7" t="s">
        <v>232</v>
      </c>
      <c r="K700" s="7" t="s">
        <v>671</v>
      </c>
      <c r="L700" s="7" t="s">
        <v>672</v>
      </c>
      <c r="M700" s="7" t="n">
        <v>2</v>
      </c>
      <c r="N700" s="27" t="n">
        <v>3299</v>
      </c>
      <c r="O700" s="28" t="n">
        <v>0.1</v>
      </c>
      <c r="P700" s="27" t="n">
        <v>5938</v>
      </c>
      <c r="Q700" s="27" t="n">
        <v>4200</v>
      </c>
      <c r="R700" s="27" t="n">
        <v>1738</v>
      </c>
      <c r="S700" s="7" t="s">
        <v>60</v>
      </c>
      <c r="T700" s="7" t="str">
        <f aca="false">IF(O700=0,"No discount",IF(O700&lt;=0.2,"Up to 20%","Above 20%"))</f>
        <v>Up to 20%</v>
      </c>
    </row>
    <row r="701" customFormat="false" ht="15" hidden="false" customHeight="true" outlineLevel="0" collapsed="false">
      <c r="A701" s="7" t="s">
        <v>1378</v>
      </c>
      <c r="B701" s="26" t="n">
        <v>45909</v>
      </c>
      <c r="C701" s="26" t="n">
        <v>45914</v>
      </c>
      <c r="D701" s="7" t="s">
        <v>204</v>
      </c>
      <c r="E701" s="7" t="s">
        <v>205</v>
      </c>
      <c r="F701" s="7" t="s">
        <v>159</v>
      </c>
      <c r="G701" s="7" t="s">
        <v>206</v>
      </c>
      <c r="H701" s="7" t="s">
        <v>207</v>
      </c>
      <c r="I701" s="7" t="s">
        <v>192</v>
      </c>
      <c r="J701" s="7" t="s">
        <v>502</v>
      </c>
      <c r="K701" s="7" t="s">
        <v>503</v>
      </c>
      <c r="L701" s="7" t="s">
        <v>504</v>
      </c>
      <c r="M701" s="7" t="n">
        <v>2</v>
      </c>
      <c r="N701" s="27" t="n">
        <v>3499</v>
      </c>
      <c r="O701" s="28" t="n">
        <v>0.2</v>
      </c>
      <c r="P701" s="27" t="n">
        <v>5598</v>
      </c>
      <c r="Q701" s="27" t="n">
        <v>5000</v>
      </c>
      <c r="R701" s="27" t="n">
        <v>598</v>
      </c>
      <c r="S701" s="7" t="s">
        <v>60</v>
      </c>
      <c r="T701" s="7" t="str">
        <f aca="false">IF(O701=0,"No discount",IF(O701&lt;=0.2,"Up to 20%","Above 20%"))</f>
        <v>Up to 20%</v>
      </c>
    </row>
    <row r="702" customFormat="false" ht="15" hidden="false" customHeight="true" outlineLevel="0" collapsed="false">
      <c r="A702" s="7" t="s">
        <v>1379</v>
      </c>
      <c r="B702" s="26" t="n">
        <v>45909</v>
      </c>
      <c r="C702" s="26" t="n">
        <v>45915</v>
      </c>
      <c r="D702" s="7" t="s">
        <v>545</v>
      </c>
      <c r="E702" s="7" t="s">
        <v>546</v>
      </c>
      <c r="F702" s="7" t="s">
        <v>219</v>
      </c>
      <c r="G702" s="7" t="s">
        <v>169</v>
      </c>
      <c r="H702" s="7" t="s">
        <v>179</v>
      </c>
      <c r="I702" s="7" t="s">
        <v>208</v>
      </c>
      <c r="J702" s="7" t="s">
        <v>232</v>
      </c>
      <c r="K702" s="7" t="s">
        <v>233</v>
      </c>
      <c r="L702" s="7" t="s">
        <v>234</v>
      </c>
      <c r="M702" s="7" t="n">
        <v>1</v>
      </c>
      <c r="N702" s="27" t="n">
        <v>7999</v>
      </c>
      <c r="O702" s="28" t="n">
        <v>0</v>
      </c>
      <c r="P702" s="27" t="n">
        <v>7999</v>
      </c>
      <c r="Q702" s="27" t="n">
        <v>5600</v>
      </c>
      <c r="R702" s="27" t="n">
        <v>2399</v>
      </c>
      <c r="S702" s="7" t="s">
        <v>60</v>
      </c>
      <c r="T702" s="7" t="str">
        <f aca="false">IF(O702=0,"No discount",IF(O702&lt;=0.2,"Up to 20%","Above 20%"))</f>
        <v>No discount</v>
      </c>
    </row>
    <row r="703" customFormat="false" ht="15" hidden="false" customHeight="true" outlineLevel="0" collapsed="false">
      <c r="A703" s="7" t="s">
        <v>1380</v>
      </c>
      <c r="B703" s="26" t="n">
        <v>45909</v>
      </c>
      <c r="C703" s="26" t="n">
        <v>45915</v>
      </c>
      <c r="D703" s="7" t="s">
        <v>372</v>
      </c>
      <c r="E703" s="7" t="s">
        <v>373</v>
      </c>
      <c r="F703" s="7" t="s">
        <v>219</v>
      </c>
      <c r="G703" s="7" t="s">
        <v>160</v>
      </c>
      <c r="H703" s="7" t="s">
        <v>269</v>
      </c>
      <c r="I703" s="7" t="s">
        <v>171</v>
      </c>
      <c r="J703" s="7" t="s">
        <v>304</v>
      </c>
      <c r="K703" s="7" t="s">
        <v>305</v>
      </c>
      <c r="L703" s="7" t="s">
        <v>306</v>
      </c>
      <c r="M703" s="7" t="n">
        <v>1</v>
      </c>
      <c r="N703" s="27" t="n">
        <v>2999</v>
      </c>
      <c r="O703" s="28" t="n">
        <v>0.05</v>
      </c>
      <c r="P703" s="27" t="n">
        <v>2849</v>
      </c>
      <c r="Q703" s="27" t="n">
        <v>2000</v>
      </c>
      <c r="R703" s="27" t="n">
        <v>849</v>
      </c>
      <c r="S703" s="7" t="s">
        <v>60</v>
      </c>
      <c r="T703" s="7" t="str">
        <f aca="false">IF(O703=0,"No discount",IF(O703&lt;=0.2,"Up to 20%","Above 20%"))</f>
        <v>Up to 20%</v>
      </c>
    </row>
    <row r="704" customFormat="false" ht="15" hidden="false" customHeight="true" outlineLevel="0" collapsed="false">
      <c r="A704" s="7" t="s">
        <v>1381</v>
      </c>
      <c r="B704" s="26" t="n">
        <v>45909</v>
      </c>
      <c r="C704" s="26" t="n">
        <v>45913</v>
      </c>
      <c r="D704" s="7" t="s">
        <v>450</v>
      </c>
      <c r="E704" s="7" t="s">
        <v>451</v>
      </c>
      <c r="F704" s="7" t="s">
        <v>159</v>
      </c>
      <c r="G704" s="7" t="s">
        <v>206</v>
      </c>
      <c r="H704" s="7" t="s">
        <v>207</v>
      </c>
      <c r="I704" s="7" t="s">
        <v>208</v>
      </c>
      <c r="J704" s="7" t="s">
        <v>232</v>
      </c>
      <c r="K704" s="7" t="s">
        <v>233</v>
      </c>
      <c r="L704" s="7" t="s">
        <v>234</v>
      </c>
      <c r="M704" s="7" t="n">
        <v>1</v>
      </c>
      <c r="N704" s="27" t="n">
        <v>7999</v>
      </c>
      <c r="O704" s="28" t="n">
        <v>0</v>
      </c>
      <c r="P704" s="27" t="n">
        <v>7999</v>
      </c>
      <c r="Q704" s="27" t="n">
        <v>5600</v>
      </c>
      <c r="R704" s="27" t="n">
        <v>2399</v>
      </c>
      <c r="S704" s="7" t="s">
        <v>60</v>
      </c>
      <c r="T704" s="7" t="str">
        <f aca="false">IF(O704=0,"No discount",IF(O704&lt;=0.2,"Up to 20%","Above 20%"))</f>
        <v>No discount</v>
      </c>
    </row>
    <row r="705" customFormat="false" ht="15" hidden="false" customHeight="true" outlineLevel="0" collapsed="false">
      <c r="A705" s="7" t="s">
        <v>1382</v>
      </c>
      <c r="B705" s="26" t="n">
        <v>45910</v>
      </c>
      <c r="C705" s="26" t="n">
        <v>45916</v>
      </c>
      <c r="D705" s="7" t="s">
        <v>903</v>
      </c>
      <c r="E705" s="7" t="s">
        <v>904</v>
      </c>
      <c r="F705" s="7" t="s">
        <v>219</v>
      </c>
      <c r="G705" s="7" t="s">
        <v>206</v>
      </c>
      <c r="H705" s="7" t="s">
        <v>207</v>
      </c>
      <c r="I705" s="7" t="s">
        <v>208</v>
      </c>
      <c r="J705" s="7" t="s">
        <v>209</v>
      </c>
      <c r="K705" s="7" t="s">
        <v>637</v>
      </c>
      <c r="L705" s="7" t="s">
        <v>638</v>
      </c>
      <c r="M705" s="7" t="n">
        <v>1</v>
      </c>
      <c r="N705" s="27" t="n">
        <v>899</v>
      </c>
      <c r="O705" s="28" t="n">
        <v>0</v>
      </c>
      <c r="P705" s="27" t="n">
        <v>899</v>
      </c>
      <c r="Q705" s="27" t="n">
        <v>480</v>
      </c>
      <c r="R705" s="27" t="n">
        <v>419</v>
      </c>
      <c r="S705" s="7" t="s">
        <v>60</v>
      </c>
      <c r="T705" s="7" t="str">
        <f aca="false">IF(O705=0,"No discount",IF(O705&lt;=0.2,"Up to 20%","Above 20%"))</f>
        <v>No discount</v>
      </c>
    </row>
    <row r="706" customFormat="false" ht="15" hidden="false" customHeight="true" outlineLevel="0" collapsed="false">
      <c r="A706" s="7" t="s">
        <v>1383</v>
      </c>
      <c r="B706" s="26" t="n">
        <v>45910</v>
      </c>
      <c r="C706" s="26" t="n">
        <v>45916</v>
      </c>
      <c r="D706" s="7" t="s">
        <v>357</v>
      </c>
      <c r="E706" s="7" t="s">
        <v>358</v>
      </c>
      <c r="F706" s="7" t="s">
        <v>219</v>
      </c>
      <c r="G706" s="7" t="s">
        <v>160</v>
      </c>
      <c r="H706" s="7" t="s">
        <v>161</v>
      </c>
      <c r="I706" s="7" t="s">
        <v>208</v>
      </c>
      <c r="J706" s="7" t="s">
        <v>232</v>
      </c>
      <c r="K706" s="7" t="s">
        <v>233</v>
      </c>
      <c r="L706" s="7" t="s">
        <v>234</v>
      </c>
      <c r="M706" s="7" t="n">
        <v>1</v>
      </c>
      <c r="N706" s="27" t="n">
        <v>7999</v>
      </c>
      <c r="O706" s="28" t="n">
        <v>0.1</v>
      </c>
      <c r="P706" s="27" t="n">
        <v>7199</v>
      </c>
      <c r="Q706" s="27" t="n">
        <v>5600</v>
      </c>
      <c r="R706" s="27" t="n">
        <v>1599</v>
      </c>
      <c r="S706" s="7" t="s">
        <v>60</v>
      </c>
      <c r="T706" s="7" t="str">
        <f aca="false">IF(O706=0,"No discount",IF(O706&lt;=0.2,"Up to 20%","Above 20%"))</f>
        <v>Up to 20%</v>
      </c>
    </row>
    <row r="707" customFormat="false" ht="15" hidden="false" customHeight="true" outlineLevel="0" collapsed="false">
      <c r="A707" s="7" t="s">
        <v>1384</v>
      </c>
      <c r="B707" s="26" t="n">
        <v>45910</v>
      </c>
      <c r="C707" s="26" t="n">
        <v>45911</v>
      </c>
      <c r="D707" s="7" t="s">
        <v>339</v>
      </c>
      <c r="E707" s="7" t="s">
        <v>340</v>
      </c>
      <c r="F707" s="7" t="s">
        <v>178</v>
      </c>
      <c r="G707" s="7" t="s">
        <v>169</v>
      </c>
      <c r="H707" s="7" t="s">
        <v>179</v>
      </c>
      <c r="I707" s="7" t="s">
        <v>162</v>
      </c>
      <c r="J707" s="7" t="s">
        <v>325</v>
      </c>
      <c r="K707" s="7" t="s">
        <v>381</v>
      </c>
      <c r="L707" s="7" t="s">
        <v>382</v>
      </c>
      <c r="M707" s="7" t="n">
        <v>3</v>
      </c>
      <c r="N707" s="27" t="n">
        <v>1799</v>
      </c>
      <c r="O707" s="28" t="n">
        <v>0.3</v>
      </c>
      <c r="P707" s="27" t="n">
        <v>3778</v>
      </c>
      <c r="Q707" s="27" t="n">
        <v>2850</v>
      </c>
      <c r="R707" s="27" t="n">
        <v>928</v>
      </c>
      <c r="S707" s="7" t="s">
        <v>47</v>
      </c>
      <c r="T707" s="7" t="str">
        <f aca="false">IF(O707=0,"No discount",IF(O707&lt;=0.2,"Up to 20%","Above 20%"))</f>
        <v>Above 20%</v>
      </c>
    </row>
    <row r="708" customFormat="false" ht="15" hidden="false" customHeight="true" outlineLevel="0" collapsed="false">
      <c r="A708" s="7" t="s">
        <v>1385</v>
      </c>
      <c r="B708" s="26" t="n">
        <v>45911</v>
      </c>
      <c r="C708" s="26" t="n">
        <v>45917</v>
      </c>
      <c r="D708" s="7" t="s">
        <v>722</v>
      </c>
      <c r="E708" s="7" t="s">
        <v>723</v>
      </c>
      <c r="F708" s="7" t="s">
        <v>159</v>
      </c>
      <c r="G708" s="7" t="s">
        <v>160</v>
      </c>
      <c r="H708" s="7" t="s">
        <v>161</v>
      </c>
      <c r="I708" s="7" t="s">
        <v>171</v>
      </c>
      <c r="J708" s="7" t="s">
        <v>172</v>
      </c>
      <c r="K708" s="7" t="s">
        <v>593</v>
      </c>
      <c r="L708" s="7" t="s">
        <v>594</v>
      </c>
      <c r="M708" s="7" t="n">
        <v>1</v>
      </c>
      <c r="N708" s="27" t="n">
        <v>1199</v>
      </c>
      <c r="O708" s="28" t="n">
        <v>0.1</v>
      </c>
      <c r="P708" s="27" t="n">
        <v>1079</v>
      </c>
      <c r="Q708" s="27" t="n">
        <v>650</v>
      </c>
      <c r="R708" s="27" t="n">
        <v>429</v>
      </c>
      <c r="S708" s="7" t="s">
        <v>60</v>
      </c>
      <c r="T708" s="7" t="str">
        <f aca="false">IF(O708=0,"No discount",IF(O708&lt;=0.2,"Up to 20%","Above 20%"))</f>
        <v>Up to 20%</v>
      </c>
    </row>
    <row r="709" customFormat="false" ht="15" hidden="false" customHeight="true" outlineLevel="0" collapsed="false">
      <c r="A709" s="7" t="s">
        <v>1386</v>
      </c>
      <c r="B709" s="26" t="n">
        <v>45911</v>
      </c>
      <c r="C709" s="26" t="n">
        <v>45913</v>
      </c>
      <c r="D709" s="7" t="s">
        <v>311</v>
      </c>
      <c r="E709" s="7" t="s">
        <v>312</v>
      </c>
      <c r="F709" s="7" t="s">
        <v>178</v>
      </c>
      <c r="G709" s="7" t="s">
        <v>206</v>
      </c>
      <c r="H709" s="7" t="s">
        <v>207</v>
      </c>
      <c r="I709" s="7" t="s">
        <v>208</v>
      </c>
      <c r="J709" s="7" t="s">
        <v>209</v>
      </c>
      <c r="K709" s="7" t="s">
        <v>238</v>
      </c>
      <c r="L709" s="7" t="s">
        <v>239</v>
      </c>
      <c r="M709" s="7" t="n">
        <v>4</v>
      </c>
      <c r="N709" s="27" t="n">
        <v>2199</v>
      </c>
      <c r="O709" s="28" t="n">
        <v>0.05</v>
      </c>
      <c r="P709" s="27" t="n">
        <v>8356</v>
      </c>
      <c r="Q709" s="27" t="n">
        <v>5600</v>
      </c>
      <c r="R709" s="27" t="n">
        <v>2756</v>
      </c>
      <c r="S709" s="7" t="s">
        <v>60</v>
      </c>
      <c r="T709" s="7" t="str">
        <f aca="false">IF(O709=0,"No discount",IF(O709&lt;=0.2,"Up to 20%","Above 20%"))</f>
        <v>Up to 20%</v>
      </c>
    </row>
    <row r="710" customFormat="false" ht="15" hidden="false" customHeight="true" outlineLevel="0" collapsed="false">
      <c r="A710" s="7" t="s">
        <v>1387</v>
      </c>
      <c r="B710" s="26" t="n">
        <v>45911</v>
      </c>
      <c r="C710" s="26" t="n">
        <v>45914</v>
      </c>
      <c r="D710" s="7" t="s">
        <v>330</v>
      </c>
      <c r="E710" s="7" t="s">
        <v>331</v>
      </c>
      <c r="F710" s="7" t="s">
        <v>219</v>
      </c>
      <c r="G710" s="7" t="s">
        <v>206</v>
      </c>
      <c r="H710" s="7" t="s">
        <v>207</v>
      </c>
      <c r="I710" s="7" t="s">
        <v>208</v>
      </c>
      <c r="J710" s="7" t="s">
        <v>232</v>
      </c>
      <c r="K710" s="7" t="s">
        <v>233</v>
      </c>
      <c r="L710" s="7" t="s">
        <v>234</v>
      </c>
      <c r="M710" s="7" t="n">
        <v>3</v>
      </c>
      <c r="N710" s="27" t="n">
        <v>7999</v>
      </c>
      <c r="O710" s="28" t="n">
        <v>0.15</v>
      </c>
      <c r="P710" s="27" t="n">
        <v>20397</v>
      </c>
      <c r="Q710" s="27" t="n">
        <v>16800</v>
      </c>
      <c r="R710" s="27" t="n">
        <v>3597</v>
      </c>
      <c r="S710" s="7" t="s">
        <v>60</v>
      </c>
      <c r="T710" s="7" t="str">
        <f aca="false">IF(O710=0,"No discount",IF(O710&lt;=0.2,"Up to 20%","Above 20%"))</f>
        <v>Up to 20%</v>
      </c>
    </row>
    <row r="711" customFormat="false" ht="15" hidden="false" customHeight="true" outlineLevel="0" collapsed="false">
      <c r="A711" s="7" t="s">
        <v>1388</v>
      </c>
      <c r="B711" s="26" t="n">
        <v>45912</v>
      </c>
      <c r="C711" s="26" t="n">
        <v>45914</v>
      </c>
      <c r="D711" s="7" t="s">
        <v>571</v>
      </c>
      <c r="E711" s="7" t="s">
        <v>572</v>
      </c>
      <c r="F711" s="7" t="s">
        <v>159</v>
      </c>
      <c r="G711" s="7" t="s">
        <v>160</v>
      </c>
      <c r="H711" s="7" t="s">
        <v>269</v>
      </c>
      <c r="I711" s="7" t="s">
        <v>199</v>
      </c>
      <c r="J711" s="7" t="s">
        <v>292</v>
      </c>
      <c r="K711" s="7" t="s">
        <v>293</v>
      </c>
      <c r="L711" s="7" t="s">
        <v>294</v>
      </c>
      <c r="M711" s="7" t="n">
        <v>2</v>
      </c>
      <c r="N711" s="27" t="n">
        <v>1599</v>
      </c>
      <c r="O711" s="28" t="n">
        <v>0.3</v>
      </c>
      <c r="P711" s="27" t="n">
        <v>2239</v>
      </c>
      <c r="Q711" s="27" t="n">
        <v>1500</v>
      </c>
      <c r="R711" s="27" t="n">
        <v>739</v>
      </c>
      <c r="S711" s="7" t="s">
        <v>60</v>
      </c>
      <c r="T711" s="7" t="str">
        <f aca="false">IF(O711=0,"No discount",IF(O711&lt;=0.2,"Up to 20%","Above 20%"))</f>
        <v>Above 20%</v>
      </c>
    </row>
    <row r="712" customFormat="false" ht="15" hidden="false" customHeight="true" outlineLevel="0" collapsed="false">
      <c r="A712" s="7" t="s">
        <v>1389</v>
      </c>
      <c r="B712" s="26" t="n">
        <v>45913</v>
      </c>
      <c r="C712" s="26" t="n">
        <v>45918</v>
      </c>
      <c r="D712" s="7" t="s">
        <v>1361</v>
      </c>
      <c r="E712" s="7" t="s">
        <v>1362</v>
      </c>
      <c r="F712" s="7" t="s">
        <v>159</v>
      </c>
      <c r="G712" s="7" t="s">
        <v>160</v>
      </c>
      <c r="H712" s="7" t="s">
        <v>269</v>
      </c>
      <c r="I712" s="7" t="s">
        <v>199</v>
      </c>
      <c r="J712" s="7" t="s">
        <v>200</v>
      </c>
      <c r="K712" s="7" t="s">
        <v>201</v>
      </c>
      <c r="L712" s="7" t="s">
        <v>202</v>
      </c>
      <c r="M712" s="7" t="n">
        <v>2</v>
      </c>
      <c r="N712" s="27" t="n">
        <v>399</v>
      </c>
      <c r="O712" s="28" t="n">
        <v>0.1</v>
      </c>
      <c r="P712" s="27" t="n">
        <v>718</v>
      </c>
      <c r="Q712" s="27" t="n">
        <v>320</v>
      </c>
      <c r="R712" s="27" t="n">
        <v>398</v>
      </c>
      <c r="S712" s="7" t="s">
        <v>60</v>
      </c>
      <c r="T712" s="7" t="str">
        <f aca="false">IF(O712=0,"No discount",IF(O712&lt;=0.2,"Up to 20%","Above 20%"))</f>
        <v>Up to 20%</v>
      </c>
    </row>
    <row r="713" customFormat="false" ht="15" hidden="false" customHeight="true" outlineLevel="0" collapsed="false">
      <c r="A713" s="7" t="s">
        <v>1390</v>
      </c>
      <c r="B713" s="26" t="n">
        <v>45913</v>
      </c>
      <c r="C713" s="26" t="n">
        <v>45917</v>
      </c>
      <c r="D713" s="7" t="s">
        <v>403</v>
      </c>
      <c r="E713" s="7" t="s">
        <v>404</v>
      </c>
      <c r="F713" s="7" t="s">
        <v>219</v>
      </c>
      <c r="G713" s="7" t="s">
        <v>169</v>
      </c>
      <c r="H713" s="7" t="s">
        <v>191</v>
      </c>
      <c r="I713" s="7" t="s">
        <v>171</v>
      </c>
      <c r="J713" s="7" t="s">
        <v>172</v>
      </c>
      <c r="K713" s="7" t="s">
        <v>180</v>
      </c>
      <c r="L713" s="7" t="s">
        <v>181</v>
      </c>
      <c r="M713" s="7" t="n">
        <v>1</v>
      </c>
      <c r="N713" s="27" t="n">
        <v>999</v>
      </c>
      <c r="O713" s="28" t="n">
        <v>0.05</v>
      </c>
      <c r="P713" s="27" t="n">
        <v>949</v>
      </c>
      <c r="Q713" s="27" t="n">
        <v>520</v>
      </c>
      <c r="R713" s="27" t="n">
        <v>429</v>
      </c>
      <c r="S713" s="7" t="s">
        <v>60</v>
      </c>
      <c r="T713" s="7" t="str">
        <f aca="false">IF(O713=0,"No discount",IF(O713&lt;=0.2,"Up to 20%","Above 20%"))</f>
        <v>Up to 20%</v>
      </c>
    </row>
    <row r="714" customFormat="false" ht="15" hidden="false" customHeight="true" outlineLevel="0" collapsed="false">
      <c r="A714" s="7" t="s">
        <v>1391</v>
      </c>
      <c r="B714" s="26" t="n">
        <v>45913</v>
      </c>
      <c r="C714" s="26" t="n">
        <v>45920</v>
      </c>
      <c r="D714" s="7" t="s">
        <v>372</v>
      </c>
      <c r="E714" s="7" t="s">
        <v>373</v>
      </c>
      <c r="F714" s="7" t="s">
        <v>219</v>
      </c>
      <c r="G714" s="7" t="s">
        <v>160</v>
      </c>
      <c r="H714" s="7" t="s">
        <v>269</v>
      </c>
      <c r="I714" s="7" t="s">
        <v>199</v>
      </c>
      <c r="J714" s="7" t="s">
        <v>292</v>
      </c>
      <c r="K714" s="7" t="s">
        <v>293</v>
      </c>
      <c r="L714" s="7" t="s">
        <v>294</v>
      </c>
      <c r="M714" s="7" t="n">
        <v>2</v>
      </c>
      <c r="N714" s="27" t="n">
        <v>1599</v>
      </c>
      <c r="O714" s="28" t="n">
        <v>0</v>
      </c>
      <c r="P714" s="27" t="n">
        <v>3198</v>
      </c>
      <c r="Q714" s="27" t="n">
        <v>1500</v>
      </c>
      <c r="R714" s="27" t="n">
        <v>1698</v>
      </c>
      <c r="S714" s="7" t="s">
        <v>60</v>
      </c>
      <c r="T714" s="7" t="str">
        <f aca="false">IF(O714=0,"No discount",IF(O714&lt;=0.2,"Up to 20%","Above 20%"))</f>
        <v>No discount</v>
      </c>
    </row>
    <row r="715" customFormat="false" ht="15" hidden="false" customHeight="true" outlineLevel="0" collapsed="false">
      <c r="A715" s="7" t="s">
        <v>1392</v>
      </c>
      <c r="B715" s="26" t="n">
        <v>45913</v>
      </c>
      <c r="C715" s="26" t="n">
        <v>45915</v>
      </c>
      <c r="D715" s="7" t="s">
        <v>729</v>
      </c>
      <c r="E715" s="7" t="s">
        <v>730</v>
      </c>
      <c r="F715" s="7" t="s">
        <v>159</v>
      </c>
      <c r="G715" s="7" t="s">
        <v>160</v>
      </c>
      <c r="H715" s="7" t="s">
        <v>269</v>
      </c>
      <c r="I715" s="7" t="s">
        <v>208</v>
      </c>
      <c r="J715" s="7" t="s">
        <v>209</v>
      </c>
      <c r="K715" s="7" t="s">
        <v>238</v>
      </c>
      <c r="L715" s="7" t="s">
        <v>239</v>
      </c>
      <c r="M715" s="7" t="n">
        <v>2</v>
      </c>
      <c r="N715" s="27" t="n">
        <v>2199</v>
      </c>
      <c r="O715" s="28" t="n">
        <v>0.05</v>
      </c>
      <c r="P715" s="27" t="n">
        <v>4178</v>
      </c>
      <c r="Q715" s="27" t="n">
        <v>2800</v>
      </c>
      <c r="R715" s="27" t="n">
        <v>1378</v>
      </c>
      <c r="S715" s="7" t="s">
        <v>47</v>
      </c>
      <c r="T715" s="7" t="str">
        <f aca="false">IF(O715=0,"No discount",IF(O715&lt;=0.2,"Up to 20%","Above 20%"))</f>
        <v>Up to 20%</v>
      </c>
    </row>
    <row r="716" customFormat="false" ht="15" hidden="false" customHeight="true" outlineLevel="0" collapsed="false">
      <c r="A716" s="7" t="s">
        <v>1393</v>
      </c>
      <c r="B716" s="26" t="n">
        <v>45914</v>
      </c>
      <c r="C716" s="26" t="n">
        <v>45920</v>
      </c>
      <c r="D716" s="7" t="s">
        <v>491</v>
      </c>
      <c r="E716" s="7" t="s">
        <v>492</v>
      </c>
      <c r="F716" s="7" t="s">
        <v>159</v>
      </c>
      <c r="G716" s="7" t="s">
        <v>169</v>
      </c>
      <c r="H716" s="7" t="s">
        <v>179</v>
      </c>
      <c r="I716" s="7" t="s">
        <v>171</v>
      </c>
      <c r="J716" s="7" t="s">
        <v>172</v>
      </c>
      <c r="K716" s="7" t="s">
        <v>173</v>
      </c>
      <c r="L716" s="7" t="s">
        <v>174</v>
      </c>
      <c r="M716" s="7" t="n">
        <v>1</v>
      </c>
      <c r="N716" s="27" t="n">
        <v>699</v>
      </c>
      <c r="O716" s="28" t="n">
        <v>0.05</v>
      </c>
      <c r="P716" s="27" t="n">
        <v>664</v>
      </c>
      <c r="Q716" s="27" t="n">
        <v>320</v>
      </c>
      <c r="R716" s="27" t="n">
        <v>344</v>
      </c>
      <c r="S716" s="7" t="s">
        <v>60</v>
      </c>
      <c r="T716" s="7" t="str">
        <f aca="false">IF(O716=0,"No discount",IF(O716&lt;=0.2,"Up to 20%","Above 20%"))</f>
        <v>Up to 20%</v>
      </c>
    </row>
    <row r="717" customFormat="false" ht="15" hidden="false" customHeight="true" outlineLevel="0" collapsed="false">
      <c r="A717" s="7" t="s">
        <v>1394</v>
      </c>
      <c r="B717" s="26" t="n">
        <v>45914</v>
      </c>
      <c r="C717" s="26" t="n">
        <v>45915</v>
      </c>
      <c r="D717" s="7" t="s">
        <v>1395</v>
      </c>
      <c r="E717" s="7" t="s">
        <v>1396</v>
      </c>
      <c r="F717" s="7" t="s">
        <v>159</v>
      </c>
      <c r="G717" s="7" t="s">
        <v>206</v>
      </c>
      <c r="H717" s="7" t="s">
        <v>207</v>
      </c>
      <c r="I717" s="7" t="s">
        <v>192</v>
      </c>
      <c r="J717" s="7" t="s">
        <v>213</v>
      </c>
      <c r="K717" s="7" t="s">
        <v>264</v>
      </c>
      <c r="L717" s="7" t="s">
        <v>265</v>
      </c>
      <c r="M717" s="7" t="n">
        <v>2</v>
      </c>
      <c r="N717" s="27" t="n">
        <v>2499</v>
      </c>
      <c r="O717" s="28" t="n">
        <v>0.3</v>
      </c>
      <c r="P717" s="27" t="n">
        <v>3499</v>
      </c>
      <c r="Q717" s="27" t="n">
        <v>3400</v>
      </c>
      <c r="R717" s="27" t="n">
        <v>99</v>
      </c>
      <c r="S717" s="7" t="s">
        <v>60</v>
      </c>
      <c r="T717" s="7" t="str">
        <f aca="false">IF(O717=0,"No discount",IF(O717&lt;=0.2,"Up to 20%","Above 20%"))</f>
        <v>Above 20%</v>
      </c>
    </row>
    <row r="718" customFormat="false" ht="15" hidden="false" customHeight="true" outlineLevel="0" collapsed="false">
      <c r="A718" s="7" t="s">
        <v>1397</v>
      </c>
      <c r="B718" s="26" t="n">
        <v>45914</v>
      </c>
      <c r="C718" s="26" t="n">
        <v>45916</v>
      </c>
      <c r="D718" s="7" t="s">
        <v>357</v>
      </c>
      <c r="E718" s="7" t="s">
        <v>358</v>
      </c>
      <c r="F718" s="7" t="s">
        <v>219</v>
      </c>
      <c r="G718" s="7" t="s">
        <v>160</v>
      </c>
      <c r="H718" s="7" t="s">
        <v>161</v>
      </c>
      <c r="I718" s="7" t="s">
        <v>171</v>
      </c>
      <c r="J718" s="7" t="s">
        <v>172</v>
      </c>
      <c r="K718" s="7" t="s">
        <v>173</v>
      </c>
      <c r="L718" s="7" t="s">
        <v>174</v>
      </c>
      <c r="M718" s="7" t="n">
        <v>1</v>
      </c>
      <c r="N718" s="27" t="n">
        <v>699</v>
      </c>
      <c r="O718" s="28" t="n">
        <v>0.1</v>
      </c>
      <c r="P718" s="27" t="n">
        <v>629</v>
      </c>
      <c r="Q718" s="27" t="n">
        <v>320</v>
      </c>
      <c r="R718" s="27" t="n">
        <v>309</v>
      </c>
      <c r="S718" s="7" t="s">
        <v>60</v>
      </c>
      <c r="T718" s="7" t="str">
        <f aca="false">IF(O718=0,"No discount",IF(O718&lt;=0.2,"Up to 20%","Above 20%"))</f>
        <v>Up to 20%</v>
      </c>
    </row>
    <row r="719" customFormat="false" ht="15" hidden="false" customHeight="true" outlineLevel="0" collapsed="false">
      <c r="A719" s="7" t="s">
        <v>1398</v>
      </c>
      <c r="B719" s="26" t="n">
        <v>45914</v>
      </c>
      <c r="C719" s="26" t="n">
        <v>45915</v>
      </c>
      <c r="D719" s="7" t="s">
        <v>311</v>
      </c>
      <c r="E719" s="7" t="s">
        <v>312</v>
      </c>
      <c r="F719" s="7" t="s">
        <v>178</v>
      </c>
      <c r="G719" s="7" t="s">
        <v>206</v>
      </c>
      <c r="H719" s="7" t="s">
        <v>207</v>
      </c>
      <c r="I719" s="7" t="s">
        <v>199</v>
      </c>
      <c r="J719" s="7" t="s">
        <v>200</v>
      </c>
      <c r="K719" s="7" t="s">
        <v>201</v>
      </c>
      <c r="L719" s="7" t="s">
        <v>202</v>
      </c>
      <c r="M719" s="7" t="n">
        <v>4</v>
      </c>
      <c r="N719" s="27" t="n">
        <v>399</v>
      </c>
      <c r="O719" s="28" t="n">
        <v>0.15</v>
      </c>
      <c r="P719" s="27" t="n">
        <v>1357</v>
      </c>
      <c r="Q719" s="27" t="n">
        <v>640</v>
      </c>
      <c r="R719" s="27" t="n">
        <v>717</v>
      </c>
      <c r="S719" s="7" t="s">
        <v>60</v>
      </c>
      <c r="T719" s="7" t="str">
        <f aca="false">IF(O719=0,"No discount",IF(O719&lt;=0.2,"Up to 20%","Above 20%"))</f>
        <v>Up to 20%</v>
      </c>
    </row>
    <row r="720" customFormat="false" ht="15" hidden="false" customHeight="true" outlineLevel="0" collapsed="false">
      <c r="A720" s="7" t="s">
        <v>1399</v>
      </c>
      <c r="B720" s="26" t="n">
        <v>45914</v>
      </c>
      <c r="C720" s="26" t="n">
        <v>45921</v>
      </c>
      <c r="D720" s="7" t="s">
        <v>1216</v>
      </c>
      <c r="E720" s="7" t="s">
        <v>1217</v>
      </c>
      <c r="F720" s="7" t="s">
        <v>159</v>
      </c>
      <c r="G720" s="7" t="s">
        <v>160</v>
      </c>
      <c r="H720" s="7" t="s">
        <v>161</v>
      </c>
      <c r="I720" s="7" t="s">
        <v>199</v>
      </c>
      <c r="J720" s="7" t="s">
        <v>223</v>
      </c>
      <c r="K720" s="7" t="s">
        <v>246</v>
      </c>
      <c r="L720" s="7" t="s">
        <v>247</v>
      </c>
      <c r="M720" s="7" t="n">
        <v>1</v>
      </c>
      <c r="N720" s="27" t="n">
        <v>599</v>
      </c>
      <c r="O720" s="28" t="n">
        <v>0.1</v>
      </c>
      <c r="P720" s="27" t="n">
        <v>539</v>
      </c>
      <c r="Q720" s="27" t="n">
        <v>270</v>
      </c>
      <c r="R720" s="27" t="n">
        <v>269</v>
      </c>
      <c r="S720" s="7" t="s">
        <v>60</v>
      </c>
      <c r="T720" s="7" t="str">
        <f aca="false">IF(O720=0,"No discount",IF(O720&lt;=0.2,"Up to 20%","Above 20%"))</f>
        <v>Up to 20%</v>
      </c>
    </row>
    <row r="721" customFormat="false" ht="15" hidden="false" customHeight="true" outlineLevel="0" collapsed="false">
      <c r="A721" s="7" t="s">
        <v>1400</v>
      </c>
      <c r="B721" s="26" t="n">
        <v>45914</v>
      </c>
      <c r="C721" s="26" t="n">
        <v>45917</v>
      </c>
      <c r="D721" s="7" t="s">
        <v>485</v>
      </c>
      <c r="E721" s="7" t="s">
        <v>486</v>
      </c>
      <c r="F721" s="7" t="s">
        <v>159</v>
      </c>
      <c r="G721" s="7" t="s">
        <v>169</v>
      </c>
      <c r="H721" s="7" t="s">
        <v>179</v>
      </c>
      <c r="I721" s="7" t="s">
        <v>199</v>
      </c>
      <c r="J721" s="7" t="s">
        <v>223</v>
      </c>
      <c r="K721" s="7" t="s">
        <v>246</v>
      </c>
      <c r="L721" s="7" t="s">
        <v>247</v>
      </c>
      <c r="M721" s="7" t="n">
        <v>3</v>
      </c>
      <c r="N721" s="27" t="n">
        <v>599</v>
      </c>
      <c r="O721" s="28" t="n">
        <v>0.15</v>
      </c>
      <c r="P721" s="27" t="n">
        <v>1527</v>
      </c>
      <c r="Q721" s="27" t="n">
        <v>810</v>
      </c>
      <c r="R721" s="27" t="n">
        <v>717</v>
      </c>
      <c r="S721" s="7" t="s">
        <v>60</v>
      </c>
      <c r="T721" s="7" t="str">
        <f aca="false">IF(O721=0,"No discount",IF(O721&lt;=0.2,"Up to 20%","Above 20%"))</f>
        <v>Up to 20%</v>
      </c>
    </row>
    <row r="722" customFormat="false" ht="15" hidden="false" customHeight="true" outlineLevel="0" collapsed="false">
      <c r="A722" s="7" t="s">
        <v>1401</v>
      </c>
      <c r="B722" s="26" t="n">
        <v>45915</v>
      </c>
      <c r="C722" s="26" t="n">
        <v>45920</v>
      </c>
      <c r="D722" s="7" t="s">
        <v>396</v>
      </c>
      <c r="E722" s="7" t="s">
        <v>397</v>
      </c>
      <c r="F722" s="7" t="s">
        <v>178</v>
      </c>
      <c r="G722" s="7" t="s">
        <v>160</v>
      </c>
      <c r="H722" s="7" t="s">
        <v>269</v>
      </c>
      <c r="I722" s="7" t="s">
        <v>171</v>
      </c>
      <c r="J722" s="7" t="s">
        <v>314</v>
      </c>
      <c r="K722" s="7" t="s">
        <v>315</v>
      </c>
      <c r="L722" s="7" t="s">
        <v>316</v>
      </c>
      <c r="M722" s="7" t="n">
        <v>4</v>
      </c>
      <c r="N722" s="27" t="n">
        <v>1299</v>
      </c>
      <c r="O722" s="28" t="n">
        <v>0.2</v>
      </c>
      <c r="P722" s="27" t="n">
        <v>4157</v>
      </c>
      <c r="Q722" s="27" t="n">
        <v>2800</v>
      </c>
      <c r="R722" s="27" t="n">
        <v>1357</v>
      </c>
      <c r="S722" s="7" t="s">
        <v>60</v>
      </c>
      <c r="T722" s="7" t="str">
        <f aca="false">IF(O722=0,"No discount",IF(O722&lt;=0.2,"Up to 20%","Above 20%"))</f>
        <v>Up to 20%</v>
      </c>
    </row>
    <row r="723" customFormat="false" ht="15" hidden="false" customHeight="true" outlineLevel="0" collapsed="false">
      <c r="A723" s="7" t="s">
        <v>1402</v>
      </c>
      <c r="B723" s="26" t="n">
        <v>45915</v>
      </c>
      <c r="C723" s="26" t="n">
        <v>45921</v>
      </c>
      <c r="D723" s="7" t="s">
        <v>675</v>
      </c>
      <c r="E723" s="7" t="s">
        <v>676</v>
      </c>
      <c r="F723" s="7" t="s">
        <v>159</v>
      </c>
      <c r="G723" s="7" t="s">
        <v>169</v>
      </c>
      <c r="H723" s="7" t="s">
        <v>170</v>
      </c>
      <c r="I723" s="7" t="s">
        <v>171</v>
      </c>
      <c r="J723" s="7" t="s">
        <v>314</v>
      </c>
      <c r="K723" s="7" t="s">
        <v>315</v>
      </c>
      <c r="L723" s="7" t="s">
        <v>316</v>
      </c>
      <c r="M723" s="7" t="n">
        <v>1</v>
      </c>
      <c r="N723" s="27" t="n">
        <v>1299</v>
      </c>
      <c r="O723" s="28" t="n">
        <v>0.05</v>
      </c>
      <c r="P723" s="27" t="n">
        <v>1234</v>
      </c>
      <c r="Q723" s="27" t="n">
        <v>700</v>
      </c>
      <c r="R723" s="27" t="n">
        <v>534</v>
      </c>
      <c r="S723" s="7" t="s">
        <v>60</v>
      </c>
      <c r="T723" s="7" t="str">
        <f aca="false">IF(O723=0,"No discount",IF(O723&lt;=0.2,"Up to 20%","Above 20%"))</f>
        <v>Up to 20%</v>
      </c>
    </row>
    <row r="724" customFormat="false" ht="15" hidden="false" customHeight="true" outlineLevel="0" collapsed="false">
      <c r="A724" s="7" t="s">
        <v>1403</v>
      </c>
      <c r="B724" s="26" t="n">
        <v>45916</v>
      </c>
      <c r="C724" s="26" t="n">
        <v>45923</v>
      </c>
      <c r="D724" s="7" t="s">
        <v>861</v>
      </c>
      <c r="E724" s="7" t="s">
        <v>862</v>
      </c>
      <c r="F724" s="7" t="s">
        <v>219</v>
      </c>
      <c r="G724" s="7" t="s">
        <v>169</v>
      </c>
      <c r="H724" s="7" t="s">
        <v>179</v>
      </c>
      <c r="I724" s="7" t="s">
        <v>162</v>
      </c>
      <c r="J724" s="7" t="s">
        <v>163</v>
      </c>
      <c r="K724" s="7" t="s">
        <v>164</v>
      </c>
      <c r="L724" s="7" t="s">
        <v>165</v>
      </c>
      <c r="M724" s="7" t="n">
        <v>1</v>
      </c>
      <c r="N724" s="27" t="n">
        <v>1999</v>
      </c>
      <c r="O724" s="28" t="n">
        <v>0.5</v>
      </c>
      <c r="P724" s="27" t="n">
        <v>1000</v>
      </c>
      <c r="Q724" s="27" t="n">
        <v>1050</v>
      </c>
      <c r="R724" s="27" t="n">
        <v>-50</v>
      </c>
      <c r="S724" s="7" t="s">
        <v>60</v>
      </c>
      <c r="T724" s="7" t="str">
        <f aca="false">IF(O724=0,"No discount",IF(O724&lt;=0.2,"Up to 20%","Above 20%"))</f>
        <v>Above 20%</v>
      </c>
    </row>
    <row r="725" customFormat="false" ht="15" hidden="false" customHeight="true" outlineLevel="0" collapsed="false">
      <c r="A725" s="7" t="s">
        <v>1404</v>
      </c>
      <c r="B725" s="26" t="n">
        <v>45916</v>
      </c>
      <c r="C725" s="26" t="n">
        <v>45917</v>
      </c>
      <c r="D725" s="7" t="s">
        <v>1405</v>
      </c>
      <c r="E725" s="7" t="s">
        <v>1406</v>
      </c>
      <c r="F725" s="7" t="s">
        <v>178</v>
      </c>
      <c r="G725" s="7" t="s">
        <v>169</v>
      </c>
      <c r="H725" s="7" t="s">
        <v>191</v>
      </c>
      <c r="I725" s="7" t="s">
        <v>208</v>
      </c>
      <c r="J725" s="7" t="s">
        <v>209</v>
      </c>
      <c r="K725" s="7" t="s">
        <v>238</v>
      </c>
      <c r="L725" s="7" t="s">
        <v>239</v>
      </c>
      <c r="M725" s="7" t="n">
        <v>2</v>
      </c>
      <c r="N725" s="27" t="n">
        <v>2199</v>
      </c>
      <c r="O725" s="28" t="n">
        <v>0</v>
      </c>
      <c r="P725" s="27" t="n">
        <v>4398</v>
      </c>
      <c r="Q725" s="27" t="n">
        <v>2800</v>
      </c>
      <c r="R725" s="27" t="n">
        <v>1598</v>
      </c>
      <c r="S725" s="7" t="s">
        <v>60</v>
      </c>
      <c r="T725" s="7" t="str">
        <f aca="false">IF(O725=0,"No discount",IF(O725&lt;=0.2,"Up to 20%","Above 20%"))</f>
        <v>No discount</v>
      </c>
    </row>
    <row r="726" customFormat="false" ht="15" hidden="false" customHeight="true" outlineLevel="0" collapsed="false">
      <c r="A726" s="7" t="s">
        <v>1407</v>
      </c>
      <c r="B726" s="26" t="n">
        <v>45916</v>
      </c>
      <c r="C726" s="26" t="n">
        <v>45921</v>
      </c>
      <c r="D726" s="7" t="s">
        <v>914</v>
      </c>
      <c r="E726" s="7" t="s">
        <v>915</v>
      </c>
      <c r="F726" s="7" t="s">
        <v>159</v>
      </c>
      <c r="G726" s="7" t="s">
        <v>160</v>
      </c>
      <c r="H726" s="7" t="s">
        <v>269</v>
      </c>
      <c r="I726" s="7" t="s">
        <v>199</v>
      </c>
      <c r="J726" s="7" t="s">
        <v>398</v>
      </c>
      <c r="K726" s="7" t="s">
        <v>399</v>
      </c>
      <c r="L726" s="7" t="s">
        <v>400</v>
      </c>
      <c r="M726" s="7" t="n">
        <v>4</v>
      </c>
      <c r="N726" s="27" t="n">
        <v>749</v>
      </c>
      <c r="O726" s="28" t="n">
        <v>0</v>
      </c>
      <c r="P726" s="27" t="n">
        <v>2996</v>
      </c>
      <c r="Q726" s="27" t="n">
        <v>1400</v>
      </c>
      <c r="R726" s="27" t="n">
        <v>1596</v>
      </c>
      <c r="S726" s="7" t="s">
        <v>60</v>
      </c>
      <c r="T726" s="7" t="str">
        <f aca="false">IF(O726=0,"No discount",IF(O726&lt;=0.2,"Up to 20%","Above 20%"))</f>
        <v>No discount</v>
      </c>
    </row>
    <row r="727" customFormat="false" ht="15" hidden="false" customHeight="true" outlineLevel="0" collapsed="false">
      <c r="A727" s="7" t="s">
        <v>1408</v>
      </c>
      <c r="B727" s="26" t="n">
        <v>45916</v>
      </c>
      <c r="C727" s="26" t="n">
        <v>45921</v>
      </c>
      <c r="D727" s="7" t="s">
        <v>267</v>
      </c>
      <c r="E727" s="7" t="s">
        <v>268</v>
      </c>
      <c r="F727" s="7" t="s">
        <v>159</v>
      </c>
      <c r="G727" s="7" t="s">
        <v>160</v>
      </c>
      <c r="H727" s="7" t="s">
        <v>269</v>
      </c>
      <c r="I727" s="7" t="s">
        <v>282</v>
      </c>
      <c r="J727" s="7" t="s">
        <v>283</v>
      </c>
      <c r="K727" s="7" t="s">
        <v>284</v>
      </c>
      <c r="L727" s="7" t="s">
        <v>285</v>
      </c>
      <c r="M727" s="7" t="n">
        <v>2</v>
      </c>
      <c r="N727" s="27" t="n">
        <v>199</v>
      </c>
      <c r="O727" s="28" t="n">
        <v>0</v>
      </c>
      <c r="P727" s="27" t="n">
        <v>398</v>
      </c>
      <c r="Q727" s="27" t="n">
        <v>180</v>
      </c>
      <c r="R727" s="27" t="n">
        <v>218</v>
      </c>
      <c r="S727" s="7" t="s">
        <v>60</v>
      </c>
      <c r="T727" s="7" t="str">
        <f aca="false">IF(O727=0,"No discount",IF(O727&lt;=0.2,"Up to 20%","Above 20%"))</f>
        <v>No discount</v>
      </c>
    </row>
    <row r="728" customFormat="false" ht="15" hidden="false" customHeight="true" outlineLevel="0" collapsed="false">
      <c r="A728" s="7" t="s">
        <v>1409</v>
      </c>
      <c r="B728" s="26" t="n">
        <v>45916</v>
      </c>
      <c r="C728" s="26" t="n">
        <v>45919</v>
      </c>
      <c r="D728" s="7" t="s">
        <v>432</v>
      </c>
      <c r="E728" s="7" t="s">
        <v>433</v>
      </c>
      <c r="F728" s="7" t="s">
        <v>219</v>
      </c>
      <c r="G728" s="7" t="s">
        <v>169</v>
      </c>
      <c r="H728" s="7" t="s">
        <v>170</v>
      </c>
      <c r="I728" s="7" t="s">
        <v>208</v>
      </c>
      <c r="J728" s="7" t="s">
        <v>209</v>
      </c>
      <c r="K728" s="7" t="s">
        <v>637</v>
      </c>
      <c r="L728" s="7" t="s">
        <v>638</v>
      </c>
      <c r="M728" s="7" t="n">
        <v>1</v>
      </c>
      <c r="N728" s="27" t="n">
        <v>899</v>
      </c>
      <c r="O728" s="28" t="n">
        <v>0.1</v>
      </c>
      <c r="P728" s="27" t="n">
        <v>809</v>
      </c>
      <c r="Q728" s="27" t="n">
        <v>480</v>
      </c>
      <c r="R728" s="27" t="n">
        <v>329</v>
      </c>
      <c r="S728" s="7" t="s">
        <v>60</v>
      </c>
      <c r="T728" s="7" t="str">
        <f aca="false">IF(O728=0,"No discount",IF(O728&lt;=0.2,"Up to 20%","Above 20%"))</f>
        <v>Up to 20%</v>
      </c>
    </row>
    <row r="729" customFormat="false" ht="15" hidden="false" customHeight="true" outlineLevel="0" collapsed="false">
      <c r="A729" s="7" t="s">
        <v>1410</v>
      </c>
      <c r="B729" s="26" t="n">
        <v>45916</v>
      </c>
      <c r="C729" s="26" t="n">
        <v>45917</v>
      </c>
      <c r="D729" s="7" t="s">
        <v>1140</v>
      </c>
      <c r="E729" s="7" t="s">
        <v>1141</v>
      </c>
      <c r="F729" s="7" t="s">
        <v>159</v>
      </c>
      <c r="G729" s="7" t="s">
        <v>206</v>
      </c>
      <c r="H729" s="7" t="s">
        <v>207</v>
      </c>
      <c r="I729" s="7" t="s">
        <v>192</v>
      </c>
      <c r="J729" s="7" t="s">
        <v>193</v>
      </c>
      <c r="K729" s="7" t="s">
        <v>194</v>
      </c>
      <c r="L729" s="7" t="s">
        <v>195</v>
      </c>
      <c r="M729" s="7" t="n">
        <v>5</v>
      </c>
      <c r="N729" s="27" t="n">
        <v>8999</v>
      </c>
      <c r="O729" s="28" t="n">
        <v>0.1</v>
      </c>
      <c r="P729" s="27" t="n">
        <v>40496</v>
      </c>
      <c r="Q729" s="27" t="n">
        <v>34000</v>
      </c>
      <c r="R729" s="27" t="n">
        <v>6496</v>
      </c>
      <c r="S729" s="7" t="s">
        <v>60</v>
      </c>
      <c r="T729" s="7" t="str">
        <f aca="false">IF(O729=0,"No discount",IF(O729&lt;=0.2,"Up to 20%","Above 20%"))</f>
        <v>Up to 20%</v>
      </c>
    </row>
    <row r="730" customFormat="false" ht="15" hidden="false" customHeight="true" outlineLevel="0" collapsed="false">
      <c r="A730" s="7" t="s">
        <v>1411</v>
      </c>
      <c r="B730" s="26" t="n">
        <v>45917</v>
      </c>
      <c r="C730" s="26" t="n">
        <v>45922</v>
      </c>
      <c r="D730" s="7" t="s">
        <v>567</v>
      </c>
      <c r="E730" s="7" t="s">
        <v>568</v>
      </c>
      <c r="F730" s="7" t="s">
        <v>159</v>
      </c>
      <c r="G730" s="7" t="s">
        <v>169</v>
      </c>
      <c r="H730" s="7" t="s">
        <v>179</v>
      </c>
      <c r="I730" s="7" t="s">
        <v>162</v>
      </c>
      <c r="J730" s="7" t="s">
        <v>185</v>
      </c>
      <c r="K730" s="7" t="s">
        <v>186</v>
      </c>
      <c r="L730" s="7" t="s">
        <v>187</v>
      </c>
      <c r="M730" s="7" t="n">
        <v>3</v>
      </c>
      <c r="N730" s="27" t="n">
        <v>3299</v>
      </c>
      <c r="O730" s="28" t="n">
        <v>0.3</v>
      </c>
      <c r="P730" s="27" t="n">
        <v>6928</v>
      </c>
      <c r="Q730" s="27" t="n">
        <v>5700</v>
      </c>
      <c r="R730" s="27" t="n">
        <v>1228</v>
      </c>
      <c r="S730" s="7" t="s">
        <v>60</v>
      </c>
      <c r="T730" s="7" t="str">
        <f aca="false">IF(O730=0,"No discount",IF(O730&lt;=0.2,"Up to 20%","Above 20%"))</f>
        <v>Above 20%</v>
      </c>
    </row>
    <row r="731" customFormat="false" ht="15" hidden="false" customHeight="true" outlineLevel="0" collapsed="false">
      <c r="A731" s="7" t="s">
        <v>1412</v>
      </c>
      <c r="B731" s="26" t="n">
        <v>45917</v>
      </c>
      <c r="C731" s="26" t="n">
        <v>45920</v>
      </c>
      <c r="D731" s="7" t="s">
        <v>1115</v>
      </c>
      <c r="E731" s="7" t="s">
        <v>1116</v>
      </c>
      <c r="F731" s="7" t="s">
        <v>159</v>
      </c>
      <c r="G731" s="7" t="s">
        <v>169</v>
      </c>
      <c r="H731" s="7" t="s">
        <v>179</v>
      </c>
      <c r="I731" s="7" t="s">
        <v>199</v>
      </c>
      <c r="J731" s="7" t="s">
        <v>398</v>
      </c>
      <c r="K731" s="7" t="s">
        <v>399</v>
      </c>
      <c r="L731" s="7" t="s">
        <v>400</v>
      </c>
      <c r="M731" s="7" t="n">
        <v>1</v>
      </c>
      <c r="N731" s="27" t="n">
        <v>749</v>
      </c>
      <c r="O731" s="28" t="n">
        <v>0</v>
      </c>
      <c r="P731" s="27" t="n">
        <v>749</v>
      </c>
      <c r="Q731" s="27" t="n">
        <v>350</v>
      </c>
      <c r="R731" s="27" t="n">
        <v>399</v>
      </c>
      <c r="S731" s="7" t="s">
        <v>60</v>
      </c>
      <c r="T731" s="7" t="str">
        <f aca="false">IF(O731=0,"No discount",IF(O731&lt;=0.2,"Up to 20%","Above 20%"))</f>
        <v>No discount</v>
      </c>
    </row>
    <row r="732" customFormat="false" ht="15" hidden="false" customHeight="true" outlineLevel="0" collapsed="false">
      <c r="A732" s="7" t="s">
        <v>1413</v>
      </c>
      <c r="B732" s="26" t="n">
        <v>45917</v>
      </c>
      <c r="C732" s="26" t="n">
        <v>45923</v>
      </c>
      <c r="D732" s="7" t="s">
        <v>157</v>
      </c>
      <c r="E732" s="7" t="s">
        <v>158</v>
      </c>
      <c r="F732" s="7" t="s">
        <v>159</v>
      </c>
      <c r="G732" s="7" t="s">
        <v>160</v>
      </c>
      <c r="H732" s="7" t="s">
        <v>161</v>
      </c>
      <c r="I732" s="7" t="s">
        <v>199</v>
      </c>
      <c r="J732" s="7" t="s">
        <v>200</v>
      </c>
      <c r="K732" s="7" t="s">
        <v>201</v>
      </c>
      <c r="L732" s="7" t="s">
        <v>202</v>
      </c>
      <c r="M732" s="7" t="n">
        <v>1</v>
      </c>
      <c r="N732" s="27" t="n">
        <v>399</v>
      </c>
      <c r="O732" s="28" t="n">
        <v>0.1</v>
      </c>
      <c r="P732" s="27" t="n">
        <v>359</v>
      </c>
      <c r="Q732" s="27" t="n">
        <v>160</v>
      </c>
      <c r="R732" s="27" t="n">
        <v>199</v>
      </c>
      <c r="S732" s="7" t="s">
        <v>60</v>
      </c>
      <c r="T732" s="7" t="str">
        <f aca="false">IF(O732=0,"No discount",IF(O732&lt;=0.2,"Up to 20%","Above 20%"))</f>
        <v>Up to 20%</v>
      </c>
    </row>
    <row r="733" customFormat="false" ht="15" hidden="false" customHeight="true" outlineLevel="0" collapsed="false">
      <c r="A733" s="7" t="s">
        <v>1414</v>
      </c>
      <c r="B733" s="26" t="n">
        <v>45918</v>
      </c>
      <c r="C733" s="26" t="n">
        <v>45924</v>
      </c>
      <c r="D733" s="7" t="s">
        <v>781</v>
      </c>
      <c r="E733" s="7" t="s">
        <v>782</v>
      </c>
      <c r="F733" s="7" t="s">
        <v>219</v>
      </c>
      <c r="G733" s="7" t="s">
        <v>160</v>
      </c>
      <c r="H733" s="7" t="s">
        <v>269</v>
      </c>
      <c r="I733" s="7" t="s">
        <v>162</v>
      </c>
      <c r="J733" s="7" t="s">
        <v>251</v>
      </c>
      <c r="K733" s="7" t="s">
        <v>252</v>
      </c>
      <c r="L733" s="7" t="s">
        <v>253</v>
      </c>
      <c r="M733" s="7" t="n">
        <v>2</v>
      </c>
      <c r="N733" s="27" t="n">
        <v>3999</v>
      </c>
      <c r="O733" s="28" t="n">
        <v>0.3</v>
      </c>
      <c r="P733" s="27" t="n">
        <v>5599</v>
      </c>
      <c r="Q733" s="27" t="n">
        <v>4800</v>
      </c>
      <c r="R733" s="27" t="n">
        <v>799</v>
      </c>
      <c r="S733" s="7" t="s">
        <v>60</v>
      </c>
      <c r="T733" s="7" t="str">
        <f aca="false">IF(O733=0,"No discount",IF(O733&lt;=0.2,"Up to 20%","Above 20%"))</f>
        <v>Above 20%</v>
      </c>
    </row>
    <row r="734" customFormat="false" ht="15" hidden="false" customHeight="true" outlineLevel="0" collapsed="false">
      <c r="A734" s="7" t="s">
        <v>1415</v>
      </c>
      <c r="B734" s="26" t="n">
        <v>45918</v>
      </c>
      <c r="C734" s="26" t="n">
        <v>45922</v>
      </c>
      <c r="D734" s="7" t="s">
        <v>496</v>
      </c>
      <c r="E734" s="7" t="s">
        <v>497</v>
      </c>
      <c r="F734" s="7" t="s">
        <v>178</v>
      </c>
      <c r="G734" s="7" t="s">
        <v>169</v>
      </c>
      <c r="H734" s="7" t="s">
        <v>179</v>
      </c>
      <c r="I734" s="7" t="s">
        <v>282</v>
      </c>
      <c r="J734" s="7" t="s">
        <v>387</v>
      </c>
      <c r="K734" s="7" t="s">
        <v>388</v>
      </c>
      <c r="L734" s="7" t="s">
        <v>389</v>
      </c>
      <c r="M734" s="7" t="n">
        <v>1</v>
      </c>
      <c r="N734" s="27" t="n">
        <v>1299</v>
      </c>
      <c r="O734" s="28" t="n">
        <v>0</v>
      </c>
      <c r="P734" s="27" t="n">
        <v>1299</v>
      </c>
      <c r="Q734" s="27" t="n">
        <v>780</v>
      </c>
      <c r="R734" s="27" t="n">
        <v>519</v>
      </c>
      <c r="S734" s="7" t="s">
        <v>60</v>
      </c>
      <c r="T734" s="7" t="str">
        <f aca="false">IF(O734=0,"No discount",IF(O734&lt;=0.2,"Up to 20%","Above 20%"))</f>
        <v>No discount</v>
      </c>
    </row>
    <row r="735" customFormat="false" ht="15" hidden="false" customHeight="true" outlineLevel="0" collapsed="false">
      <c r="A735" s="7" t="s">
        <v>1416</v>
      </c>
      <c r="B735" s="26" t="n">
        <v>45918</v>
      </c>
      <c r="C735" s="26" t="n">
        <v>45923</v>
      </c>
      <c r="D735" s="7" t="s">
        <v>873</v>
      </c>
      <c r="E735" s="7" t="s">
        <v>874</v>
      </c>
      <c r="F735" s="7" t="s">
        <v>219</v>
      </c>
      <c r="G735" s="7" t="s">
        <v>160</v>
      </c>
      <c r="H735" s="7" t="s">
        <v>269</v>
      </c>
      <c r="I735" s="7" t="s">
        <v>199</v>
      </c>
      <c r="J735" s="7" t="s">
        <v>223</v>
      </c>
      <c r="K735" s="7" t="s">
        <v>246</v>
      </c>
      <c r="L735" s="7" t="s">
        <v>247</v>
      </c>
      <c r="M735" s="7" t="n">
        <v>5</v>
      </c>
      <c r="N735" s="27" t="n">
        <v>599</v>
      </c>
      <c r="O735" s="28" t="n">
        <v>0.15</v>
      </c>
      <c r="P735" s="27" t="n">
        <v>2546</v>
      </c>
      <c r="Q735" s="27" t="n">
        <v>1350</v>
      </c>
      <c r="R735" s="27" t="n">
        <v>1196</v>
      </c>
      <c r="S735" s="7" t="s">
        <v>60</v>
      </c>
      <c r="T735" s="7" t="str">
        <f aca="false">IF(O735=0,"No discount",IF(O735&lt;=0.2,"Up to 20%","Above 20%"))</f>
        <v>Up to 20%</v>
      </c>
    </row>
    <row r="736" customFormat="false" ht="15" hidden="false" customHeight="true" outlineLevel="0" collapsed="false">
      <c r="A736" s="7" t="s">
        <v>1417</v>
      </c>
      <c r="B736" s="26" t="n">
        <v>45918</v>
      </c>
      <c r="C736" s="26" t="n">
        <v>45921</v>
      </c>
      <c r="D736" s="7" t="s">
        <v>656</v>
      </c>
      <c r="E736" s="7" t="s">
        <v>657</v>
      </c>
      <c r="F736" s="7" t="s">
        <v>219</v>
      </c>
      <c r="G736" s="7" t="s">
        <v>169</v>
      </c>
      <c r="H736" s="7" t="s">
        <v>170</v>
      </c>
      <c r="I736" s="7" t="s">
        <v>282</v>
      </c>
      <c r="J736" s="7" t="s">
        <v>283</v>
      </c>
      <c r="K736" s="7" t="s">
        <v>284</v>
      </c>
      <c r="L736" s="7" t="s">
        <v>285</v>
      </c>
      <c r="M736" s="7" t="n">
        <v>2</v>
      </c>
      <c r="N736" s="27" t="n">
        <v>199</v>
      </c>
      <c r="O736" s="28" t="n">
        <v>0</v>
      </c>
      <c r="P736" s="27" t="n">
        <v>398</v>
      </c>
      <c r="Q736" s="27" t="n">
        <v>180</v>
      </c>
      <c r="R736" s="27" t="n">
        <v>218</v>
      </c>
      <c r="S736" s="7" t="s">
        <v>60</v>
      </c>
      <c r="T736" s="7" t="str">
        <f aca="false">IF(O736=0,"No discount",IF(O736&lt;=0.2,"Up to 20%","Above 20%"))</f>
        <v>No discount</v>
      </c>
    </row>
    <row r="737" customFormat="false" ht="15" hidden="false" customHeight="true" outlineLevel="0" collapsed="false">
      <c r="A737" s="7" t="s">
        <v>1418</v>
      </c>
      <c r="B737" s="26" t="n">
        <v>45918</v>
      </c>
      <c r="C737" s="26" t="n">
        <v>45921</v>
      </c>
      <c r="D737" s="7" t="s">
        <v>345</v>
      </c>
      <c r="E737" s="7" t="s">
        <v>346</v>
      </c>
      <c r="F737" s="7" t="s">
        <v>159</v>
      </c>
      <c r="G737" s="7" t="s">
        <v>160</v>
      </c>
      <c r="H737" s="7" t="s">
        <v>161</v>
      </c>
      <c r="I737" s="7" t="s">
        <v>162</v>
      </c>
      <c r="J737" s="7" t="s">
        <v>163</v>
      </c>
      <c r="K737" s="7" t="s">
        <v>164</v>
      </c>
      <c r="L737" s="7" t="s">
        <v>165</v>
      </c>
      <c r="M737" s="7" t="n">
        <v>1</v>
      </c>
      <c r="N737" s="27" t="n">
        <v>1999</v>
      </c>
      <c r="O737" s="28" t="n">
        <v>0</v>
      </c>
      <c r="P737" s="27" t="n">
        <v>1999</v>
      </c>
      <c r="Q737" s="27" t="n">
        <v>1050</v>
      </c>
      <c r="R737" s="27" t="n">
        <v>949</v>
      </c>
      <c r="S737" s="7" t="s">
        <v>60</v>
      </c>
      <c r="T737" s="7" t="str">
        <f aca="false">IF(O737=0,"No discount",IF(O737&lt;=0.2,"Up to 20%","Above 20%"))</f>
        <v>No discount</v>
      </c>
    </row>
    <row r="738" customFormat="false" ht="15" hidden="false" customHeight="true" outlineLevel="0" collapsed="false">
      <c r="A738" s="7" t="s">
        <v>1419</v>
      </c>
      <c r="B738" s="26" t="n">
        <v>45918</v>
      </c>
      <c r="C738" s="26" t="n">
        <v>45922</v>
      </c>
      <c r="D738" s="7" t="s">
        <v>729</v>
      </c>
      <c r="E738" s="7" t="s">
        <v>730</v>
      </c>
      <c r="F738" s="7" t="s">
        <v>159</v>
      </c>
      <c r="G738" s="7" t="s">
        <v>160</v>
      </c>
      <c r="H738" s="7" t="s">
        <v>269</v>
      </c>
      <c r="I738" s="7" t="s">
        <v>192</v>
      </c>
      <c r="J738" s="7" t="s">
        <v>502</v>
      </c>
      <c r="K738" s="7" t="s">
        <v>526</v>
      </c>
      <c r="L738" s="7" t="s">
        <v>527</v>
      </c>
      <c r="M738" s="7" t="n">
        <v>2</v>
      </c>
      <c r="N738" s="27" t="n">
        <v>6499</v>
      </c>
      <c r="O738" s="28" t="n">
        <v>0.4</v>
      </c>
      <c r="P738" s="27" t="n">
        <v>7799</v>
      </c>
      <c r="Q738" s="27" t="n">
        <v>10000</v>
      </c>
      <c r="R738" s="27" t="n">
        <v>-2201</v>
      </c>
      <c r="S738" s="7" t="s">
        <v>60</v>
      </c>
      <c r="T738" s="7" t="str">
        <f aca="false">IF(O738=0,"No discount",IF(O738&lt;=0.2,"Up to 20%","Above 20%"))</f>
        <v>Above 20%</v>
      </c>
    </row>
    <row r="739" customFormat="false" ht="15" hidden="false" customHeight="true" outlineLevel="0" collapsed="false">
      <c r="A739" s="7" t="s">
        <v>1420</v>
      </c>
      <c r="B739" s="26" t="n">
        <v>45919</v>
      </c>
      <c r="C739" s="26" t="n">
        <v>45925</v>
      </c>
      <c r="D739" s="7" t="s">
        <v>591</v>
      </c>
      <c r="E739" s="7" t="s">
        <v>592</v>
      </c>
      <c r="F739" s="7" t="s">
        <v>159</v>
      </c>
      <c r="G739" s="7" t="s">
        <v>169</v>
      </c>
      <c r="H739" s="7" t="s">
        <v>179</v>
      </c>
      <c r="I739" s="7" t="s">
        <v>171</v>
      </c>
      <c r="J739" s="7" t="s">
        <v>314</v>
      </c>
      <c r="K739" s="7" t="s">
        <v>315</v>
      </c>
      <c r="L739" s="7" t="s">
        <v>316</v>
      </c>
      <c r="M739" s="7" t="n">
        <v>1</v>
      </c>
      <c r="N739" s="27" t="n">
        <v>1299</v>
      </c>
      <c r="O739" s="28" t="n">
        <v>0.2</v>
      </c>
      <c r="P739" s="27" t="n">
        <v>1039</v>
      </c>
      <c r="Q739" s="27" t="n">
        <v>700</v>
      </c>
      <c r="R739" s="27" t="n">
        <v>339</v>
      </c>
      <c r="S739" s="7" t="s">
        <v>60</v>
      </c>
      <c r="T739" s="7" t="str">
        <f aca="false">IF(O739=0,"No discount",IF(O739&lt;=0.2,"Up to 20%","Above 20%"))</f>
        <v>Up to 20%</v>
      </c>
    </row>
    <row r="740" customFormat="false" ht="15" hidden="false" customHeight="true" outlineLevel="0" collapsed="false">
      <c r="A740" s="7" t="s">
        <v>1421</v>
      </c>
      <c r="B740" s="26" t="n">
        <v>45919</v>
      </c>
      <c r="C740" s="26" t="n">
        <v>45924</v>
      </c>
      <c r="D740" s="7" t="s">
        <v>920</v>
      </c>
      <c r="E740" s="7" t="s">
        <v>921</v>
      </c>
      <c r="F740" s="7" t="s">
        <v>159</v>
      </c>
      <c r="G740" s="7" t="s">
        <v>169</v>
      </c>
      <c r="H740" s="7" t="s">
        <v>170</v>
      </c>
      <c r="I740" s="7" t="s">
        <v>171</v>
      </c>
      <c r="J740" s="7" t="s">
        <v>172</v>
      </c>
      <c r="K740" s="7" t="s">
        <v>180</v>
      </c>
      <c r="L740" s="7" t="s">
        <v>181</v>
      </c>
      <c r="M740" s="7" t="n">
        <v>1</v>
      </c>
      <c r="N740" s="27" t="n">
        <v>999</v>
      </c>
      <c r="O740" s="28" t="n">
        <v>0.05</v>
      </c>
      <c r="P740" s="27" t="n">
        <v>949</v>
      </c>
      <c r="Q740" s="27" t="n">
        <v>520</v>
      </c>
      <c r="R740" s="27" t="n">
        <v>429</v>
      </c>
      <c r="S740" s="7" t="s">
        <v>60</v>
      </c>
      <c r="T740" s="7" t="str">
        <f aca="false">IF(O740=0,"No discount",IF(O740&lt;=0.2,"Up to 20%","Above 20%"))</f>
        <v>Up to 20%</v>
      </c>
    </row>
    <row r="741" customFormat="false" ht="15" hidden="false" customHeight="true" outlineLevel="0" collapsed="false">
      <c r="A741" s="7" t="s">
        <v>1422</v>
      </c>
      <c r="B741" s="26" t="n">
        <v>45919</v>
      </c>
      <c r="C741" s="26" t="n">
        <v>45921</v>
      </c>
      <c r="D741" s="7" t="s">
        <v>485</v>
      </c>
      <c r="E741" s="7" t="s">
        <v>486</v>
      </c>
      <c r="F741" s="7" t="s">
        <v>159</v>
      </c>
      <c r="G741" s="7" t="s">
        <v>169</v>
      </c>
      <c r="H741" s="7" t="s">
        <v>179</v>
      </c>
      <c r="I741" s="7" t="s">
        <v>192</v>
      </c>
      <c r="J741" s="7" t="s">
        <v>213</v>
      </c>
      <c r="K741" s="7" t="s">
        <v>264</v>
      </c>
      <c r="L741" s="7" t="s">
        <v>265</v>
      </c>
      <c r="M741" s="7" t="n">
        <v>3</v>
      </c>
      <c r="N741" s="27" t="n">
        <v>2499</v>
      </c>
      <c r="O741" s="28" t="n">
        <v>0.1</v>
      </c>
      <c r="P741" s="27" t="n">
        <v>6747</v>
      </c>
      <c r="Q741" s="27" t="n">
        <v>5100</v>
      </c>
      <c r="R741" s="27" t="n">
        <v>1647</v>
      </c>
      <c r="S741" s="7" t="s">
        <v>60</v>
      </c>
      <c r="T741" s="7" t="str">
        <f aca="false">IF(O741=0,"No discount",IF(O741&lt;=0.2,"Up to 20%","Above 20%"))</f>
        <v>Up to 20%</v>
      </c>
    </row>
    <row r="742" customFormat="false" ht="15" hidden="false" customHeight="true" outlineLevel="0" collapsed="false">
      <c r="A742" s="7" t="s">
        <v>1423</v>
      </c>
      <c r="B742" s="26" t="n">
        <v>45919</v>
      </c>
      <c r="C742" s="26" t="n">
        <v>45922</v>
      </c>
      <c r="D742" s="7" t="s">
        <v>796</v>
      </c>
      <c r="E742" s="7" t="s">
        <v>797</v>
      </c>
      <c r="F742" s="7" t="s">
        <v>219</v>
      </c>
      <c r="G742" s="7" t="s">
        <v>169</v>
      </c>
      <c r="H742" s="7" t="s">
        <v>170</v>
      </c>
      <c r="I742" s="7" t="s">
        <v>162</v>
      </c>
      <c r="J742" s="7" t="s">
        <v>325</v>
      </c>
      <c r="K742" s="7" t="s">
        <v>583</v>
      </c>
      <c r="L742" s="7" t="s">
        <v>584</v>
      </c>
      <c r="M742" s="7" t="n">
        <v>1</v>
      </c>
      <c r="N742" s="27" t="n">
        <v>1499</v>
      </c>
      <c r="O742" s="28" t="n">
        <v>0.1</v>
      </c>
      <c r="P742" s="27" t="n">
        <v>1349</v>
      </c>
      <c r="Q742" s="27" t="n">
        <v>750</v>
      </c>
      <c r="R742" s="27" t="n">
        <v>599</v>
      </c>
      <c r="S742" s="7" t="s">
        <v>60</v>
      </c>
      <c r="T742" s="7" t="str">
        <f aca="false">IF(O742=0,"No discount",IF(O742&lt;=0.2,"Up to 20%","Above 20%"))</f>
        <v>Up to 20%</v>
      </c>
    </row>
    <row r="743" customFormat="false" ht="15" hidden="false" customHeight="true" outlineLevel="0" collapsed="false">
      <c r="A743" s="7" t="s">
        <v>1424</v>
      </c>
      <c r="B743" s="26" t="n">
        <v>45920</v>
      </c>
      <c r="C743" s="26" t="n">
        <v>45923</v>
      </c>
      <c r="D743" s="7" t="s">
        <v>1425</v>
      </c>
      <c r="E743" s="7" t="s">
        <v>1426</v>
      </c>
      <c r="F743" s="7" t="s">
        <v>159</v>
      </c>
      <c r="G743" s="7" t="s">
        <v>169</v>
      </c>
      <c r="H743" s="7" t="s">
        <v>179</v>
      </c>
      <c r="I743" s="7" t="s">
        <v>199</v>
      </c>
      <c r="J743" s="7" t="s">
        <v>223</v>
      </c>
      <c r="K743" s="7" t="s">
        <v>246</v>
      </c>
      <c r="L743" s="7" t="s">
        <v>247</v>
      </c>
      <c r="M743" s="7" t="n">
        <v>3</v>
      </c>
      <c r="N743" s="27" t="n">
        <v>599</v>
      </c>
      <c r="O743" s="28" t="n">
        <v>0.15</v>
      </c>
      <c r="P743" s="27" t="n">
        <v>1527</v>
      </c>
      <c r="Q743" s="27" t="n">
        <v>810</v>
      </c>
      <c r="R743" s="27" t="n">
        <v>717</v>
      </c>
      <c r="S743" s="7" t="s">
        <v>60</v>
      </c>
      <c r="T743" s="7" t="str">
        <f aca="false">IF(O743=0,"No discount",IF(O743&lt;=0.2,"Up to 20%","Above 20%"))</f>
        <v>Up to 20%</v>
      </c>
    </row>
    <row r="744" customFormat="false" ht="15" hidden="false" customHeight="true" outlineLevel="0" collapsed="false">
      <c r="A744" s="7" t="s">
        <v>1427</v>
      </c>
      <c r="B744" s="26" t="n">
        <v>45920</v>
      </c>
      <c r="C744" s="26" t="n">
        <v>45922</v>
      </c>
      <c r="D744" s="7" t="s">
        <v>982</v>
      </c>
      <c r="E744" s="7" t="s">
        <v>983</v>
      </c>
      <c r="F744" s="7" t="s">
        <v>219</v>
      </c>
      <c r="G744" s="7" t="s">
        <v>169</v>
      </c>
      <c r="H744" s="7" t="s">
        <v>170</v>
      </c>
      <c r="I744" s="7" t="s">
        <v>199</v>
      </c>
      <c r="J744" s="7" t="s">
        <v>223</v>
      </c>
      <c r="K744" s="7" t="s">
        <v>246</v>
      </c>
      <c r="L744" s="7" t="s">
        <v>247</v>
      </c>
      <c r="M744" s="7" t="n">
        <v>1</v>
      </c>
      <c r="N744" s="27" t="n">
        <v>599</v>
      </c>
      <c r="O744" s="28" t="n">
        <v>0</v>
      </c>
      <c r="P744" s="27" t="n">
        <v>599</v>
      </c>
      <c r="Q744" s="27" t="n">
        <v>270</v>
      </c>
      <c r="R744" s="27" t="n">
        <v>329</v>
      </c>
      <c r="S744" s="7" t="s">
        <v>60</v>
      </c>
      <c r="T744" s="7" t="str">
        <f aca="false">IF(O744=0,"No discount",IF(O744&lt;=0.2,"Up to 20%","Above 20%"))</f>
        <v>No discount</v>
      </c>
    </row>
    <row r="745" customFormat="false" ht="15" hidden="false" customHeight="true" outlineLevel="0" collapsed="false">
      <c r="A745" s="7" t="s">
        <v>1428</v>
      </c>
      <c r="B745" s="26" t="n">
        <v>45920</v>
      </c>
      <c r="C745" s="26" t="n">
        <v>45922</v>
      </c>
      <c r="D745" s="7" t="s">
        <v>459</v>
      </c>
      <c r="E745" s="7" t="s">
        <v>460</v>
      </c>
      <c r="F745" s="7" t="s">
        <v>219</v>
      </c>
      <c r="G745" s="7" t="s">
        <v>160</v>
      </c>
      <c r="H745" s="7" t="s">
        <v>269</v>
      </c>
      <c r="I745" s="7" t="s">
        <v>199</v>
      </c>
      <c r="J745" s="7" t="s">
        <v>200</v>
      </c>
      <c r="K745" s="7" t="s">
        <v>201</v>
      </c>
      <c r="L745" s="7" t="s">
        <v>202</v>
      </c>
      <c r="M745" s="7" t="n">
        <v>1</v>
      </c>
      <c r="N745" s="27" t="n">
        <v>399</v>
      </c>
      <c r="O745" s="28" t="n">
        <v>0</v>
      </c>
      <c r="P745" s="27" t="n">
        <v>399</v>
      </c>
      <c r="Q745" s="27" t="n">
        <v>160</v>
      </c>
      <c r="R745" s="27" t="n">
        <v>239</v>
      </c>
      <c r="S745" s="7" t="s">
        <v>60</v>
      </c>
      <c r="T745" s="7" t="str">
        <f aca="false">IF(O745=0,"No discount",IF(O745&lt;=0.2,"Up to 20%","Above 20%"))</f>
        <v>No discount</v>
      </c>
    </row>
    <row r="746" customFormat="false" ht="15" hidden="false" customHeight="true" outlineLevel="0" collapsed="false">
      <c r="A746" s="7" t="s">
        <v>1429</v>
      </c>
      <c r="B746" s="26" t="n">
        <v>45920</v>
      </c>
      <c r="C746" s="26" t="n">
        <v>45927</v>
      </c>
      <c r="D746" s="7" t="s">
        <v>520</v>
      </c>
      <c r="E746" s="7" t="s">
        <v>521</v>
      </c>
      <c r="F746" s="7" t="s">
        <v>159</v>
      </c>
      <c r="G746" s="7" t="s">
        <v>169</v>
      </c>
      <c r="H746" s="7" t="s">
        <v>179</v>
      </c>
      <c r="I746" s="7" t="s">
        <v>162</v>
      </c>
      <c r="J746" s="7" t="s">
        <v>185</v>
      </c>
      <c r="K746" s="7" t="s">
        <v>186</v>
      </c>
      <c r="L746" s="7" t="s">
        <v>187</v>
      </c>
      <c r="M746" s="7" t="n">
        <v>1</v>
      </c>
      <c r="N746" s="27" t="n">
        <v>3299</v>
      </c>
      <c r="O746" s="28" t="n">
        <v>0.2</v>
      </c>
      <c r="P746" s="27" t="n">
        <v>2639</v>
      </c>
      <c r="Q746" s="27" t="n">
        <v>1900</v>
      </c>
      <c r="R746" s="27" t="n">
        <v>739</v>
      </c>
      <c r="S746" s="7" t="s">
        <v>60</v>
      </c>
      <c r="T746" s="7" t="str">
        <f aca="false">IF(O746=0,"No discount",IF(O746&lt;=0.2,"Up to 20%","Above 20%"))</f>
        <v>Up to 20%</v>
      </c>
    </row>
    <row r="747" customFormat="false" ht="15" hidden="false" customHeight="true" outlineLevel="0" collapsed="false">
      <c r="A747" s="7" t="s">
        <v>1430</v>
      </c>
      <c r="B747" s="26" t="n">
        <v>45920</v>
      </c>
      <c r="C747" s="26" t="n">
        <v>45926</v>
      </c>
      <c r="D747" s="7" t="s">
        <v>726</v>
      </c>
      <c r="E747" s="7" t="s">
        <v>727</v>
      </c>
      <c r="F747" s="7" t="s">
        <v>178</v>
      </c>
      <c r="G747" s="7" t="s">
        <v>206</v>
      </c>
      <c r="H747" s="7" t="s">
        <v>207</v>
      </c>
      <c r="I747" s="7" t="s">
        <v>162</v>
      </c>
      <c r="J747" s="7" t="s">
        <v>251</v>
      </c>
      <c r="K747" s="7" t="s">
        <v>252</v>
      </c>
      <c r="L747" s="7" t="s">
        <v>253</v>
      </c>
      <c r="M747" s="7" t="n">
        <v>2</v>
      </c>
      <c r="N747" s="27" t="n">
        <v>3999</v>
      </c>
      <c r="O747" s="28" t="n">
        <v>0</v>
      </c>
      <c r="P747" s="27" t="n">
        <v>7998</v>
      </c>
      <c r="Q747" s="27" t="n">
        <v>4800</v>
      </c>
      <c r="R747" s="27" t="n">
        <v>3198</v>
      </c>
      <c r="S747" s="7" t="s">
        <v>60</v>
      </c>
      <c r="T747" s="7" t="str">
        <f aca="false">IF(O747=0,"No discount",IF(O747&lt;=0.2,"Up to 20%","Above 20%"))</f>
        <v>No discount</v>
      </c>
    </row>
    <row r="748" customFormat="false" ht="15" hidden="false" customHeight="true" outlineLevel="0" collapsed="false">
      <c r="A748" s="7" t="s">
        <v>1431</v>
      </c>
      <c r="B748" s="26" t="n">
        <v>45921</v>
      </c>
      <c r="C748" s="26" t="n">
        <v>45922</v>
      </c>
      <c r="D748" s="7" t="s">
        <v>943</v>
      </c>
      <c r="E748" s="7" t="s">
        <v>944</v>
      </c>
      <c r="F748" s="7" t="s">
        <v>159</v>
      </c>
      <c r="G748" s="7" t="s">
        <v>160</v>
      </c>
      <c r="H748" s="7" t="s">
        <v>269</v>
      </c>
      <c r="I748" s="7" t="s">
        <v>208</v>
      </c>
      <c r="J748" s="7" t="s">
        <v>209</v>
      </c>
      <c r="K748" s="7" t="s">
        <v>641</v>
      </c>
      <c r="L748" s="7" t="s">
        <v>642</v>
      </c>
      <c r="M748" s="7" t="n">
        <v>2</v>
      </c>
      <c r="N748" s="27" t="n">
        <v>1499</v>
      </c>
      <c r="O748" s="28" t="n">
        <v>0.1</v>
      </c>
      <c r="P748" s="27" t="n">
        <v>2698</v>
      </c>
      <c r="Q748" s="27" t="n">
        <v>1800</v>
      </c>
      <c r="R748" s="27" t="n">
        <v>898</v>
      </c>
      <c r="S748" s="7" t="s">
        <v>60</v>
      </c>
      <c r="T748" s="7" t="str">
        <f aca="false">IF(O748=0,"No discount",IF(O748&lt;=0.2,"Up to 20%","Above 20%"))</f>
        <v>Up to 20%</v>
      </c>
    </row>
    <row r="749" customFormat="false" ht="15" hidden="false" customHeight="true" outlineLevel="0" collapsed="false">
      <c r="A749" s="7" t="s">
        <v>1432</v>
      </c>
      <c r="B749" s="26" t="n">
        <v>45921</v>
      </c>
      <c r="C749" s="26" t="n">
        <v>45924</v>
      </c>
      <c r="D749" s="7" t="s">
        <v>267</v>
      </c>
      <c r="E749" s="7" t="s">
        <v>268</v>
      </c>
      <c r="F749" s="7" t="s">
        <v>159</v>
      </c>
      <c r="G749" s="7" t="s">
        <v>160</v>
      </c>
      <c r="H749" s="7" t="s">
        <v>269</v>
      </c>
      <c r="I749" s="7" t="s">
        <v>171</v>
      </c>
      <c r="J749" s="7" t="s">
        <v>172</v>
      </c>
      <c r="K749" s="7" t="s">
        <v>180</v>
      </c>
      <c r="L749" s="7" t="s">
        <v>181</v>
      </c>
      <c r="M749" s="7" t="n">
        <v>1</v>
      </c>
      <c r="N749" s="27" t="n">
        <v>999</v>
      </c>
      <c r="O749" s="28" t="n">
        <v>0.1</v>
      </c>
      <c r="P749" s="27" t="n">
        <v>899</v>
      </c>
      <c r="Q749" s="27" t="n">
        <v>520</v>
      </c>
      <c r="R749" s="27" t="n">
        <v>379</v>
      </c>
      <c r="S749" s="7" t="s">
        <v>60</v>
      </c>
      <c r="T749" s="7" t="str">
        <f aca="false">IF(O749=0,"No discount",IF(O749&lt;=0.2,"Up to 20%","Above 20%"))</f>
        <v>Up to 20%</v>
      </c>
    </row>
    <row r="750" customFormat="false" ht="15" hidden="false" customHeight="true" outlineLevel="0" collapsed="false">
      <c r="A750" s="7" t="s">
        <v>1433</v>
      </c>
      <c r="B750" s="26" t="n">
        <v>45921</v>
      </c>
      <c r="C750" s="26" t="n">
        <v>45928</v>
      </c>
      <c r="D750" s="7" t="s">
        <v>789</v>
      </c>
      <c r="E750" s="7" t="s">
        <v>790</v>
      </c>
      <c r="F750" s="7" t="s">
        <v>159</v>
      </c>
      <c r="G750" s="7" t="s">
        <v>160</v>
      </c>
      <c r="H750" s="7" t="s">
        <v>161</v>
      </c>
      <c r="I750" s="7" t="s">
        <v>199</v>
      </c>
      <c r="J750" s="7" t="s">
        <v>398</v>
      </c>
      <c r="K750" s="7" t="s">
        <v>399</v>
      </c>
      <c r="L750" s="7" t="s">
        <v>400</v>
      </c>
      <c r="M750" s="7" t="n">
        <v>2</v>
      </c>
      <c r="N750" s="27" t="n">
        <v>749</v>
      </c>
      <c r="O750" s="28" t="n">
        <v>0.15</v>
      </c>
      <c r="P750" s="27" t="n">
        <v>1273</v>
      </c>
      <c r="Q750" s="27" t="n">
        <v>700</v>
      </c>
      <c r="R750" s="27" t="n">
        <v>573</v>
      </c>
      <c r="S750" s="7" t="s">
        <v>60</v>
      </c>
      <c r="T750" s="7" t="str">
        <f aca="false">IF(O750=0,"No discount",IF(O750&lt;=0.2,"Up to 20%","Above 20%"))</f>
        <v>Up to 20%</v>
      </c>
    </row>
    <row r="751" customFormat="false" ht="15" hidden="false" customHeight="true" outlineLevel="0" collapsed="false">
      <c r="A751" s="7" t="s">
        <v>1434</v>
      </c>
      <c r="B751" s="26" t="n">
        <v>45922</v>
      </c>
      <c r="C751" s="26" t="n">
        <v>45928</v>
      </c>
      <c r="D751" s="7" t="s">
        <v>806</v>
      </c>
      <c r="E751" s="7" t="s">
        <v>807</v>
      </c>
      <c r="F751" s="7" t="s">
        <v>159</v>
      </c>
      <c r="G751" s="7" t="s">
        <v>160</v>
      </c>
      <c r="H751" s="7" t="s">
        <v>161</v>
      </c>
      <c r="I751" s="7" t="s">
        <v>208</v>
      </c>
      <c r="J751" s="7" t="s">
        <v>421</v>
      </c>
      <c r="K751" s="7" t="s">
        <v>422</v>
      </c>
      <c r="L751" s="7" t="s">
        <v>423</v>
      </c>
      <c r="M751" s="7" t="n">
        <v>1</v>
      </c>
      <c r="N751" s="27" t="n">
        <v>5999</v>
      </c>
      <c r="O751" s="28" t="n">
        <v>0.1</v>
      </c>
      <c r="P751" s="27" t="n">
        <v>5399</v>
      </c>
      <c r="Q751" s="27" t="n">
        <v>4300</v>
      </c>
      <c r="R751" s="27" t="n">
        <v>1099</v>
      </c>
      <c r="S751" s="7" t="s">
        <v>60</v>
      </c>
      <c r="T751" s="7" t="str">
        <f aca="false">IF(O751=0,"No discount",IF(O751&lt;=0.2,"Up to 20%","Above 20%"))</f>
        <v>Up to 20%</v>
      </c>
    </row>
    <row r="752" customFormat="false" ht="15" hidden="false" customHeight="true" outlineLevel="0" collapsed="false">
      <c r="A752" s="7" t="s">
        <v>1435</v>
      </c>
      <c r="B752" s="26" t="n">
        <v>45922</v>
      </c>
      <c r="C752" s="26" t="n">
        <v>45928</v>
      </c>
      <c r="D752" s="7" t="s">
        <v>920</v>
      </c>
      <c r="E752" s="7" t="s">
        <v>921</v>
      </c>
      <c r="F752" s="7" t="s">
        <v>159</v>
      </c>
      <c r="G752" s="7" t="s">
        <v>169</v>
      </c>
      <c r="H752" s="7" t="s">
        <v>170</v>
      </c>
      <c r="I752" s="7" t="s">
        <v>199</v>
      </c>
      <c r="J752" s="7" t="s">
        <v>292</v>
      </c>
      <c r="K752" s="7" t="s">
        <v>293</v>
      </c>
      <c r="L752" s="7" t="s">
        <v>294</v>
      </c>
      <c r="M752" s="7" t="n">
        <v>2</v>
      </c>
      <c r="N752" s="27" t="n">
        <v>1599</v>
      </c>
      <c r="O752" s="28" t="n">
        <v>0.1</v>
      </c>
      <c r="P752" s="27" t="n">
        <v>2878</v>
      </c>
      <c r="Q752" s="27" t="n">
        <v>1500</v>
      </c>
      <c r="R752" s="27" t="n">
        <v>1378</v>
      </c>
      <c r="S752" s="7" t="s">
        <v>60</v>
      </c>
      <c r="T752" s="7" t="str">
        <f aca="false">IF(O752=0,"No discount",IF(O752&lt;=0.2,"Up to 20%","Above 20%"))</f>
        <v>Up to 20%</v>
      </c>
    </row>
    <row r="753" customFormat="false" ht="15" hidden="false" customHeight="true" outlineLevel="0" collapsed="false">
      <c r="A753" s="7" t="s">
        <v>1436</v>
      </c>
      <c r="B753" s="26" t="n">
        <v>45922</v>
      </c>
      <c r="C753" s="26" t="n">
        <v>45924</v>
      </c>
      <c r="D753" s="7" t="s">
        <v>746</v>
      </c>
      <c r="E753" s="7" t="s">
        <v>747</v>
      </c>
      <c r="F753" s="7" t="s">
        <v>159</v>
      </c>
      <c r="G753" s="7" t="s">
        <v>160</v>
      </c>
      <c r="H753" s="7" t="s">
        <v>269</v>
      </c>
      <c r="I753" s="7" t="s">
        <v>162</v>
      </c>
      <c r="J753" s="7" t="s">
        <v>185</v>
      </c>
      <c r="K753" s="7" t="s">
        <v>186</v>
      </c>
      <c r="L753" s="7" t="s">
        <v>187</v>
      </c>
      <c r="M753" s="7" t="n">
        <v>3</v>
      </c>
      <c r="N753" s="27" t="n">
        <v>3299</v>
      </c>
      <c r="O753" s="28" t="n">
        <v>0.2</v>
      </c>
      <c r="P753" s="27" t="n">
        <v>7918</v>
      </c>
      <c r="Q753" s="27" t="n">
        <v>5700</v>
      </c>
      <c r="R753" s="27" t="n">
        <v>2218</v>
      </c>
      <c r="S753" s="7" t="s">
        <v>60</v>
      </c>
      <c r="T753" s="7" t="str">
        <f aca="false">IF(O753=0,"No discount",IF(O753&lt;=0.2,"Up to 20%","Above 20%"))</f>
        <v>Up to 20%</v>
      </c>
    </row>
    <row r="754" customFormat="false" ht="15" hidden="false" customHeight="true" outlineLevel="0" collapsed="false">
      <c r="A754" s="7" t="s">
        <v>1437</v>
      </c>
      <c r="B754" s="26" t="n">
        <v>45922</v>
      </c>
      <c r="C754" s="26" t="n">
        <v>45927</v>
      </c>
      <c r="D754" s="7" t="s">
        <v>412</v>
      </c>
      <c r="E754" s="7" t="s">
        <v>413</v>
      </c>
      <c r="F754" s="7" t="s">
        <v>178</v>
      </c>
      <c r="G754" s="7" t="s">
        <v>206</v>
      </c>
      <c r="H754" s="7" t="s">
        <v>207</v>
      </c>
      <c r="I754" s="7" t="s">
        <v>162</v>
      </c>
      <c r="J754" s="7" t="s">
        <v>325</v>
      </c>
      <c r="K754" s="7" t="s">
        <v>381</v>
      </c>
      <c r="L754" s="7" t="s">
        <v>382</v>
      </c>
      <c r="M754" s="7" t="n">
        <v>3</v>
      </c>
      <c r="N754" s="27" t="n">
        <v>1799</v>
      </c>
      <c r="O754" s="28" t="n">
        <v>0.4</v>
      </c>
      <c r="P754" s="27" t="n">
        <v>3238</v>
      </c>
      <c r="Q754" s="27" t="n">
        <v>2850</v>
      </c>
      <c r="R754" s="27" t="n">
        <v>388</v>
      </c>
      <c r="S754" s="7" t="s">
        <v>60</v>
      </c>
      <c r="T754" s="7" t="str">
        <f aca="false">IF(O754=0,"No discount",IF(O754&lt;=0.2,"Up to 20%","Above 20%"))</f>
        <v>Above 20%</v>
      </c>
    </row>
    <row r="755" customFormat="false" ht="15" hidden="false" customHeight="true" outlineLevel="0" collapsed="false">
      <c r="A755" s="7" t="s">
        <v>1438</v>
      </c>
      <c r="B755" s="26" t="n">
        <v>45923</v>
      </c>
      <c r="C755" s="26" t="n">
        <v>45925</v>
      </c>
      <c r="D755" s="7" t="s">
        <v>900</v>
      </c>
      <c r="E755" s="7" t="s">
        <v>901</v>
      </c>
      <c r="F755" s="7" t="s">
        <v>219</v>
      </c>
      <c r="G755" s="7" t="s">
        <v>160</v>
      </c>
      <c r="H755" s="7" t="s">
        <v>269</v>
      </c>
      <c r="I755" s="7" t="s">
        <v>208</v>
      </c>
      <c r="J755" s="7" t="s">
        <v>232</v>
      </c>
      <c r="K755" s="7" t="s">
        <v>671</v>
      </c>
      <c r="L755" s="7" t="s">
        <v>672</v>
      </c>
      <c r="M755" s="7" t="n">
        <v>2</v>
      </c>
      <c r="N755" s="27" t="n">
        <v>3299</v>
      </c>
      <c r="O755" s="28" t="n">
        <v>0</v>
      </c>
      <c r="P755" s="27" t="n">
        <v>6598</v>
      </c>
      <c r="Q755" s="27" t="n">
        <v>4200</v>
      </c>
      <c r="R755" s="27" t="n">
        <v>2398</v>
      </c>
      <c r="S755" s="7" t="s">
        <v>60</v>
      </c>
      <c r="T755" s="7" t="str">
        <f aca="false">IF(O755=0,"No discount",IF(O755&lt;=0.2,"Up to 20%","Above 20%"))</f>
        <v>No discount</v>
      </c>
    </row>
    <row r="756" customFormat="false" ht="15" hidden="false" customHeight="true" outlineLevel="0" collapsed="false">
      <c r="A756" s="7" t="s">
        <v>1439</v>
      </c>
      <c r="B756" s="26" t="n">
        <v>45923</v>
      </c>
      <c r="C756" s="26" t="n">
        <v>45929</v>
      </c>
      <c r="D756" s="7" t="s">
        <v>618</v>
      </c>
      <c r="E756" s="7" t="s">
        <v>619</v>
      </c>
      <c r="F756" s="7" t="s">
        <v>219</v>
      </c>
      <c r="G756" s="7" t="s">
        <v>169</v>
      </c>
      <c r="H756" s="7" t="s">
        <v>191</v>
      </c>
      <c r="I756" s="7" t="s">
        <v>192</v>
      </c>
      <c r="J756" s="7" t="s">
        <v>213</v>
      </c>
      <c r="K756" s="7" t="s">
        <v>214</v>
      </c>
      <c r="L756" s="7" t="s">
        <v>215</v>
      </c>
      <c r="M756" s="7" t="n">
        <v>1</v>
      </c>
      <c r="N756" s="27" t="n">
        <v>5999</v>
      </c>
      <c r="O756" s="28" t="n">
        <v>0.3</v>
      </c>
      <c r="P756" s="27" t="n">
        <v>4199</v>
      </c>
      <c r="Q756" s="27" t="n">
        <v>4600</v>
      </c>
      <c r="R756" s="27" t="n">
        <v>-401</v>
      </c>
      <c r="S756" s="7" t="s">
        <v>60</v>
      </c>
      <c r="T756" s="7" t="str">
        <f aca="false">IF(O756=0,"No discount",IF(O756&lt;=0.2,"Up to 20%","Above 20%"))</f>
        <v>Above 20%</v>
      </c>
    </row>
    <row r="757" customFormat="false" ht="15" hidden="false" customHeight="true" outlineLevel="0" collapsed="false">
      <c r="A757" s="7" t="s">
        <v>1440</v>
      </c>
      <c r="B757" s="26" t="n">
        <v>45923</v>
      </c>
      <c r="C757" s="26" t="n">
        <v>45930</v>
      </c>
      <c r="D757" s="7" t="s">
        <v>1099</v>
      </c>
      <c r="E757" s="7" t="s">
        <v>1100</v>
      </c>
      <c r="F757" s="7" t="s">
        <v>219</v>
      </c>
      <c r="G757" s="7" t="s">
        <v>169</v>
      </c>
      <c r="H757" s="7" t="s">
        <v>179</v>
      </c>
      <c r="I757" s="7" t="s">
        <v>162</v>
      </c>
      <c r="J757" s="7" t="s">
        <v>163</v>
      </c>
      <c r="K757" s="7" t="s">
        <v>164</v>
      </c>
      <c r="L757" s="7" t="s">
        <v>165</v>
      </c>
      <c r="M757" s="7" t="n">
        <v>1</v>
      </c>
      <c r="N757" s="27" t="n">
        <v>1999</v>
      </c>
      <c r="O757" s="28" t="n">
        <v>0.4</v>
      </c>
      <c r="P757" s="27" t="n">
        <v>1199</v>
      </c>
      <c r="Q757" s="27" t="n">
        <v>1050</v>
      </c>
      <c r="R757" s="27" t="n">
        <v>149</v>
      </c>
      <c r="S757" s="7" t="s">
        <v>60</v>
      </c>
      <c r="T757" s="7" t="str">
        <f aca="false">IF(O757=0,"No discount",IF(O757&lt;=0.2,"Up to 20%","Above 20%"))</f>
        <v>Above 20%</v>
      </c>
    </row>
    <row r="758" customFormat="false" ht="15" hidden="false" customHeight="true" outlineLevel="0" collapsed="false">
      <c r="A758" s="7" t="s">
        <v>1441</v>
      </c>
      <c r="B758" s="26" t="n">
        <v>45925</v>
      </c>
      <c r="C758" s="26" t="n">
        <v>45929</v>
      </c>
      <c r="D758" s="7" t="s">
        <v>308</v>
      </c>
      <c r="E758" s="7" t="s">
        <v>309</v>
      </c>
      <c r="F758" s="7" t="s">
        <v>159</v>
      </c>
      <c r="G758" s="7" t="s">
        <v>169</v>
      </c>
      <c r="H758" s="7" t="s">
        <v>179</v>
      </c>
      <c r="I758" s="7" t="s">
        <v>199</v>
      </c>
      <c r="J758" s="7" t="s">
        <v>223</v>
      </c>
      <c r="K758" s="7" t="s">
        <v>246</v>
      </c>
      <c r="L758" s="7" t="s">
        <v>247</v>
      </c>
      <c r="M758" s="7" t="n">
        <v>1</v>
      </c>
      <c r="N758" s="27" t="n">
        <v>599</v>
      </c>
      <c r="O758" s="28" t="n">
        <v>0.15</v>
      </c>
      <c r="P758" s="27" t="n">
        <v>509</v>
      </c>
      <c r="Q758" s="27" t="n">
        <v>270</v>
      </c>
      <c r="R758" s="27" t="n">
        <v>239</v>
      </c>
      <c r="S758" s="7" t="s">
        <v>60</v>
      </c>
      <c r="T758" s="7" t="str">
        <f aca="false">IF(O758=0,"No discount",IF(O758&lt;=0.2,"Up to 20%","Above 20%"))</f>
        <v>Up to 20%</v>
      </c>
    </row>
    <row r="759" customFormat="false" ht="15" hidden="false" customHeight="true" outlineLevel="0" collapsed="false">
      <c r="A759" s="7" t="s">
        <v>1442</v>
      </c>
      <c r="B759" s="26" t="n">
        <v>45926</v>
      </c>
      <c r="C759" s="26" t="n">
        <v>45931</v>
      </c>
      <c r="D759" s="7" t="s">
        <v>563</v>
      </c>
      <c r="E759" s="7" t="s">
        <v>564</v>
      </c>
      <c r="F759" s="7" t="s">
        <v>178</v>
      </c>
      <c r="G759" s="7" t="s">
        <v>160</v>
      </c>
      <c r="H759" s="7" t="s">
        <v>269</v>
      </c>
      <c r="I759" s="7" t="s">
        <v>171</v>
      </c>
      <c r="J759" s="7" t="s">
        <v>172</v>
      </c>
      <c r="K759" s="7" t="s">
        <v>593</v>
      </c>
      <c r="L759" s="7" t="s">
        <v>594</v>
      </c>
      <c r="M759" s="7" t="n">
        <v>2</v>
      </c>
      <c r="N759" s="27" t="n">
        <v>1199</v>
      </c>
      <c r="O759" s="28" t="n">
        <v>0</v>
      </c>
      <c r="P759" s="27" t="n">
        <v>2398</v>
      </c>
      <c r="Q759" s="27" t="n">
        <v>1300</v>
      </c>
      <c r="R759" s="27" t="n">
        <v>1098</v>
      </c>
      <c r="S759" s="7" t="s">
        <v>60</v>
      </c>
      <c r="T759" s="7" t="str">
        <f aca="false">IF(O759=0,"No discount",IF(O759&lt;=0.2,"Up to 20%","Above 20%"))</f>
        <v>No discount</v>
      </c>
    </row>
    <row r="760" customFormat="false" ht="15" hidden="false" customHeight="true" outlineLevel="0" collapsed="false">
      <c r="A760" s="7" t="s">
        <v>1443</v>
      </c>
      <c r="B760" s="26" t="n">
        <v>45926</v>
      </c>
      <c r="C760" s="26" t="n">
        <v>45929</v>
      </c>
      <c r="D760" s="7" t="s">
        <v>351</v>
      </c>
      <c r="E760" s="7" t="s">
        <v>352</v>
      </c>
      <c r="F760" s="7" t="s">
        <v>178</v>
      </c>
      <c r="G760" s="7" t="s">
        <v>169</v>
      </c>
      <c r="H760" s="7" t="s">
        <v>179</v>
      </c>
      <c r="I760" s="7" t="s">
        <v>171</v>
      </c>
      <c r="J760" s="7" t="s">
        <v>172</v>
      </c>
      <c r="K760" s="7" t="s">
        <v>180</v>
      </c>
      <c r="L760" s="7" t="s">
        <v>181</v>
      </c>
      <c r="M760" s="7" t="n">
        <v>3</v>
      </c>
      <c r="N760" s="27" t="n">
        <v>999</v>
      </c>
      <c r="O760" s="28" t="n">
        <v>0.2</v>
      </c>
      <c r="P760" s="27" t="n">
        <v>2398</v>
      </c>
      <c r="Q760" s="27" t="n">
        <v>1560</v>
      </c>
      <c r="R760" s="27" t="n">
        <v>838</v>
      </c>
      <c r="S760" s="7" t="s">
        <v>60</v>
      </c>
      <c r="T760" s="7" t="str">
        <f aca="false">IF(O760=0,"No discount",IF(O760&lt;=0.2,"Up to 20%","Above 20%"))</f>
        <v>Up to 20%</v>
      </c>
    </row>
    <row r="761" customFormat="false" ht="15" hidden="false" customHeight="true" outlineLevel="0" collapsed="false">
      <c r="A761" s="7" t="s">
        <v>1444</v>
      </c>
      <c r="B761" s="26" t="n">
        <v>45927</v>
      </c>
      <c r="C761" s="26" t="n">
        <v>45934</v>
      </c>
      <c r="D761" s="7" t="s">
        <v>940</v>
      </c>
      <c r="E761" s="7" t="s">
        <v>941</v>
      </c>
      <c r="F761" s="7" t="s">
        <v>159</v>
      </c>
      <c r="G761" s="7" t="s">
        <v>169</v>
      </c>
      <c r="H761" s="7" t="s">
        <v>170</v>
      </c>
      <c r="I761" s="7" t="s">
        <v>282</v>
      </c>
      <c r="J761" s="7" t="s">
        <v>283</v>
      </c>
      <c r="K761" s="7" t="s">
        <v>284</v>
      </c>
      <c r="L761" s="7" t="s">
        <v>285</v>
      </c>
      <c r="M761" s="7" t="n">
        <v>4</v>
      </c>
      <c r="N761" s="27" t="n">
        <v>199</v>
      </c>
      <c r="O761" s="28" t="n">
        <v>0</v>
      </c>
      <c r="P761" s="27" t="n">
        <v>796</v>
      </c>
      <c r="Q761" s="27" t="n">
        <v>360</v>
      </c>
      <c r="R761" s="27" t="n">
        <v>436</v>
      </c>
      <c r="S761" s="7" t="s">
        <v>60</v>
      </c>
      <c r="T761" s="7" t="str">
        <f aca="false">IF(O761=0,"No discount",IF(O761&lt;=0.2,"Up to 20%","Above 20%"))</f>
        <v>No discount</v>
      </c>
    </row>
    <row r="762" customFormat="false" ht="15" hidden="false" customHeight="true" outlineLevel="0" collapsed="false">
      <c r="A762" s="7" t="s">
        <v>1445</v>
      </c>
      <c r="B762" s="26" t="n">
        <v>45927</v>
      </c>
      <c r="C762" s="26" t="n">
        <v>45929</v>
      </c>
      <c r="D762" s="7" t="s">
        <v>372</v>
      </c>
      <c r="E762" s="7" t="s">
        <v>373</v>
      </c>
      <c r="F762" s="7" t="s">
        <v>219</v>
      </c>
      <c r="G762" s="7" t="s">
        <v>160</v>
      </c>
      <c r="H762" s="7" t="s">
        <v>269</v>
      </c>
      <c r="I762" s="7" t="s">
        <v>208</v>
      </c>
      <c r="J762" s="7" t="s">
        <v>232</v>
      </c>
      <c r="K762" s="7" t="s">
        <v>233</v>
      </c>
      <c r="L762" s="7" t="s">
        <v>234</v>
      </c>
      <c r="M762" s="7" t="n">
        <v>2</v>
      </c>
      <c r="N762" s="27" t="n">
        <v>7999</v>
      </c>
      <c r="O762" s="28" t="n">
        <v>0.05</v>
      </c>
      <c r="P762" s="27" t="n">
        <v>15198</v>
      </c>
      <c r="Q762" s="27" t="n">
        <v>11200</v>
      </c>
      <c r="R762" s="27" t="n">
        <v>3998</v>
      </c>
      <c r="S762" s="7" t="s">
        <v>60</v>
      </c>
      <c r="T762" s="7" t="str">
        <f aca="false">IF(O762=0,"No discount",IF(O762&lt;=0.2,"Up to 20%","Above 20%"))</f>
        <v>Up to 20%</v>
      </c>
    </row>
    <row r="763" customFormat="false" ht="15" hidden="false" customHeight="true" outlineLevel="0" collapsed="false">
      <c r="A763" s="7" t="s">
        <v>1446</v>
      </c>
      <c r="B763" s="26" t="n">
        <v>45927</v>
      </c>
      <c r="C763" s="26" t="n">
        <v>45932</v>
      </c>
      <c r="D763" s="7" t="s">
        <v>396</v>
      </c>
      <c r="E763" s="7" t="s">
        <v>397</v>
      </c>
      <c r="F763" s="7" t="s">
        <v>178</v>
      </c>
      <c r="G763" s="7" t="s">
        <v>160</v>
      </c>
      <c r="H763" s="7" t="s">
        <v>269</v>
      </c>
      <c r="I763" s="7" t="s">
        <v>208</v>
      </c>
      <c r="J763" s="7" t="s">
        <v>209</v>
      </c>
      <c r="K763" s="7" t="s">
        <v>238</v>
      </c>
      <c r="L763" s="7" t="s">
        <v>239</v>
      </c>
      <c r="M763" s="7" t="n">
        <v>2</v>
      </c>
      <c r="N763" s="27" t="n">
        <v>2199</v>
      </c>
      <c r="O763" s="28" t="n">
        <v>0.2</v>
      </c>
      <c r="P763" s="27" t="n">
        <v>3518</v>
      </c>
      <c r="Q763" s="27" t="n">
        <v>2800</v>
      </c>
      <c r="R763" s="27" t="n">
        <v>718</v>
      </c>
      <c r="S763" s="7" t="s">
        <v>60</v>
      </c>
      <c r="T763" s="7" t="str">
        <f aca="false">IF(O763=0,"No discount",IF(O763&lt;=0.2,"Up to 20%","Above 20%"))</f>
        <v>Up to 20%</v>
      </c>
    </row>
    <row r="764" customFormat="false" ht="15" hidden="false" customHeight="true" outlineLevel="0" collapsed="false">
      <c r="A764" s="7" t="s">
        <v>1447</v>
      </c>
      <c r="B764" s="26" t="n">
        <v>45928</v>
      </c>
      <c r="C764" s="26" t="n">
        <v>45933</v>
      </c>
      <c r="D764" s="7" t="s">
        <v>308</v>
      </c>
      <c r="E764" s="7" t="s">
        <v>309</v>
      </c>
      <c r="F764" s="7" t="s">
        <v>159</v>
      </c>
      <c r="G764" s="7" t="s">
        <v>169</v>
      </c>
      <c r="H764" s="7" t="s">
        <v>179</v>
      </c>
      <c r="I764" s="7" t="s">
        <v>199</v>
      </c>
      <c r="J764" s="7" t="s">
        <v>398</v>
      </c>
      <c r="K764" s="7" t="s">
        <v>399</v>
      </c>
      <c r="L764" s="7" t="s">
        <v>400</v>
      </c>
      <c r="M764" s="7" t="n">
        <v>3</v>
      </c>
      <c r="N764" s="27" t="n">
        <v>749</v>
      </c>
      <c r="O764" s="28" t="n">
        <v>0.1</v>
      </c>
      <c r="P764" s="27" t="n">
        <v>2022</v>
      </c>
      <c r="Q764" s="27" t="n">
        <v>1050</v>
      </c>
      <c r="R764" s="27" t="n">
        <v>972</v>
      </c>
      <c r="S764" s="7" t="s">
        <v>60</v>
      </c>
      <c r="T764" s="7" t="str">
        <f aca="false">IF(O764=0,"No discount",IF(O764&lt;=0.2,"Up to 20%","Above 20%"))</f>
        <v>Up to 20%</v>
      </c>
    </row>
    <row r="765" customFormat="false" ht="15" hidden="false" customHeight="true" outlineLevel="0" collapsed="false">
      <c r="A765" s="7" t="s">
        <v>1448</v>
      </c>
      <c r="B765" s="26" t="n">
        <v>45928</v>
      </c>
      <c r="C765" s="26" t="n">
        <v>45931</v>
      </c>
      <c r="D765" s="7" t="s">
        <v>648</v>
      </c>
      <c r="E765" s="7" t="s">
        <v>649</v>
      </c>
      <c r="F765" s="7" t="s">
        <v>159</v>
      </c>
      <c r="G765" s="7" t="s">
        <v>160</v>
      </c>
      <c r="H765" s="7" t="s">
        <v>161</v>
      </c>
      <c r="I765" s="7" t="s">
        <v>199</v>
      </c>
      <c r="J765" s="7" t="s">
        <v>223</v>
      </c>
      <c r="K765" s="7" t="s">
        <v>246</v>
      </c>
      <c r="L765" s="7" t="s">
        <v>247</v>
      </c>
      <c r="M765" s="7" t="n">
        <v>1</v>
      </c>
      <c r="N765" s="27" t="n">
        <v>599</v>
      </c>
      <c r="O765" s="28" t="n">
        <v>0.1</v>
      </c>
      <c r="P765" s="27" t="n">
        <v>539</v>
      </c>
      <c r="Q765" s="27" t="n">
        <v>270</v>
      </c>
      <c r="R765" s="27" t="n">
        <v>269</v>
      </c>
      <c r="S765" s="7" t="s">
        <v>47</v>
      </c>
      <c r="T765" s="7" t="str">
        <f aca="false">IF(O765=0,"No discount",IF(O765&lt;=0.2,"Up to 20%","Above 20%"))</f>
        <v>Up to 20%</v>
      </c>
    </row>
    <row r="766" customFormat="false" ht="15" hidden="false" customHeight="true" outlineLevel="0" collapsed="false">
      <c r="A766" s="7" t="s">
        <v>1449</v>
      </c>
      <c r="B766" s="26" t="n">
        <v>45928</v>
      </c>
      <c r="C766" s="26" t="n">
        <v>45930</v>
      </c>
      <c r="D766" s="7" t="s">
        <v>241</v>
      </c>
      <c r="E766" s="7" t="s">
        <v>242</v>
      </c>
      <c r="F766" s="7" t="s">
        <v>159</v>
      </c>
      <c r="G766" s="7" t="s">
        <v>206</v>
      </c>
      <c r="H766" s="7" t="s">
        <v>207</v>
      </c>
      <c r="I766" s="7" t="s">
        <v>199</v>
      </c>
      <c r="J766" s="7" t="s">
        <v>292</v>
      </c>
      <c r="K766" s="7" t="s">
        <v>293</v>
      </c>
      <c r="L766" s="7" t="s">
        <v>294</v>
      </c>
      <c r="M766" s="7" t="n">
        <v>2</v>
      </c>
      <c r="N766" s="27" t="n">
        <v>1599</v>
      </c>
      <c r="O766" s="28" t="n">
        <v>0</v>
      </c>
      <c r="P766" s="27" t="n">
        <v>3198</v>
      </c>
      <c r="Q766" s="27" t="n">
        <v>1500</v>
      </c>
      <c r="R766" s="27" t="n">
        <v>1698</v>
      </c>
      <c r="S766" s="7" t="s">
        <v>60</v>
      </c>
      <c r="T766" s="7" t="str">
        <f aca="false">IF(O766=0,"No discount",IF(O766&lt;=0.2,"Up to 20%","Above 20%"))</f>
        <v>No discount</v>
      </c>
    </row>
    <row r="767" customFormat="false" ht="15" hidden="false" customHeight="true" outlineLevel="0" collapsed="false">
      <c r="A767" s="7" t="s">
        <v>1450</v>
      </c>
      <c r="B767" s="26" t="n">
        <v>45929</v>
      </c>
      <c r="C767" s="26" t="n">
        <v>45932</v>
      </c>
      <c r="D767" s="7" t="s">
        <v>781</v>
      </c>
      <c r="E767" s="7" t="s">
        <v>782</v>
      </c>
      <c r="F767" s="7" t="s">
        <v>219</v>
      </c>
      <c r="G767" s="7" t="s">
        <v>160</v>
      </c>
      <c r="H767" s="7" t="s">
        <v>269</v>
      </c>
      <c r="I767" s="7" t="s">
        <v>171</v>
      </c>
      <c r="J767" s="7" t="s">
        <v>172</v>
      </c>
      <c r="K767" s="7" t="s">
        <v>173</v>
      </c>
      <c r="L767" s="7" t="s">
        <v>174</v>
      </c>
      <c r="M767" s="7" t="n">
        <v>1</v>
      </c>
      <c r="N767" s="27" t="n">
        <v>699</v>
      </c>
      <c r="O767" s="28" t="n">
        <v>0</v>
      </c>
      <c r="P767" s="27" t="n">
        <v>699</v>
      </c>
      <c r="Q767" s="27" t="n">
        <v>320</v>
      </c>
      <c r="R767" s="27" t="n">
        <v>379</v>
      </c>
      <c r="S767" s="7" t="s">
        <v>60</v>
      </c>
      <c r="T767" s="7" t="str">
        <f aca="false">IF(O767=0,"No discount",IF(O767&lt;=0.2,"Up to 20%","Above 20%"))</f>
        <v>No discount</v>
      </c>
    </row>
    <row r="768" customFormat="false" ht="15" hidden="false" customHeight="true" outlineLevel="0" collapsed="false">
      <c r="A768" s="7" t="s">
        <v>1451</v>
      </c>
      <c r="B768" s="26" t="n">
        <v>45929</v>
      </c>
      <c r="C768" s="26" t="n">
        <v>45935</v>
      </c>
      <c r="D768" s="7" t="s">
        <v>372</v>
      </c>
      <c r="E768" s="7" t="s">
        <v>373</v>
      </c>
      <c r="F768" s="7" t="s">
        <v>219</v>
      </c>
      <c r="G768" s="7" t="s">
        <v>160</v>
      </c>
      <c r="H768" s="7" t="s">
        <v>269</v>
      </c>
      <c r="I768" s="7" t="s">
        <v>192</v>
      </c>
      <c r="J768" s="7" t="s">
        <v>213</v>
      </c>
      <c r="K768" s="7" t="s">
        <v>264</v>
      </c>
      <c r="L768" s="7" t="s">
        <v>265</v>
      </c>
      <c r="M768" s="7" t="n">
        <v>4</v>
      </c>
      <c r="N768" s="27" t="n">
        <v>2499</v>
      </c>
      <c r="O768" s="28" t="n">
        <v>0.1</v>
      </c>
      <c r="P768" s="27" t="n">
        <v>8996</v>
      </c>
      <c r="Q768" s="27" t="n">
        <v>6800</v>
      </c>
      <c r="R768" s="27" t="n">
        <v>2196</v>
      </c>
      <c r="S768" s="7" t="s">
        <v>60</v>
      </c>
      <c r="T768" s="7" t="str">
        <f aca="false">IF(O768=0,"No discount",IF(O768&lt;=0.2,"Up to 20%","Above 20%"))</f>
        <v>Up to 20%</v>
      </c>
    </row>
    <row r="769" customFormat="false" ht="15" hidden="false" customHeight="true" outlineLevel="0" collapsed="false">
      <c r="A769" s="7" t="s">
        <v>1452</v>
      </c>
      <c r="B769" s="26" t="n">
        <v>45930</v>
      </c>
      <c r="C769" s="26" t="n">
        <v>45935</v>
      </c>
      <c r="D769" s="7" t="s">
        <v>396</v>
      </c>
      <c r="E769" s="7" t="s">
        <v>397</v>
      </c>
      <c r="F769" s="7" t="s">
        <v>178</v>
      </c>
      <c r="G769" s="7" t="s">
        <v>160</v>
      </c>
      <c r="H769" s="7" t="s">
        <v>269</v>
      </c>
      <c r="I769" s="7" t="s">
        <v>199</v>
      </c>
      <c r="J769" s="7" t="s">
        <v>223</v>
      </c>
      <c r="K769" s="7" t="s">
        <v>224</v>
      </c>
      <c r="L769" s="7" t="s">
        <v>225</v>
      </c>
      <c r="M769" s="7" t="n">
        <v>1</v>
      </c>
      <c r="N769" s="27" t="n">
        <v>899</v>
      </c>
      <c r="O769" s="28" t="n">
        <v>0.15</v>
      </c>
      <c r="P769" s="27" t="n">
        <v>764</v>
      </c>
      <c r="Q769" s="27" t="n">
        <v>380</v>
      </c>
      <c r="R769" s="27" t="n">
        <v>384</v>
      </c>
      <c r="S769" s="7" t="s">
        <v>60</v>
      </c>
      <c r="T769" s="7" t="str">
        <f aca="false">IF(O769=0,"No discount",IF(O769&lt;=0.2,"Up to 20%","Above 20%"))</f>
        <v>Up to 20%</v>
      </c>
    </row>
    <row r="770" customFormat="false" ht="15" hidden="false" customHeight="true" outlineLevel="0" collapsed="false">
      <c r="A770" s="7" t="s">
        <v>1453</v>
      </c>
      <c r="B770" s="26" t="n">
        <v>45930</v>
      </c>
      <c r="C770" s="26" t="n">
        <v>45935</v>
      </c>
      <c r="D770" s="7" t="s">
        <v>1312</v>
      </c>
      <c r="E770" s="7" t="s">
        <v>1313</v>
      </c>
      <c r="F770" s="7" t="s">
        <v>159</v>
      </c>
      <c r="G770" s="7" t="s">
        <v>160</v>
      </c>
      <c r="H770" s="7" t="s">
        <v>161</v>
      </c>
      <c r="I770" s="7" t="s">
        <v>208</v>
      </c>
      <c r="J770" s="7" t="s">
        <v>209</v>
      </c>
      <c r="K770" s="7" t="s">
        <v>637</v>
      </c>
      <c r="L770" s="7" t="s">
        <v>638</v>
      </c>
      <c r="M770" s="7" t="n">
        <v>2</v>
      </c>
      <c r="N770" s="27" t="n">
        <v>899</v>
      </c>
      <c r="O770" s="28" t="n">
        <v>0.05</v>
      </c>
      <c r="P770" s="27" t="n">
        <v>1708</v>
      </c>
      <c r="Q770" s="27" t="n">
        <v>960</v>
      </c>
      <c r="R770" s="27" t="n">
        <v>748</v>
      </c>
      <c r="S770" s="7" t="s">
        <v>47</v>
      </c>
      <c r="T770" s="7" t="str">
        <f aca="false">IF(O770=0,"No discount",IF(O770&lt;=0.2,"Up to 20%","Above 20%"))</f>
        <v>Up to 20%</v>
      </c>
    </row>
    <row r="771" customFormat="false" ht="15" hidden="false" customHeight="true" outlineLevel="0" collapsed="false">
      <c r="A771" s="7" t="s">
        <v>1454</v>
      </c>
      <c r="B771" s="26" t="n">
        <v>45930</v>
      </c>
      <c r="C771" s="26" t="n">
        <v>45934</v>
      </c>
      <c r="D771" s="7" t="s">
        <v>1107</v>
      </c>
      <c r="E771" s="7" t="s">
        <v>1108</v>
      </c>
      <c r="F771" s="7" t="s">
        <v>219</v>
      </c>
      <c r="G771" s="7" t="s">
        <v>323</v>
      </c>
      <c r="H771" s="7" t="s">
        <v>324</v>
      </c>
      <c r="I771" s="7" t="s">
        <v>282</v>
      </c>
      <c r="J771" s="7" t="s">
        <v>283</v>
      </c>
      <c r="K771" s="7" t="s">
        <v>284</v>
      </c>
      <c r="L771" s="7" t="s">
        <v>285</v>
      </c>
      <c r="M771" s="7" t="n">
        <v>4</v>
      </c>
      <c r="N771" s="27" t="n">
        <v>199</v>
      </c>
      <c r="O771" s="28" t="n">
        <v>0.05</v>
      </c>
      <c r="P771" s="27" t="n">
        <v>756</v>
      </c>
      <c r="Q771" s="27" t="n">
        <v>360</v>
      </c>
      <c r="R771" s="27" t="n">
        <v>396</v>
      </c>
      <c r="S771" s="7" t="s">
        <v>60</v>
      </c>
      <c r="T771" s="7" t="str">
        <f aca="false">IF(O771=0,"No discount",IF(O771&lt;=0.2,"Up to 20%","Above 20%"))</f>
        <v>Up to 20%</v>
      </c>
    </row>
    <row r="772" customFormat="false" ht="15" hidden="false" customHeight="true" outlineLevel="0" collapsed="false">
      <c r="A772" s="7" t="s">
        <v>1455</v>
      </c>
      <c r="B772" s="26" t="n">
        <v>45930</v>
      </c>
      <c r="C772" s="26" t="n">
        <v>45936</v>
      </c>
      <c r="D772" s="7" t="s">
        <v>675</v>
      </c>
      <c r="E772" s="7" t="s">
        <v>676</v>
      </c>
      <c r="F772" s="7" t="s">
        <v>159</v>
      </c>
      <c r="G772" s="7" t="s">
        <v>169</v>
      </c>
      <c r="H772" s="7" t="s">
        <v>170</v>
      </c>
      <c r="I772" s="7" t="s">
        <v>208</v>
      </c>
      <c r="J772" s="7" t="s">
        <v>232</v>
      </c>
      <c r="K772" s="7" t="s">
        <v>233</v>
      </c>
      <c r="L772" s="7" t="s">
        <v>234</v>
      </c>
      <c r="M772" s="7" t="n">
        <v>2</v>
      </c>
      <c r="N772" s="27" t="n">
        <v>7999</v>
      </c>
      <c r="O772" s="28" t="n">
        <v>0</v>
      </c>
      <c r="P772" s="27" t="n">
        <v>15998</v>
      </c>
      <c r="Q772" s="27" t="n">
        <v>11200</v>
      </c>
      <c r="R772" s="27" t="n">
        <v>4798</v>
      </c>
      <c r="S772" s="7" t="s">
        <v>60</v>
      </c>
      <c r="T772" s="7" t="str">
        <f aca="false">IF(O772=0,"No discount",IF(O772&lt;=0.2,"Up to 20%","Above 20%"))</f>
        <v>No discount</v>
      </c>
    </row>
    <row r="773" customFormat="false" ht="15" hidden="false" customHeight="true" outlineLevel="0" collapsed="false">
      <c r="A773" s="7" t="s">
        <v>1456</v>
      </c>
      <c r="B773" s="26" t="n">
        <v>45931</v>
      </c>
      <c r="C773" s="26" t="n">
        <v>45937</v>
      </c>
      <c r="D773" s="7" t="s">
        <v>697</v>
      </c>
      <c r="E773" s="7" t="s">
        <v>698</v>
      </c>
      <c r="F773" s="7" t="s">
        <v>219</v>
      </c>
      <c r="G773" s="7" t="s">
        <v>160</v>
      </c>
      <c r="H773" s="7" t="s">
        <v>269</v>
      </c>
      <c r="I773" s="7" t="s">
        <v>171</v>
      </c>
      <c r="J773" s="7" t="s">
        <v>314</v>
      </c>
      <c r="K773" s="7" t="s">
        <v>315</v>
      </c>
      <c r="L773" s="7" t="s">
        <v>316</v>
      </c>
      <c r="M773" s="7" t="n">
        <v>1</v>
      </c>
      <c r="N773" s="27" t="n">
        <v>1299</v>
      </c>
      <c r="O773" s="28" t="n">
        <v>0.3</v>
      </c>
      <c r="P773" s="27" t="n">
        <v>909</v>
      </c>
      <c r="Q773" s="27" t="n">
        <v>700</v>
      </c>
      <c r="R773" s="27" t="n">
        <v>209</v>
      </c>
      <c r="S773" s="7" t="s">
        <v>60</v>
      </c>
      <c r="T773" s="7" t="str">
        <f aca="false">IF(O773=0,"No discount",IF(O773&lt;=0.2,"Up to 20%","Above 20%"))</f>
        <v>Above 20%</v>
      </c>
    </row>
    <row r="774" customFormat="false" ht="15" hidden="false" customHeight="true" outlineLevel="0" collapsed="false">
      <c r="A774" s="7" t="s">
        <v>1457</v>
      </c>
      <c r="B774" s="26" t="n">
        <v>45931</v>
      </c>
      <c r="C774" s="26" t="n">
        <v>45933</v>
      </c>
      <c r="D774" s="7" t="s">
        <v>789</v>
      </c>
      <c r="E774" s="7" t="s">
        <v>790</v>
      </c>
      <c r="F774" s="7" t="s">
        <v>159</v>
      </c>
      <c r="G774" s="7" t="s">
        <v>160</v>
      </c>
      <c r="H774" s="7" t="s">
        <v>161</v>
      </c>
      <c r="I774" s="7" t="s">
        <v>162</v>
      </c>
      <c r="J774" s="7" t="s">
        <v>163</v>
      </c>
      <c r="K774" s="7" t="s">
        <v>164</v>
      </c>
      <c r="L774" s="7" t="s">
        <v>165</v>
      </c>
      <c r="M774" s="7" t="n">
        <v>1</v>
      </c>
      <c r="N774" s="27" t="n">
        <v>1999</v>
      </c>
      <c r="O774" s="28" t="n">
        <v>0.3</v>
      </c>
      <c r="P774" s="27" t="n">
        <v>1399</v>
      </c>
      <c r="Q774" s="27" t="n">
        <v>1050</v>
      </c>
      <c r="R774" s="27" t="n">
        <v>349</v>
      </c>
      <c r="S774" s="7" t="s">
        <v>60</v>
      </c>
      <c r="T774" s="7" t="str">
        <f aca="false">IF(O774=0,"No discount",IF(O774&lt;=0.2,"Up to 20%","Above 20%"))</f>
        <v>Above 20%</v>
      </c>
    </row>
    <row r="775" customFormat="false" ht="15" hidden="false" customHeight="true" outlineLevel="0" collapsed="false">
      <c r="A775" s="7" t="s">
        <v>1458</v>
      </c>
      <c r="B775" s="26" t="n">
        <v>45931</v>
      </c>
      <c r="C775" s="26" t="n">
        <v>45937</v>
      </c>
      <c r="D775" s="7" t="s">
        <v>227</v>
      </c>
      <c r="E775" s="7" t="s">
        <v>228</v>
      </c>
      <c r="F775" s="7" t="s">
        <v>159</v>
      </c>
      <c r="G775" s="7" t="s">
        <v>169</v>
      </c>
      <c r="H775" s="7" t="s">
        <v>179</v>
      </c>
      <c r="I775" s="7" t="s">
        <v>208</v>
      </c>
      <c r="J775" s="7" t="s">
        <v>209</v>
      </c>
      <c r="K775" s="7" t="s">
        <v>238</v>
      </c>
      <c r="L775" s="7" t="s">
        <v>239</v>
      </c>
      <c r="M775" s="7" t="n">
        <v>2</v>
      </c>
      <c r="N775" s="27" t="n">
        <v>2199</v>
      </c>
      <c r="O775" s="28" t="n">
        <v>0.1</v>
      </c>
      <c r="P775" s="27" t="n">
        <v>3958</v>
      </c>
      <c r="Q775" s="27" t="n">
        <v>2800</v>
      </c>
      <c r="R775" s="27" t="n">
        <v>1158</v>
      </c>
      <c r="S775" s="7" t="s">
        <v>60</v>
      </c>
      <c r="T775" s="7" t="str">
        <f aca="false">IF(O775=0,"No discount",IF(O775&lt;=0.2,"Up to 20%","Above 20%"))</f>
        <v>Up to 20%</v>
      </c>
    </row>
    <row r="776" customFormat="false" ht="15" hidden="false" customHeight="true" outlineLevel="0" collapsed="false">
      <c r="A776" s="7" t="s">
        <v>1459</v>
      </c>
      <c r="B776" s="26" t="n">
        <v>45931</v>
      </c>
      <c r="C776" s="26" t="n">
        <v>45933</v>
      </c>
      <c r="D776" s="7" t="s">
        <v>1460</v>
      </c>
      <c r="E776" s="7" t="s">
        <v>1461</v>
      </c>
      <c r="F776" s="7" t="s">
        <v>219</v>
      </c>
      <c r="G776" s="7" t="s">
        <v>169</v>
      </c>
      <c r="H776" s="7" t="s">
        <v>179</v>
      </c>
      <c r="I776" s="7" t="s">
        <v>208</v>
      </c>
      <c r="J776" s="7" t="s">
        <v>232</v>
      </c>
      <c r="K776" s="7" t="s">
        <v>233</v>
      </c>
      <c r="L776" s="7" t="s">
        <v>234</v>
      </c>
      <c r="M776" s="7" t="n">
        <v>2</v>
      </c>
      <c r="N776" s="27" t="n">
        <v>7999</v>
      </c>
      <c r="O776" s="28" t="n">
        <v>0.05</v>
      </c>
      <c r="P776" s="27" t="n">
        <v>15198</v>
      </c>
      <c r="Q776" s="27" t="n">
        <v>11200</v>
      </c>
      <c r="R776" s="27" t="n">
        <v>3998</v>
      </c>
      <c r="S776" s="7" t="s">
        <v>60</v>
      </c>
      <c r="T776" s="7" t="str">
        <f aca="false">IF(O776=0,"No discount",IF(O776&lt;=0.2,"Up to 20%","Above 20%"))</f>
        <v>Up to 20%</v>
      </c>
    </row>
    <row r="777" customFormat="false" ht="15" hidden="false" customHeight="true" outlineLevel="0" collapsed="false">
      <c r="A777" s="7" t="s">
        <v>1462</v>
      </c>
      <c r="B777" s="26" t="n">
        <v>45931</v>
      </c>
      <c r="C777" s="26" t="n">
        <v>45935</v>
      </c>
      <c r="D777" s="7" t="s">
        <v>621</v>
      </c>
      <c r="E777" s="7" t="s">
        <v>622</v>
      </c>
      <c r="F777" s="7" t="s">
        <v>219</v>
      </c>
      <c r="G777" s="7" t="s">
        <v>323</v>
      </c>
      <c r="H777" s="7" t="s">
        <v>324</v>
      </c>
      <c r="I777" s="7" t="s">
        <v>208</v>
      </c>
      <c r="J777" s="7" t="s">
        <v>209</v>
      </c>
      <c r="K777" s="7" t="s">
        <v>210</v>
      </c>
      <c r="L777" s="7" t="s">
        <v>211</v>
      </c>
      <c r="M777" s="7" t="n">
        <v>1</v>
      </c>
      <c r="N777" s="27" t="n">
        <v>3499</v>
      </c>
      <c r="O777" s="28" t="n">
        <v>0.15</v>
      </c>
      <c r="P777" s="27" t="n">
        <v>2974</v>
      </c>
      <c r="Q777" s="27" t="n">
        <v>2200</v>
      </c>
      <c r="R777" s="27" t="n">
        <v>774</v>
      </c>
      <c r="S777" s="7" t="s">
        <v>60</v>
      </c>
      <c r="T777" s="7" t="str">
        <f aca="false">IF(O777=0,"No discount",IF(O777&lt;=0.2,"Up to 20%","Above 20%"))</f>
        <v>Up to 20%</v>
      </c>
    </row>
    <row r="778" customFormat="false" ht="15" hidden="false" customHeight="true" outlineLevel="0" collapsed="false">
      <c r="A778" s="7" t="s">
        <v>1463</v>
      </c>
      <c r="B778" s="26" t="n">
        <v>45932</v>
      </c>
      <c r="C778" s="26" t="n">
        <v>45938</v>
      </c>
      <c r="D778" s="7" t="s">
        <v>648</v>
      </c>
      <c r="E778" s="7" t="s">
        <v>649</v>
      </c>
      <c r="F778" s="7" t="s">
        <v>159</v>
      </c>
      <c r="G778" s="7" t="s">
        <v>160</v>
      </c>
      <c r="H778" s="7" t="s">
        <v>161</v>
      </c>
      <c r="I778" s="7" t="s">
        <v>208</v>
      </c>
      <c r="J778" s="7" t="s">
        <v>209</v>
      </c>
      <c r="K778" s="7" t="s">
        <v>641</v>
      </c>
      <c r="L778" s="7" t="s">
        <v>642</v>
      </c>
      <c r="M778" s="7" t="n">
        <v>1</v>
      </c>
      <c r="N778" s="27" t="n">
        <v>1499</v>
      </c>
      <c r="O778" s="28" t="n">
        <v>0.05</v>
      </c>
      <c r="P778" s="27" t="n">
        <v>1424</v>
      </c>
      <c r="Q778" s="27" t="n">
        <v>900</v>
      </c>
      <c r="R778" s="27" t="n">
        <v>524</v>
      </c>
      <c r="S778" s="7" t="s">
        <v>60</v>
      </c>
      <c r="T778" s="7" t="str">
        <f aca="false">IF(O778=0,"No discount",IF(O778&lt;=0.2,"Up to 20%","Above 20%"))</f>
        <v>Up to 20%</v>
      </c>
    </row>
    <row r="779" customFormat="false" ht="15" hidden="false" customHeight="true" outlineLevel="0" collapsed="false">
      <c r="A779" s="7" t="s">
        <v>1464</v>
      </c>
      <c r="B779" s="26" t="n">
        <v>45932</v>
      </c>
      <c r="C779" s="26" t="n">
        <v>45939</v>
      </c>
      <c r="D779" s="7" t="s">
        <v>241</v>
      </c>
      <c r="E779" s="7" t="s">
        <v>242</v>
      </c>
      <c r="F779" s="7" t="s">
        <v>159</v>
      </c>
      <c r="G779" s="7" t="s">
        <v>206</v>
      </c>
      <c r="H779" s="7" t="s">
        <v>207</v>
      </c>
      <c r="I779" s="7" t="s">
        <v>208</v>
      </c>
      <c r="J779" s="7" t="s">
        <v>209</v>
      </c>
      <c r="K779" s="7" t="s">
        <v>637</v>
      </c>
      <c r="L779" s="7" t="s">
        <v>638</v>
      </c>
      <c r="M779" s="7" t="n">
        <v>2</v>
      </c>
      <c r="N779" s="27" t="n">
        <v>899</v>
      </c>
      <c r="O779" s="28" t="n">
        <v>0</v>
      </c>
      <c r="P779" s="27" t="n">
        <v>1798</v>
      </c>
      <c r="Q779" s="27" t="n">
        <v>960</v>
      </c>
      <c r="R779" s="27" t="n">
        <v>838</v>
      </c>
      <c r="S779" s="7" t="s">
        <v>60</v>
      </c>
      <c r="T779" s="7" t="str">
        <f aca="false">IF(O779=0,"No discount",IF(O779&lt;=0.2,"Up to 20%","Above 20%"))</f>
        <v>No discount</v>
      </c>
    </row>
    <row r="780" customFormat="false" ht="15" hidden="false" customHeight="true" outlineLevel="0" collapsed="false">
      <c r="A780" s="7" t="s">
        <v>1465</v>
      </c>
      <c r="B780" s="26" t="n">
        <v>45932</v>
      </c>
      <c r="C780" s="26" t="n">
        <v>45937</v>
      </c>
      <c r="D780" s="7" t="s">
        <v>597</v>
      </c>
      <c r="E780" s="7" t="s">
        <v>598</v>
      </c>
      <c r="F780" s="7" t="s">
        <v>159</v>
      </c>
      <c r="G780" s="7" t="s">
        <v>160</v>
      </c>
      <c r="H780" s="7" t="s">
        <v>269</v>
      </c>
      <c r="I780" s="7" t="s">
        <v>171</v>
      </c>
      <c r="J780" s="7" t="s">
        <v>304</v>
      </c>
      <c r="K780" s="7" t="s">
        <v>305</v>
      </c>
      <c r="L780" s="7" t="s">
        <v>306</v>
      </c>
      <c r="M780" s="7" t="n">
        <v>5</v>
      </c>
      <c r="N780" s="27" t="n">
        <v>2999</v>
      </c>
      <c r="O780" s="28" t="n">
        <v>0.05</v>
      </c>
      <c r="P780" s="27" t="n">
        <v>14245</v>
      </c>
      <c r="Q780" s="27" t="n">
        <v>10000</v>
      </c>
      <c r="R780" s="27" t="n">
        <v>4245</v>
      </c>
      <c r="S780" s="7" t="s">
        <v>60</v>
      </c>
      <c r="T780" s="7" t="str">
        <f aca="false">IF(O780=0,"No discount",IF(O780&lt;=0.2,"Up to 20%","Above 20%"))</f>
        <v>Up to 20%</v>
      </c>
    </row>
    <row r="781" customFormat="false" ht="15" hidden="false" customHeight="true" outlineLevel="0" collapsed="false">
      <c r="A781" s="7" t="s">
        <v>1466</v>
      </c>
      <c r="B781" s="26" t="n">
        <v>45932</v>
      </c>
      <c r="C781" s="26" t="n">
        <v>45934</v>
      </c>
      <c r="D781" s="7" t="s">
        <v>1003</v>
      </c>
      <c r="E781" s="7" t="s">
        <v>1004</v>
      </c>
      <c r="F781" s="7" t="s">
        <v>159</v>
      </c>
      <c r="G781" s="7" t="s">
        <v>206</v>
      </c>
      <c r="H781" s="7" t="s">
        <v>207</v>
      </c>
      <c r="I781" s="7" t="s">
        <v>162</v>
      </c>
      <c r="J781" s="7" t="s">
        <v>251</v>
      </c>
      <c r="K781" s="7" t="s">
        <v>252</v>
      </c>
      <c r="L781" s="7" t="s">
        <v>253</v>
      </c>
      <c r="M781" s="7" t="n">
        <v>1</v>
      </c>
      <c r="N781" s="27" t="n">
        <v>3999</v>
      </c>
      <c r="O781" s="28" t="n">
        <v>0</v>
      </c>
      <c r="P781" s="27" t="n">
        <v>3999</v>
      </c>
      <c r="Q781" s="27" t="n">
        <v>2400</v>
      </c>
      <c r="R781" s="27" t="n">
        <v>1599</v>
      </c>
      <c r="S781" s="7" t="s">
        <v>47</v>
      </c>
      <c r="T781" s="7" t="str">
        <f aca="false">IF(O781=0,"No discount",IF(O781&lt;=0.2,"Up to 20%","Above 20%"))</f>
        <v>No discount</v>
      </c>
    </row>
    <row r="782" customFormat="false" ht="15" hidden="false" customHeight="true" outlineLevel="0" collapsed="false">
      <c r="A782" s="7" t="s">
        <v>1467</v>
      </c>
      <c r="B782" s="26" t="n">
        <v>45933</v>
      </c>
      <c r="C782" s="26" t="n">
        <v>45938</v>
      </c>
      <c r="D782" s="7" t="s">
        <v>510</v>
      </c>
      <c r="E782" s="7" t="s">
        <v>511</v>
      </c>
      <c r="F782" s="7" t="s">
        <v>178</v>
      </c>
      <c r="G782" s="7" t="s">
        <v>169</v>
      </c>
      <c r="H782" s="7" t="s">
        <v>179</v>
      </c>
      <c r="I782" s="7" t="s">
        <v>171</v>
      </c>
      <c r="J782" s="7" t="s">
        <v>314</v>
      </c>
      <c r="K782" s="7" t="s">
        <v>315</v>
      </c>
      <c r="L782" s="7" t="s">
        <v>316</v>
      </c>
      <c r="M782" s="7" t="n">
        <v>3</v>
      </c>
      <c r="N782" s="27" t="n">
        <v>1299</v>
      </c>
      <c r="O782" s="28" t="n">
        <v>0.05</v>
      </c>
      <c r="P782" s="27" t="n">
        <v>3702</v>
      </c>
      <c r="Q782" s="27" t="n">
        <v>2100</v>
      </c>
      <c r="R782" s="27" t="n">
        <v>1602</v>
      </c>
      <c r="S782" s="7" t="s">
        <v>47</v>
      </c>
      <c r="T782" s="7" t="str">
        <f aca="false">IF(O782=0,"No discount",IF(O782&lt;=0.2,"Up to 20%","Above 20%"))</f>
        <v>Up to 20%</v>
      </c>
    </row>
    <row r="783" customFormat="false" ht="15" hidden="false" customHeight="true" outlineLevel="0" collapsed="false">
      <c r="A783" s="7" t="s">
        <v>1468</v>
      </c>
      <c r="B783" s="26" t="n">
        <v>45933</v>
      </c>
      <c r="C783" s="26" t="n">
        <v>45936</v>
      </c>
      <c r="D783" s="7" t="s">
        <v>308</v>
      </c>
      <c r="E783" s="7" t="s">
        <v>309</v>
      </c>
      <c r="F783" s="7" t="s">
        <v>159</v>
      </c>
      <c r="G783" s="7" t="s">
        <v>169</v>
      </c>
      <c r="H783" s="7" t="s">
        <v>179</v>
      </c>
      <c r="I783" s="7" t="s">
        <v>162</v>
      </c>
      <c r="J783" s="7" t="s">
        <v>185</v>
      </c>
      <c r="K783" s="7" t="s">
        <v>186</v>
      </c>
      <c r="L783" s="7" t="s">
        <v>187</v>
      </c>
      <c r="M783" s="7" t="n">
        <v>1</v>
      </c>
      <c r="N783" s="27" t="n">
        <v>3299</v>
      </c>
      <c r="O783" s="28" t="n">
        <v>0</v>
      </c>
      <c r="P783" s="27" t="n">
        <v>3299</v>
      </c>
      <c r="Q783" s="27" t="n">
        <v>1900</v>
      </c>
      <c r="R783" s="27" t="n">
        <v>1399</v>
      </c>
      <c r="S783" s="7" t="s">
        <v>60</v>
      </c>
      <c r="T783" s="7" t="str">
        <f aca="false">IF(O783=0,"No discount",IF(O783&lt;=0.2,"Up to 20%","Above 20%"))</f>
        <v>No discount</v>
      </c>
    </row>
    <row r="784" customFormat="false" ht="15" hidden="false" customHeight="true" outlineLevel="0" collapsed="false">
      <c r="A784" s="7" t="s">
        <v>1469</v>
      </c>
      <c r="B784" s="26" t="n">
        <v>45933</v>
      </c>
      <c r="C784" s="26" t="n">
        <v>45938</v>
      </c>
      <c r="D784" s="7" t="s">
        <v>1060</v>
      </c>
      <c r="E784" s="7" t="s">
        <v>1061</v>
      </c>
      <c r="F784" s="7" t="s">
        <v>159</v>
      </c>
      <c r="G784" s="7" t="s">
        <v>206</v>
      </c>
      <c r="H784" s="7" t="s">
        <v>207</v>
      </c>
      <c r="I784" s="7" t="s">
        <v>199</v>
      </c>
      <c r="J784" s="7" t="s">
        <v>398</v>
      </c>
      <c r="K784" s="7" t="s">
        <v>399</v>
      </c>
      <c r="L784" s="7" t="s">
        <v>400</v>
      </c>
      <c r="M784" s="7" t="n">
        <v>3</v>
      </c>
      <c r="N784" s="27" t="n">
        <v>749</v>
      </c>
      <c r="O784" s="28" t="n">
        <v>0.1</v>
      </c>
      <c r="P784" s="27" t="n">
        <v>2022</v>
      </c>
      <c r="Q784" s="27" t="n">
        <v>1050</v>
      </c>
      <c r="R784" s="27" t="n">
        <v>972</v>
      </c>
      <c r="S784" s="7" t="s">
        <v>60</v>
      </c>
      <c r="T784" s="7" t="str">
        <f aca="false">IF(O784=0,"No discount",IF(O784&lt;=0.2,"Up to 20%","Above 20%"))</f>
        <v>Up to 20%</v>
      </c>
    </row>
    <row r="785" customFormat="false" ht="15" hidden="false" customHeight="true" outlineLevel="0" collapsed="false">
      <c r="A785" s="7" t="s">
        <v>1470</v>
      </c>
      <c r="B785" s="26" t="n">
        <v>45933</v>
      </c>
      <c r="C785" s="26" t="n">
        <v>45939</v>
      </c>
      <c r="D785" s="7" t="s">
        <v>204</v>
      </c>
      <c r="E785" s="7" t="s">
        <v>205</v>
      </c>
      <c r="F785" s="7" t="s">
        <v>159</v>
      </c>
      <c r="G785" s="7" t="s">
        <v>206</v>
      </c>
      <c r="H785" s="7" t="s">
        <v>207</v>
      </c>
      <c r="I785" s="7" t="s">
        <v>282</v>
      </c>
      <c r="J785" s="7" t="s">
        <v>427</v>
      </c>
      <c r="K785" s="7" t="s">
        <v>428</v>
      </c>
      <c r="L785" s="7" t="s">
        <v>429</v>
      </c>
      <c r="M785" s="7" t="n">
        <v>1</v>
      </c>
      <c r="N785" s="27" t="n">
        <v>149</v>
      </c>
      <c r="O785" s="28" t="n">
        <v>0.05</v>
      </c>
      <c r="P785" s="27" t="n">
        <v>142</v>
      </c>
      <c r="Q785" s="27" t="n">
        <v>70</v>
      </c>
      <c r="R785" s="27" t="n">
        <v>72</v>
      </c>
      <c r="S785" s="7" t="s">
        <v>47</v>
      </c>
      <c r="T785" s="7" t="str">
        <f aca="false">IF(O785=0,"No discount",IF(O785&lt;=0.2,"Up to 20%","Above 20%"))</f>
        <v>Up to 20%</v>
      </c>
    </row>
    <row r="786" customFormat="false" ht="15" hidden="false" customHeight="true" outlineLevel="0" collapsed="false">
      <c r="A786" s="7" t="s">
        <v>1471</v>
      </c>
      <c r="B786" s="26" t="n">
        <v>45933</v>
      </c>
      <c r="C786" s="26" t="n">
        <v>45940</v>
      </c>
      <c r="D786" s="7" t="s">
        <v>988</v>
      </c>
      <c r="E786" s="7" t="s">
        <v>989</v>
      </c>
      <c r="F786" s="7" t="s">
        <v>159</v>
      </c>
      <c r="G786" s="7" t="s">
        <v>160</v>
      </c>
      <c r="H786" s="7" t="s">
        <v>269</v>
      </c>
      <c r="I786" s="7" t="s">
        <v>282</v>
      </c>
      <c r="J786" s="7" t="s">
        <v>387</v>
      </c>
      <c r="K786" s="7" t="s">
        <v>388</v>
      </c>
      <c r="L786" s="7" t="s">
        <v>389</v>
      </c>
      <c r="M786" s="7" t="n">
        <v>5</v>
      </c>
      <c r="N786" s="27" t="n">
        <v>1299</v>
      </c>
      <c r="O786" s="28" t="n">
        <v>0.05</v>
      </c>
      <c r="P786" s="27" t="n">
        <v>6170</v>
      </c>
      <c r="Q786" s="27" t="n">
        <v>3900</v>
      </c>
      <c r="R786" s="27" t="n">
        <v>2270</v>
      </c>
      <c r="S786" s="7" t="s">
        <v>60</v>
      </c>
      <c r="T786" s="7" t="str">
        <f aca="false">IF(O786=0,"No discount",IF(O786&lt;=0.2,"Up to 20%","Above 20%"))</f>
        <v>Up to 20%</v>
      </c>
    </row>
    <row r="787" customFormat="false" ht="15" hidden="false" customHeight="true" outlineLevel="0" collapsed="false">
      <c r="A787" s="7" t="s">
        <v>1472</v>
      </c>
      <c r="B787" s="26" t="n">
        <v>45934</v>
      </c>
      <c r="C787" s="26" t="n">
        <v>45940</v>
      </c>
      <c r="D787" s="7" t="s">
        <v>496</v>
      </c>
      <c r="E787" s="7" t="s">
        <v>497</v>
      </c>
      <c r="F787" s="7" t="s">
        <v>178</v>
      </c>
      <c r="G787" s="7" t="s">
        <v>169</v>
      </c>
      <c r="H787" s="7" t="s">
        <v>179</v>
      </c>
      <c r="I787" s="7" t="s">
        <v>199</v>
      </c>
      <c r="J787" s="7" t="s">
        <v>398</v>
      </c>
      <c r="K787" s="7" t="s">
        <v>399</v>
      </c>
      <c r="L787" s="7" t="s">
        <v>400</v>
      </c>
      <c r="M787" s="7" t="n">
        <v>2</v>
      </c>
      <c r="N787" s="27" t="n">
        <v>749</v>
      </c>
      <c r="O787" s="28" t="n">
        <v>0</v>
      </c>
      <c r="P787" s="27" t="n">
        <v>1498</v>
      </c>
      <c r="Q787" s="27" t="n">
        <v>700</v>
      </c>
      <c r="R787" s="27" t="n">
        <v>798</v>
      </c>
      <c r="S787" s="7" t="s">
        <v>60</v>
      </c>
      <c r="T787" s="7" t="str">
        <f aca="false">IF(O787=0,"No discount",IF(O787&lt;=0.2,"Up to 20%","Above 20%"))</f>
        <v>No discount</v>
      </c>
    </row>
    <row r="788" customFormat="false" ht="15" hidden="false" customHeight="true" outlineLevel="0" collapsed="false">
      <c r="A788" s="7" t="s">
        <v>1473</v>
      </c>
      <c r="B788" s="26" t="n">
        <v>45934</v>
      </c>
      <c r="C788" s="26" t="n">
        <v>45936</v>
      </c>
      <c r="D788" s="7" t="s">
        <v>258</v>
      </c>
      <c r="E788" s="7" t="s">
        <v>259</v>
      </c>
      <c r="F788" s="7" t="s">
        <v>159</v>
      </c>
      <c r="G788" s="7" t="s">
        <v>206</v>
      </c>
      <c r="H788" s="7" t="s">
        <v>207</v>
      </c>
      <c r="I788" s="7" t="s">
        <v>192</v>
      </c>
      <c r="J788" s="7" t="s">
        <v>213</v>
      </c>
      <c r="K788" s="7" t="s">
        <v>264</v>
      </c>
      <c r="L788" s="7" t="s">
        <v>265</v>
      </c>
      <c r="M788" s="7" t="n">
        <v>1</v>
      </c>
      <c r="N788" s="27" t="n">
        <v>2499</v>
      </c>
      <c r="O788" s="28" t="n">
        <v>0.4</v>
      </c>
      <c r="P788" s="27" t="n">
        <v>1499</v>
      </c>
      <c r="Q788" s="27" t="n">
        <v>1700</v>
      </c>
      <c r="R788" s="27" t="n">
        <v>-201</v>
      </c>
      <c r="S788" s="7" t="s">
        <v>60</v>
      </c>
      <c r="T788" s="7" t="str">
        <f aca="false">IF(O788=0,"No discount",IF(O788&lt;=0.2,"Up to 20%","Above 20%"))</f>
        <v>Above 20%</v>
      </c>
    </row>
    <row r="789" customFormat="false" ht="15" hidden="false" customHeight="true" outlineLevel="0" collapsed="false">
      <c r="A789" s="7" t="s">
        <v>1474</v>
      </c>
      <c r="B789" s="26" t="n">
        <v>45934</v>
      </c>
      <c r="C789" s="26" t="n">
        <v>45940</v>
      </c>
      <c r="D789" s="7" t="s">
        <v>348</v>
      </c>
      <c r="E789" s="7" t="s">
        <v>349</v>
      </c>
      <c r="F789" s="7" t="s">
        <v>159</v>
      </c>
      <c r="G789" s="7" t="s">
        <v>169</v>
      </c>
      <c r="H789" s="7" t="s">
        <v>191</v>
      </c>
      <c r="I789" s="7" t="s">
        <v>208</v>
      </c>
      <c r="J789" s="7" t="s">
        <v>209</v>
      </c>
      <c r="K789" s="7" t="s">
        <v>641</v>
      </c>
      <c r="L789" s="7" t="s">
        <v>642</v>
      </c>
      <c r="M789" s="7" t="n">
        <v>1</v>
      </c>
      <c r="N789" s="27" t="n">
        <v>1499</v>
      </c>
      <c r="O789" s="28" t="n">
        <v>0.1</v>
      </c>
      <c r="P789" s="27" t="n">
        <v>1349</v>
      </c>
      <c r="Q789" s="27" t="n">
        <v>900</v>
      </c>
      <c r="R789" s="27" t="n">
        <v>449</v>
      </c>
      <c r="S789" s="7" t="s">
        <v>60</v>
      </c>
      <c r="T789" s="7" t="str">
        <f aca="false">IF(O789=0,"No discount",IF(O789&lt;=0.2,"Up to 20%","Above 20%"))</f>
        <v>Up to 20%</v>
      </c>
    </row>
    <row r="790" customFormat="false" ht="15" hidden="false" customHeight="true" outlineLevel="0" collapsed="false">
      <c r="A790" s="7" t="s">
        <v>1475</v>
      </c>
      <c r="B790" s="26" t="n">
        <v>45934</v>
      </c>
      <c r="C790" s="26" t="n">
        <v>45936</v>
      </c>
      <c r="D790" s="7" t="s">
        <v>357</v>
      </c>
      <c r="E790" s="7" t="s">
        <v>358</v>
      </c>
      <c r="F790" s="7" t="s">
        <v>219</v>
      </c>
      <c r="G790" s="7" t="s">
        <v>160</v>
      </c>
      <c r="H790" s="7" t="s">
        <v>161</v>
      </c>
      <c r="I790" s="7" t="s">
        <v>171</v>
      </c>
      <c r="J790" s="7" t="s">
        <v>304</v>
      </c>
      <c r="K790" s="7" t="s">
        <v>499</v>
      </c>
      <c r="L790" s="7" t="s">
        <v>500</v>
      </c>
      <c r="M790" s="7" t="n">
        <v>2</v>
      </c>
      <c r="N790" s="27" t="n">
        <v>5499</v>
      </c>
      <c r="O790" s="28" t="n">
        <v>0.1</v>
      </c>
      <c r="P790" s="27" t="n">
        <v>9898</v>
      </c>
      <c r="Q790" s="27" t="n">
        <v>7800</v>
      </c>
      <c r="R790" s="27" t="n">
        <v>2098</v>
      </c>
      <c r="S790" s="7" t="s">
        <v>60</v>
      </c>
      <c r="T790" s="7" t="str">
        <f aca="false">IF(O790=0,"No discount",IF(O790&lt;=0.2,"Up to 20%","Above 20%"))</f>
        <v>Up to 20%</v>
      </c>
    </row>
    <row r="791" customFormat="false" ht="15" hidden="false" customHeight="true" outlineLevel="0" collapsed="false">
      <c r="A791" s="7" t="s">
        <v>1476</v>
      </c>
      <c r="B791" s="26" t="n">
        <v>45934</v>
      </c>
      <c r="C791" s="26" t="n">
        <v>45936</v>
      </c>
      <c r="D791" s="7" t="s">
        <v>403</v>
      </c>
      <c r="E791" s="7" t="s">
        <v>404</v>
      </c>
      <c r="F791" s="7" t="s">
        <v>219</v>
      </c>
      <c r="G791" s="7" t="s">
        <v>169</v>
      </c>
      <c r="H791" s="7" t="s">
        <v>191</v>
      </c>
      <c r="I791" s="7" t="s">
        <v>192</v>
      </c>
      <c r="J791" s="7" t="s">
        <v>193</v>
      </c>
      <c r="K791" s="7" t="s">
        <v>194</v>
      </c>
      <c r="L791" s="7" t="s">
        <v>195</v>
      </c>
      <c r="M791" s="7" t="n">
        <v>1</v>
      </c>
      <c r="N791" s="27" t="n">
        <v>8999</v>
      </c>
      <c r="O791" s="28" t="n">
        <v>0.1</v>
      </c>
      <c r="P791" s="27" t="n">
        <v>8099</v>
      </c>
      <c r="Q791" s="27" t="n">
        <v>6800</v>
      </c>
      <c r="R791" s="27" t="n">
        <v>1299</v>
      </c>
      <c r="S791" s="7" t="s">
        <v>60</v>
      </c>
      <c r="T791" s="7" t="str">
        <f aca="false">IF(O791=0,"No discount",IF(O791&lt;=0.2,"Up to 20%","Above 20%"))</f>
        <v>Up to 20%</v>
      </c>
    </row>
    <row r="792" customFormat="false" ht="15" hidden="false" customHeight="true" outlineLevel="0" collapsed="false">
      <c r="A792" s="7" t="s">
        <v>1477</v>
      </c>
      <c r="B792" s="26" t="n">
        <v>45935</v>
      </c>
      <c r="C792" s="26" t="n">
        <v>45941</v>
      </c>
      <c r="D792" s="7" t="s">
        <v>1361</v>
      </c>
      <c r="E792" s="7" t="s">
        <v>1362</v>
      </c>
      <c r="F792" s="7" t="s">
        <v>159</v>
      </c>
      <c r="G792" s="7" t="s">
        <v>160</v>
      </c>
      <c r="H792" s="7" t="s">
        <v>269</v>
      </c>
      <c r="I792" s="7" t="s">
        <v>171</v>
      </c>
      <c r="J792" s="7" t="s">
        <v>172</v>
      </c>
      <c r="K792" s="7" t="s">
        <v>173</v>
      </c>
      <c r="L792" s="7" t="s">
        <v>174</v>
      </c>
      <c r="M792" s="7" t="n">
        <v>1</v>
      </c>
      <c r="N792" s="27" t="n">
        <v>699</v>
      </c>
      <c r="O792" s="28" t="n">
        <v>0</v>
      </c>
      <c r="P792" s="27" t="n">
        <v>699</v>
      </c>
      <c r="Q792" s="27" t="n">
        <v>320</v>
      </c>
      <c r="R792" s="27" t="n">
        <v>379</v>
      </c>
      <c r="S792" s="7" t="s">
        <v>60</v>
      </c>
      <c r="T792" s="7" t="str">
        <f aca="false">IF(O792=0,"No discount",IF(O792&lt;=0.2,"Up to 20%","Above 20%"))</f>
        <v>No discount</v>
      </c>
    </row>
    <row r="793" customFormat="false" ht="15" hidden="false" customHeight="true" outlineLevel="0" collapsed="false">
      <c r="A793" s="7" t="s">
        <v>1478</v>
      </c>
      <c r="B793" s="26" t="n">
        <v>45935</v>
      </c>
      <c r="C793" s="26" t="n">
        <v>45936</v>
      </c>
      <c r="D793" s="7" t="s">
        <v>302</v>
      </c>
      <c r="E793" s="7" t="s">
        <v>303</v>
      </c>
      <c r="F793" s="7" t="s">
        <v>159</v>
      </c>
      <c r="G793" s="7" t="s">
        <v>160</v>
      </c>
      <c r="H793" s="7" t="s">
        <v>269</v>
      </c>
      <c r="I793" s="7" t="s">
        <v>208</v>
      </c>
      <c r="J793" s="7" t="s">
        <v>232</v>
      </c>
      <c r="K793" s="7" t="s">
        <v>233</v>
      </c>
      <c r="L793" s="7" t="s">
        <v>234</v>
      </c>
      <c r="M793" s="7" t="n">
        <v>1</v>
      </c>
      <c r="N793" s="27" t="n">
        <v>7999</v>
      </c>
      <c r="O793" s="28" t="n">
        <v>0.15</v>
      </c>
      <c r="P793" s="27" t="n">
        <v>6799</v>
      </c>
      <c r="Q793" s="27" t="n">
        <v>5600</v>
      </c>
      <c r="R793" s="27" t="n">
        <v>1199</v>
      </c>
      <c r="S793" s="7" t="s">
        <v>60</v>
      </c>
      <c r="T793" s="7" t="str">
        <f aca="false">IF(O793=0,"No discount",IF(O793&lt;=0.2,"Up to 20%","Above 20%"))</f>
        <v>Up to 20%</v>
      </c>
    </row>
    <row r="794" customFormat="false" ht="15" hidden="false" customHeight="true" outlineLevel="0" collapsed="false">
      <c r="A794" s="7" t="s">
        <v>1479</v>
      </c>
      <c r="B794" s="26" t="n">
        <v>45935</v>
      </c>
      <c r="C794" s="26" t="n">
        <v>45941</v>
      </c>
      <c r="D794" s="7" t="s">
        <v>488</v>
      </c>
      <c r="E794" s="7" t="s">
        <v>489</v>
      </c>
      <c r="F794" s="7" t="s">
        <v>159</v>
      </c>
      <c r="G794" s="7" t="s">
        <v>206</v>
      </c>
      <c r="H794" s="7" t="s">
        <v>207</v>
      </c>
      <c r="I794" s="7" t="s">
        <v>208</v>
      </c>
      <c r="J794" s="7" t="s">
        <v>232</v>
      </c>
      <c r="K794" s="7" t="s">
        <v>671</v>
      </c>
      <c r="L794" s="7" t="s">
        <v>672</v>
      </c>
      <c r="M794" s="7" t="n">
        <v>1</v>
      </c>
      <c r="N794" s="27" t="n">
        <v>3299</v>
      </c>
      <c r="O794" s="28" t="n">
        <v>0.05</v>
      </c>
      <c r="P794" s="27" t="n">
        <v>3134</v>
      </c>
      <c r="Q794" s="27" t="n">
        <v>2100</v>
      </c>
      <c r="R794" s="27" t="n">
        <v>1034</v>
      </c>
      <c r="S794" s="7" t="s">
        <v>60</v>
      </c>
      <c r="T794" s="7" t="str">
        <f aca="false">IF(O794=0,"No discount",IF(O794&lt;=0.2,"Up to 20%","Above 20%"))</f>
        <v>Up to 20%</v>
      </c>
    </row>
    <row r="795" customFormat="false" ht="15" hidden="false" customHeight="true" outlineLevel="0" collapsed="false">
      <c r="A795" s="7" t="s">
        <v>1480</v>
      </c>
      <c r="B795" s="26" t="n">
        <v>45935</v>
      </c>
      <c r="C795" s="26" t="n">
        <v>45937</v>
      </c>
      <c r="D795" s="7" t="s">
        <v>241</v>
      </c>
      <c r="E795" s="7" t="s">
        <v>242</v>
      </c>
      <c r="F795" s="7" t="s">
        <v>159</v>
      </c>
      <c r="G795" s="7" t="s">
        <v>206</v>
      </c>
      <c r="H795" s="7" t="s">
        <v>207</v>
      </c>
      <c r="I795" s="7" t="s">
        <v>162</v>
      </c>
      <c r="J795" s="7" t="s">
        <v>325</v>
      </c>
      <c r="K795" s="7" t="s">
        <v>326</v>
      </c>
      <c r="L795" s="7" t="s">
        <v>327</v>
      </c>
      <c r="M795" s="7" t="n">
        <v>2</v>
      </c>
      <c r="N795" s="27" t="n">
        <v>799</v>
      </c>
      <c r="O795" s="28" t="n">
        <v>0.1</v>
      </c>
      <c r="P795" s="27" t="n">
        <v>1438</v>
      </c>
      <c r="Q795" s="27" t="n">
        <v>760</v>
      </c>
      <c r="R795" s="27" t="n">
        <v>678</v>
      </c>
      <c r="S795" s="7" t="s">
        <v>60</v>
      </c>
      <c r="T795" s="7" t="str">
        <f aca="false">IF(O795=0,"No discount",IF(O795&lt;=0.2,"Up to 20%","Above 20%"))</f>
        <v>Up to 20%</v>
      </c>
    </row>
    <row r="796" customFormat="false" ht="15" hidden="false" customHeight="true" outlineLevel="0" collapsed="false">
      <c r="A796" s="7" t="s">
        <v>1481</v>
      </c>
      <c r="B796" s="26" t="n">
        <v>45935</v>
      </c>
      <c r="C796" s="26" t="n">
        <v>45940</v>
      </c>
      <c r="D796" s="7" t="s">
        <v>441</v>
      </c>
      <c r="E796" s="7" t="s">
        <v>442</v>
      </c>
      <c r="F796" s="7" t="s">
        <v>159</v>
      </c>
      <c r="G796" s="7" t="s">
        <v>169</v>
      </c>
      <c r="H796" s="7" t="s">
        <v>191</v>
      </c>
      <c r="I796" s="7" t="s">
        <v>282</v>
      </c>
      <c r="J796" s="7" t="s">
        <v>427</v>
      </c>
      <c r="K796" s="7" t="s">
        <v>428</v>
      </c>
      <c r="L796" s="7" t="s">
        <v>429</v>
      </c>
      <c r="M796" s="7" t="n">
        <v>2</v>
      </c>
      <c r="N796" s="27" t="n">
        <v>149</v>
      </c>
      <c r="O796" s="28" t="n">
        <v>0</v>
      </c>
      <c r="P796" s="27" t="n">
        <v>298</v>
      </c>
      <c r="Q796" s="27" t="n">
        <v>140</v>
      </c>
      <c r="R796" s="27" t="n">
        <v>158</v>
      </c>
      <c r="S796" s="7" t="s">
        <v>60</v>
      </c>
      <c r="T796" s="7" t="str">
        <f aca="false">IF(O796=0,"No discount",IF(O796&lt;=0.2,"Up to 20%","Above 20%"))</f>
        <v>No discount</v>
      </c>
    </row>
    <row r="797" customFormat="false" ht="15" hidden="false" customHeight="true" outlineLevel="0" collapsed="false">
      <c r="A797" s="7" t="s">
        <v>1482</v>
      </c>
      <c r="B797" s="26" t="n">
        <v>45935</v>
      </c>
      <c r="C797" s="26" t="n">
        <v>45936</v>
      </c>
      <c r="D797" s="7" t="s">
        <v>330</v>
      </c>
      <c r="E797" s="7" t="s">
        <v>331</v>
      </c>
      <c r="F797" s="7" t="s">
        <v>219</v>
      </c>
      <c r="G797" s="7" t="s">
        <v>206</v>
      </c>
      <c r="H797" s="7" t="s">
        <v>207</v>
      </c>
      <c r="I797" s="7" t="s">
        <v>192</v>
      </c>
      <c r="J797" s="7" t="s">
        <v>213</v>
      </c>
      <c r="K797" s="7" t="s">
        <v>214</v>
      </c>
      <c r="L797" s="7" t="s">
        <v>215</v>
      </c>
      <c r="M797" s="7" t="n">
        <v>1</v>
      </c>
      <c r="N797" s="27" t="n">
        <v>5999</v>
      </c>
      <c r="O797" s="28" t="n">
        <v>0.2</v>
      </c>
      <c r="P797" s="27" t="n">
        <v>4799</v>
      </c>
      <c r="Q797" s="27" t="n">
        <v>4600</v>
      </c>
      <c r="R797" s="27" t="n">
        <v>199</v>
      </c>
      <c r="S797" s="7" t="s">
        <v>60</v>
      </c>
      <c r="T797" s="7" t="str">
        <f aca="false">IF(O797=0,"No discount",IF(O797&lt;=0.2,"Up to 20%","Above 20%"))</f>
        <v>Up to 20%</v>
      </c>
    </row>
    <row r="798" customFormat="false" ht="15" hidden="false" customHeight="true" outlineLevel="0" collapsed="false">
      <c r="A798" s="7" t="s">
        <v>1483</v>
      </c>
      <c r="B798" s="26" t="n">
        <v>45936</v>
      </c>
      <c r="C798" s="26" t="n">
        <v>45941</v>
      </c>
      <c r="D798" s="7" t="s">
        <v>773</v>
      </c>
      <c r="E798" s="7" t="s">
        <v>774</v>
      </c>
      <c r="F798" s="7" t="s">
        <v>159</v>
      </c>
      <c r="G798" s="7" t="s">
        <v>206</v>
      </c>
      <c r="H798" s="7" t="s">
        <v>207</v>
      </c>
      <c r="I798" s="7" t="s">
        <v>199</v>
      </c>
      <c r="J798" s="7" t="s">
        <v>200</v>
      </c>
      <c r="K798" s="7" t="s">
        <v>201</v>
      </c>
      <c r="L798" s="7" t="s">
        <v>202</v>
      </c>
      <c r="M798" s="7" t="n">
        <v>1</v>
      </c>
      <c r="N798" s="27" t="n">
        <v>399</v>
      </c>
      <c r="O798" s="28" t="n">
        <v>0.1</v>
      </c>
      <c r="P798" s="27" t="n">
        <v>359</v>
      </c>
      <c r="Q798" s="27" t="n">
        <v>160</v>
      </c>
      <c r="R798" s="27" t="n">
        <v>199</v>
      </c>
      <c r="S798" s="7" t="s">
        <v>60</v>
      </c>
      <c r="T798" s="7" t="str">
        <f aca="false">IF(O798=0,"No discount",IF(O798&lt;=0.2,"Up to 20%","Above 20%"))</f>
        <v>Up to 20%</v>
      </c>
    </row>
    <row r="799" customFormat="false" ht="15" hidden="false" customHeight="true" outlineLevel="0" collapsed="false">
      <c r="A799" s="7" t="s">
        <v>1484</v>
      </c>
      <c r="B799" s="26" t="n">
        <v>45936</v>
      </c>
      <c r="C799" s="26" t="n">
        <v>45939</v>
      </c>
      <c r="D799" s="7" t="s">
        <v>726</v>
      </c>
      <c r="E799" s="7" t="s">
        <v>727</v>
      </c>
      <c r="F799" s="7" t="s">
        <v>178</v>
      </c>
      <c r="G799" s="7" t="s">
        <v>206</v>
      </c>
      <c r="H799" s="7" t="s">
        <v>207</v>
      </c>
      <c r="I799" s="7" t="s">
        <v>208</v>
      </c>
      <c r="J799" s="7" t="s">
        <v>232</v>
      </c>
      <c r="K799" s="7" t="s">
        <v>233</v>
      </c>
      <c r="L799" s="7" t="s">
        <v>234</v>
      </c>
      <c r="M799" s="7" t="n">
        <v>1</v>
      </c>
      <c r="N799" s="27" t="n">
        <v>7999</v>
      </c>
      <c r="O799" s="28" t="n">
        <v>0.2</v>
      </c>
      <c r="P799" s="27" t="n">
        <v>6399</v>
      </c>
      <c r="Q799" s="27" t="n">
        <v>5600</v>
      </c>
      <c r="R799" s="27" t="n">
        <v>799</v>
      </c>
      <c r="S799" s="7" t="s">
        <v>60</v>
      </c>
      <c r="T799" s="7" t="str">
        <f aca="false">IF(O799=0,"No discount",IF(O799&lt;=0.2,"Up to 20%","Above 20%"))</f>
        <v>Up to 20%</v>
      </c>
    </row>
    <row r="800" customFormat="false" ht="15" hidden="false" customHeight="true" outlineLevel="0" collapsed="false">
      <c r="A800" s="7" t="s">
        <v>1485</v>
      </c>
      <c r="B800" s="26" t="n">
        <v>45936</v>
      </c>
      <c r="C800" s="26" t="n">
        <v>45940</v>
      </c>
      <c r="D800" s="7" t="s">
        <v>726</v>
      </c>
      <c r="E800" s="7" t="s">
        <v>727</v>
      </c>
      <c r="F800" s="7" t="s">
        <v>178</v>
      </c>
      <c r="G800" s="7" t="s">
        <v>206</v>
      </c>
      <c r="H800" s="7" t="s">
        <v>207</v>
      </c>
      <c r="I800" s="7" t="s">
        <v>192</v>
      </c>
      <c r="J800" s="7" t="s">
        <v>213</v>
      </c>
      <c r="K800" s="7" t="s">
        <v>214</v>
      </c>
      <c r="L800" s="7" t="s">
        <v>215</v>
      </c>
      <c r="M800" s="7" t="n">
        <v>1</v>
      </c>
      <c r="N800" s="27" t="n">
        <v>5999</v>
      </c>
      <c r="O800" s="28" t="n">
        <v>0.2</v>
      </c>
      <c r="P800" s="27" t="n">
        <v>4799</v>
      </c>
      <c r="Q800" s="27" t="n">
        <v>4600</v>
      </c>
      <c r="R800" s="27" t="n">
        <v>199</v>
      </c>
      <c r="S800" s="7" t="s">
        <v>60</v>
      </c>
      <c r="T800" s="7" t="str">
        <f aca="false">IF(O800=0,"No discount",IF(O800&lt;=0.2,"Up to 20%","Above 20%"))</f>
        <v>Up to 20%</v>
      </c>
    </row>
    <row r="801" customFormat="false" ht="15" hidden="false" customHeight="true" outlineLevel="0" collapsed="false">
      <c r="A801" s="7" t="s">
        <v>1486</v>
      </c>
      <c r="B801" s="26" t="n">
        <v>45937</v>
      </c>
      <c r="C801" s="26" t="n">
        <v>45944</v>
      </c>
      <c r="D801" s="7" t="s">
        <v>571</v>
      </c>
      <c r="E801" s="7" t="s">
        <v>572</v>
      </c>
      <c r="F801" s="7" t="s">
        <v>159</v>
      </c>
      <c r="G801" s="7" t="s">
        <v>160</v>
      </c>
      <c r="H801" s="7" t="s">
        <v>269</v>
      </c>
      <c r="I801" s="7" t="s">
        <v>208</v>
      </c>
      <c r="J801" s="7" t="s">
        <v>209</v>
      </c>
      <c r="K801" s="7" t="s">
        <v>210</v>
      </c>
      <c r="L801" s="7" t="s">
        <v>211</v>
      </c>
      <c r="M801" s="7" t="n">
        <v>2</v>
      </c>
      <c r="N801" s="27" t="n">
        <v>3499</v>
      </c>
      <c r="O801" s="28" t="n">
        <v>0.05</v>
      </c>
      <c r="P801" s="27" t="n">
        <v>6648</v>
      </c>
      <c r="Q801" s="27" t="n">
        <v>4400</v>
      </c>
      <c r="R801" s="27" t="n">
        <v>2248</v>
      </c>
      <c r="S801" s="7" t="s">
        <v>60</v>
      </c>
      <c r="T801" s="7" t="str">
        <f aca="false">IF(O801=0,"No discount",IF(O801&lt;=0.2,"Up to 20%","Above 20%"))</f>
        <v>Up to 20%</v>
      </c>
    </row>
    <row r="802" customFormat="false" ht="15" hidden="false" customHeight="true" outlineLevel="0" collapsed="false">
      <c r="A802" s="7" t="s">
        <v>1487</v>
      </c>
      <c r="B802" s="26" t="n">
        <v>45937</v>
      </c>
      <c r="C802" s="26" t="n">
        <v>45941</v>
      </c>
      <c r="D802" s="7" t="s">
        <v>336</v>
      </c>
      <c r="E802" s="7" t="s">
        <v>337</v>
      </c>
      <c r="F802" s="7" t="s">
        <v>219</v>
      </c>
      <c r="G802" s="7" t="s">
        <v>206</v>
      </c>
      <c r="H802" s="7" t="s">
        <v>207</v>
      </c>
      <c r="I802" s="7" t="s">
        <v>282</v>
      </c>
      <c r="J802" s="7" t="s">
        <v>387</v>
      </c>
      <c r="K802" s="7" t="s">
        <v>547</v>
      </c>
      <c r="L802" s="7" t="s">
        <v>548</v>
      </c>
      <c r="M802" s="7" t="n">
        <v>1</v>
      </c>
      <c r="N802" s="27" t="n">
        <v>249</v>
      </c>
      <c r="O802" s="28" t="n">
        <v>0.1</v>
      </c>
      <c r="P802" s="27" t="n">
        <v>224</v>
      </c>
      <c r="Q802" s="27" t="n">
        <v>120</v>
      </c>
      <c r="R802" s="27" t="n">
        <v>104</v>
      </c>
      <c r="S802" s="7" t="s">
        <v>60</v>
      </c>
      <c r="T802" s="7" t="str">
        <f aca="false">IF(O802=0,"No discount",IF(O802&lt;=0.2,"Up to 20%","Above 20%"))</f>
        <v>Up to 20%</v>
      </c>
    </row>
    <row r="803" customFormat="false" ht="15" hidden="false" customHeight="true" outlineLevel="0" collapsed="false">
      <c r="A803" s="7" t="s">
        <v>1488</v>
      </c>
      <c r="B803" s="26" t="n">
        <v>45937</v>
      </c>
      <c r="C803" s="26" t="n">
        <v>45939</v>
      </c>
      <c r="D803" s="7" t="s">
        <v>351</v>
      </c>
      <c r="E803" s="7" t="s">
        <v>352</v>
      </c>
      <c r="F803" s="7" t="s">
        <v>178</v>
      </c>
      <c r="G803" s="7" t="s">
        <v>169</v>
      </c>
      <c r="H803" s="7" t="s">
        <v>179</v>
      </c>
      <c r="I803" s="7" t="s">
        <v>282</v>
      </c>
      <c r="J803" s="7" t="s">
        <v>427</v>
      </c>
      <c r="K803" s="7" t="s">
        <v>428</v>
      </c>
      <c r="L803" s="7" t="s">
        <v>429</v>
      </c>
      <c r="M803" s="7" t="n">
        <v>2</v>
      </c>
      <c r="N803" s="27" t="n">
        <v>149</v>
      </c>
      <c r="O803" s="28" t="n">
        <v>0</v>
      </c>
      <c r="P803" s="27" t="n">
        <v>298</v>
      </c>
      <c r="Q803" s="27" t="n">
        <v>140</v>
      </c>
      <c r="R803" s="27" t="n">
        <v>158</v>
      </c>
      <c r="S803" s="7" t="s">
        <v>60</v>
      </c>
      <c r="T803" s="7" t="str">
        <f aca="false">IF(O803=0,"No discount",IF(O803&lt;=0.2,"Up to 20%","Above 20%"))</f>
        <v>No discount</v>
      </c>
    </row>
    <row r="804" customFormat="false" ht="15" hidden="false" customHeight="true" outlineLevel="0" collapsed="false">
      <c r="A804" s="7" t="s">
        <v>1489</v>
      </c>
      <c r="B804" s="26" t="n">
        <v>45938</v>
      </c>
      <c r="C804" s="26" t="n">
        <v>45943</v>
      </c>
      <c r="D804" s="7" t="s">
        <v>189</v>
      </c>
      <c r="E804" s="7" t="s">
        <v>190</v>
      </c>
      <c r="F804" s="7" t="s">
        <v>159</v>
      </c>
      <c r="G804" s="7" t="s">
        <v>169</v>
      </c>
      <c r="H804" s="7" t="s">
        <v>191</v>
      </c>
      <c r="I804" s="7" t="s">
        <v>208</v>
      </c>
      <c r="J804" s="7" t="s">
        <v>421</v>
      </c>
      <c r="K804" s="7" t="s">
        <v>422</v>
      </c>
      <c r="L804" s="7" t="s">
        <v>423</v>
      </c>
      <c r="M804" s="7" t="n">
        <v>4</v>
      </c>
      <c r="N804" s="27" t="n">
        <v>5999</v>
      </c>
      <c r="O804" s="28" t="n">
        <v>0.05</v>
      </c>
      <c r="P804" s="27" t="n">
        <v>22796</v>
      </c>
      <c r="Q804" s="27" t="n">
        <v>17200</v>
      </c>
      <c r="R804" s="27" t="n">
        <v>5596</v>
      </c>
      <c r="S804" s="7" t="s">
        <v>60</v>
      </c>
      <c r="T804" s="7" t="str">
        <f aca="false">IF(O804=0,"No discount",IF(O804&lt;=0.2,"Up to 20%","Above 20%"))</f>
        <v>Up to 20%</v>
      </c>
    </row>
    <row r="805" customFormat="false" ht="15" hidden="false" customHeight="true" outlineLevel="0" collapsed="false">
      <c r="A805" s="7" t="s">
        <v>1490</v>
      </c>
      <c r="B805" s="26" t="n">
        <v>45938</v>
      </c>
      <c r="C805" s="26" t="n">
        <v>45941</v>
      </c>
      <c r="D805" s="7" t="s">
        <v>372</v>
      </c>
      <c r="E805" s="7" t="s">
        <v>373</v>
      </c>
      <c r="F805" s="7" t="s">
        <v>219</v>
      </c>
      <c r="G805" s="7" t="s">
        <v>160</v>
      </c>
      <c r="H805" s="7" t="s">
        <v>269</v>
      </c>
      <c r="I805" s="7" t="s">
        <v>208</v>
      </c>
      <c r="J805" s="7" t="s">
        <v>232</v>
      </c>
      <c r="K805" s="7" t="s">
        <v>671</v>
      </c>
      <c r="L805" s="7" t="s">
        <v>672</v>
      </c>
      <c r="M805" s="7" t="n">
        <v>3</v>
      </c>
      <c r="N805" s="27" t="n">
        <v>3299</v>
      </c>
      <c r="O805" s="28" t="n">
        <v>0</v>
      </c>
      <c r="P805" s="27" t="n">
        <v>9897</v>
      </c>
      <c r="Q805" s="27" t="n">
        <v>6300</v>
      </c>
      <c r="R805" s="27" t="n">
        <v>3597</v>
      </c>
      <c r="S805" s="7" t="s">
        <v>60</v>
      </c>
      <c r="T805" s="7" t="str">
        <f aca="false">IF(O805=0,"No discount",IF(O805&lt;=0.2,"Up to 20%","Above 20%"))</f>
        <v>No discount</v>
      </c>
    </row>
    <row r="806" customFormat="false" ht="15" hidden="false" customHeight="true" outlineLevel="0" collapsed="false">
      <c r="A806" s="7" t="s">
        <v>1491</v>
      </c>
      <c r="B806" s="26" t="n">
        <v>45939</v>
      </c>
      <c r="C806" s="26" t="n">
        <v>45944</v>
      </c>
      <c r="D806" s="7" t="s">
        <v>1492</v>
      </c>
      <c r="E806" s="7" t="s">
        <v>1493</v>
      </c>
      <c r="F806" s="7" t="s">
        <v>219</v>
      </c>
      <c r="G806" s="7" t="s">
        <v>169</v>
      </c>
      <c r="H806" s="7" t="s">
        <v>170</v>
      </c>
      <c r="I806" s="7" t="s">
        <v>282</v>
      </c>
      <c r="J806" s="7" t="s">
        <v>283</v>
      </c>
      <c r="K806" s="7" t="s">
        <v>284</v>
      </c>
      <c r="L806" s="7" t="s">
        <v>285</v>
      </c>
      <c r="M806" s="7" t="n">
        <v>2</v>
      </c>
      <c r="N806" s="27" t="n">
        <v>199</v>
      </c>
      <c r="O806" s="28" t="n">
        <v>0</v>
      </c>
      <c r="P806" s="27" t="n">
        <v>398</v>
      </c>
      <c r="Q806" s="27" t="n">
        <v>180</v>
      </c>
      <c r="R806" s="27" t="n">
        <v>218</v>
      </c>
      <c r="S806" s="7" t="s">
        <v>60</v>
      </c>
      <c r="T806" s="7" t="str">
        <f aca="false">IF(O806=0,"No discount",IF(O806&lt;=0.2,"Up to 20%","Above 20%"))</f>
        <v>No discount</v>
      </c>
    </row>
    <row r="807" customFormat="false" ht="15" hidden="false" customHeight="true" outlineLevel="0" collapsed="false">
      <c r="A807" s="7" t="s">
        <v>1494</v>
      </c>
      <c r="B807" s="26" t="n">
        <v>45939</v>
      </c>
      <c r="C807" s="26" t="n">
        <v>45943</v>
      </c>
      <c r="D807" s="7" t="s">
        <v>1495</v>
      </c>
      <c r="E807" s="7" t="s">
        <v>1496</v>
      </c>
      <c r="F807" s="7" t="s">
        <v>159</v>
      </c>
      <c r="G807" s="7" t="s">
        <v>160</v>
      </c>
      <c r="H807" s="7" t="s">
        <v>269</v>
      </c>
      <c r="I807" s="7" t="s">
        <v>208</v>
      </c>
      <c r="J807" s="7" t="s">
        <v>209</v>
      </c>
      <c r="K807" s="7" t="s">
        <v>238</v>
      </c>
      <c r="L807" s="7" t="s">
        <v>239</v>
      </c>
      <c r="M807" s="7" t="n">
        <v>2</v>
      </c>
      <c r="N807" s="27" t="n">
        <v>2199</v>
      </c>
      <c r="O807" s="28" t="n">
        <v>0.05</v>
      </c>
      <c r="P807" s="27" t="n">
        <v>4178</v>
      </c>
      <c r="Q807" s="27" t="n">
        <v>2800</v>
      </c>
      <c r="R807" s="27" t="n">
        <v>1378</v>
      </c>
      <c r="S807" s="7" t="s">
        <v>60</v>
      </c>
      <c r="T807" s="7" t="str">
        <f aca="false">IF(O807=0,"No discount",IF(O807&lt;=0.2,"Up to 20%","Above 20%"))</f>
        <v>Up to 20%</v>
      </c>
    </row>
    <row r="808" customFormat="false" ht="15" hidden="false" customHeight="true" outlineLevel="0" collapsed="false">
      <c r="A808" s="7" t="s">
        <v>1497</v>
      </c>
      <c r="B808" s="26" t="n">
        <v>45939</v>
      </c>
      <c r="C808" s="26" t="n">
        <v>45940</v>
      </c>
      <c r="D808" s="7" t="s">
        <v>485</v>
      </c>
      <c r="E808" s="7" t="s">
        <v>486</v>
      </c>
      <c r="F808" s="7" t="s">
        <v>159</v>
      </c>
      <c r="G808" s="7" t="s">
        <v>169</v>
      </c>
      <c r="H808" s="7" t="s">
        <v>179</v>
      </c>
      <c r="I808" s="7" t="s">
        <v>171</v>
      </c>
      <c r="J808" s="7" t="s">
        <v>172</v>
      </c>
      <c r="K808" s="7" t="s">
        <v>180</v>
      </c>
      <c r="L808" s="7" t="s">
        <v>181</v>
      </c>
      <c r="M808" s="7" t="n">
        <v>1</v>
      </c>
      <c r="N808" s="27" t="n">
        <v>999</v>
      </c>
      <c r="O808" s="28" t="n">
        <v>0.1</v>
      </c>
      <c r="P808" s="27" t="n">
        <v>899</v>
      </c>
      <c r="Q808" s="27" t="n">
        <v>520</v>
      </c>
      <c r="R808" s="27" t="n">
        <v>379</v>
      </c>
      <c r="S808" s="7" t="s">
        <v>60</v>
      </c>
      <c r="T808" s="7" t="str">
        <f aca="false">IF(O808=0,"No discount",IF(O808&lt;=0.2,"Up to 20%","Above 20%"))</f>
        <v>Up to 20%</v>
      </c>
    </row>
    <row r="809" customFormat="false" ht="15" hidden="false" customHeight="true" outlineLevel="0" collapsed="false">
      <c r="A809" s="7" t="s">
        <v>1498</v>
      </c>
      <c r="B809" s="26" t="n">
        <v>45939</v>
      </c>
      <c r="C809" s="26" t="n">
        <v>45946</v>
      </c>
      <c r="D809" s="7" t="s">
        <v>296</v>
      </c>
      <c r="E809" s="7" t="s">
        <v>297</v>
      </c>
      <c r="F809" s="7" t="s">
        <v>178</v>
      </c>
      <c r="G809" s="7" t="s">
        <v>169</v>
      </c>
      <c r="H809" s="7" t="s">
        <v>179</v>
      </c>
      <c r="I809" s="7" t="s">
        <v>162</v>
      </c>
      <c r="J809" s="7" t="s">
        <v>185</v>
      </c>
      <c r="K809" s="7" t="s">
        <v>186</v>
      </c>
      <c r="L809" s="7" t="s">
        <v>187</v>
      </c>
      <c r="M809" s="7" t="n">
        <v>1</v>
      </c>
      <c r="N809" s="27" t="n">
        <v>3299</v>
      </c>
      <c r="O809" s="28" t="n">
        <v>0.5</v>
      </c>
      <c r="P809" s="27" t="n">
        <v>1650</v>
      </c>
      <c r="Q809" s="27" t="n">
        <v>1900</v>
      </c>
      <c r="R809" s="27" t="n">
        <v>-250</v>
      </c>
      <c r="S809" s="7" t="s">
        <v>60</v>
      </c>
      <c r="T809" s="7" t="str">
        <f aca="false">IF(O809=0,"No discount",IF(O809&lt;=0.2,"Up to 20%","Above 20%"))</f>
        <v>Above 20%</v>
      </c>
    </row>
    <row r="810" customFormat="false" ht="15" hidden="false" customHeight="true" outlineLevel="0" collapsed="false">
      <c r="A810" s="7" t="s">
        <v>1499</v>
      </c>
      <c r="B810" s="26" t="n">
        <v>45939</v>
      </c>
      <c r="C810" s="26" t="n">
        <v>45942</v>
      </c>
      <c r="D810" s="7" t="s">
        <v>255</v>
      </c>
      <c r="E810" s="7" t="s">
        <v>256</v>
      </c>
      <c r="F810" s="7" t="s">
        <v>159</v>
      </c>
      <c r="G810" s="7" t="s">
        <v>206</v>
      </c>
      <c r="H810" s="7" t="s">
        <v>207</v>
      </c>
      <c r="I810" s="7" t="s">
        <v>162</v>
      </c>
      <c r="J810" s="7" t="s">
        <v>163</v>
      </c>
      <c r="K810" s="7" t="s">
        <v>164</v>
      </c>
      <c r="L810" s="7" t="s">
        <v>165</v>
      </c>
      <c r="M810" s="7" t="n">
        <v>1</v>
      </c>
      <c r="N810" s="27" t="n">
        <v>1999</v>
      </c>
      <c r="O810" s="28" t="n">
        <v>0</v>
      </c>
      <c r="P810" s="27" t="n">
        <v>1999</v>
      </c>
      <c r="Q810" s="27" t="n">
        <v>1050</v>
      </c>
      <c r="R810" s="27" t="n">
        <v>949</v>
      </c>
      <c r="S810" s="7" t="s">
        <v>60</v>
      </c>
      <c r="T810" s="7" t="str">
        <f aca="false">IF(O810=0,"No discount",IF(O810&lt;=0.2,"Up to 20%","Above 20%"))</f>
        <v>No discount</v>
      </c>
    </row>
    <row r="811" customFormat="false" ht="15" hidden="false" customHeight="true" outlineLevel="0" collapsed="false">
      <c r="A811" s="7" t="s">
        <v>1500</v>
      </c>
      <c r="B811" s="26" t="n">
        <v>45940</v>
      </c>
      <c r="C811" s="26" t="n">
        <v>45942</v>
      </c>
      <c r="D811" s="7" t="s">
        <v>339</v>
      </c>
      <c r="E811" s="7" t="s">
        <v>340</v>
      </c>
      <c r="F811" s="7" t="s">
        <v>178</v>
      </c>
      <c r="G811" s="7" t="s">
        <v>169</v>
      </c>
      <c r="H811" s="7" t="s">
        <v>179</v>
      </c>
      <c r="I811" s="7" t="s">
        <v>199</v>
      </c>
      <c r="J811" s="7" t="s">
        <v>223</v>
      </c>
      <c r="K811" s="7" t="s">
        <v>246</v>
      </c>
      <c r="L811" s="7" t="s">
        <v>247</v>
      </c>
      <c r="M811" s="7" t="n">
        <v>3</v>
      </c>
      <c r="N811" s="27" t="n">
        <v>599</v>
      </c>
      <c r="O811" s="28" t="n">
        <v>0.2</v>
      </c>
      <c r="P811" s="27" t="n">
        <v>1438</v>
      </c>
      <c r="Q811" s="27" t="n">
        <v>810</v>
      </c>
      <c r="R811" s="27" t="n">
        <v>628</v>
      </c>
      <c r="S811" s="7" t="s">
        <v>60</v>
      </c>
      <c r="T811" s="7" t="str">
        <f aca="false">IF(O811=0,"No discount",IF(O811&lt;=0.2,"Up to 20%","Above 20%"))</f>
        <v>Up to 20%</v>
      </c>
    </row>
    <row r="812" customFormat="false" ht="15" hidden="false" customHeight="true" outlineLevel="0" collapsed="false">
      <c r="A812" s="7" t="s">
        <v>1501</v>
      </c>
      <c r="B812" s="26" t="n">
        <v>45940</v>
      </c>
      <c r="C812" s="26" t="n">
        <v>45946</v>
      </c>
      <c r="D812" s="7" t="s">
        <v>545</v>
      </c>
      <c r="E812" s="7" t="s">
        <v>546</v>
      </c>
      <c r="F812" s="7" t="s">
        <v>219</v>
      </c>
      <c r="G812" s="7" t="s">
        <v>169</v>
      </c>
      <c r="H812" s="7" t="s">
        <v>179</v>
      </c>
      <c r="I812" s="7" t="s">
        <v>171</v>
      </c>
      <c r="J812" s="7" t="s">
        <v>172</v>
      </c>
      <c r="K812" s="7" t="s">
        <v>180</v>
      </c>
      <c r="L812" s="7" t="s">
        <v>181</v>
      </c>
      <c r="M812" s="7" t="n">
        <v>1</v>
      </c>
      <c r="N812" s="27" t="n">
        <v>999</v>
      </c>
      <c r="O812" s="28" t="n">
        <v>0</v>
      </c>
      <c r="P812" s="27" t="n">
        <v>999</v>
      </c>
      <c r="Q812" s="27" t="n">
        <v>520</v>
      </c>
      <c r="R812" s="27" t="n">
        <v>479</v>
      </c>
      <c r="S812" s="7" t="s">
        <v>60</v>
      </c>
      <c r="T812" s="7" t="str">
        <f aca="false">IF(O812=0,"No discount",IF(O812&lt;=0.2,"Up to 20%","Above 20%"))</f>
        <v>No discount</v>
      </c>
    </row>
    <row r="813" customFormat="false" ht="15" hidden="false" customHeight="true" outlineLevel="0" collapsed="false">
      <c r="A813" s="7" t="s">
        <v>1502</v>
      </c>
      <c r="B813" s="26" t="n">
        <v>45940</v>
      </c>
      <c r="C813" s="26" t="n">
        <v>45947</v>
      </c>
      <c r="D813" s="7" t="s">
        <v>781</v>
      </c>
      <c r="E813" s="7" t="s">
        <v>782</v>
      </c>
      <c r="F813" s="7" t="s">
        <v>219</v>
      </c>
      <c r="G813" s="7" t="s">
        <v>160</v>
      </c>
      <c r="H813" s="7" t="s">
        <v>269</v>
      </c>
      <c r="I813" s="7" t="s">
        <v>282</v>
      </c>
      <c r="J813" s="7" t="s">
        <v>427</v>
      </c>
      <c r="K813" s="7" t="s">
        <v>428</v>
      </c>
      <c r="L813" s="7" t="s">
        <v>429</v>
      </c>
      <c r="M813" s="7" t="n">
        <v>4</v>
      </c>
      <c r="N813" s="27" t="n">
        <v>149</v>
      </c>
      <c r="O813" s="28" t="n">
        <v>0.1</v>
      </c>
      <c r="P813" s="27" t="n">
        <v>536</v>
      </c>
      <c r="Q813" s="27" t="n">
        <v>280</v>
      </c>
      <c r="R813" s="27" t="n">
        <v>256</v>
      </c>
      <c r="S813" s="7" t="s">
        <v>60</v>
      </c>
      <c r="T813" s="7" t="str">
        <f aca="false">IF(O813=0,"No discount",IF(O813&lt;=0.2,"Up to 20%","Above 20%"))</f>
        <v>Up to 20%</v>
      </c>
    </row>
    <row r="814" customFormat="false" ht="15" hidden="false" customHeight="true" outlineLevel="0" collapsed="false">
      <c r="A814" s="7" t="s">
        <v>1503</v>
      </c>
      <c r="B814" s="26" t="n">
        <v>45940</v>
      </c>
      <c r="C814" s="26" t="n">
        <v>45941</v>
      </c>
      <c r="D814" s="7" t="s">
        <v>906</v>
      </c>
      <c r="E814" s="7" t="s">
        <v>907</v>
      </c>
      <c r="F814" s="7" t="s">
        <v>159</v>
      </c>
      <c r="G814" s="7" t="s">
        <v>160</v>
      </c>
      <c r="H814" s="7" t="s">
        <v>263</v>
      </c>
      <c r="I814" s="7" t="s">
        <v>282</v>
      </c>
      <c r="J814" s="7" t="s">
        <v>427</v>
      </c>
      <c r="K814" s="7" t="s">
        <v>428</v>
      </c>
      <c r="L814" s="7" t="s">
        <v>429</v>
      </c>
      <c r="M814" s="7" t="n">
        <v>3</v>
      </c>
      <c r="N814" s="27" t="n">
        <v>149</v>
      </c>
      <c r="O814" s="28" t="n">
        <v>0</v>
      </c>
      <c r="P814" s="27" t="n">
        <v>447</v>
      </c>
      <c r="Q814" s="27" t="n">
        <v>210</v>
      </c>
      <c r="R814" s="27" t="n">
        <v>237</v>
      </c>
      <c r="S814" s="7" t="s">
        <v>60</v>
      </c>
      <c r="T814" s="7" t="str">
        <f aca="false">IF(O814=0,"No discount",IF(O814&lt;=0.2,"Up to 20%","Above 20%"))</f>
        <v>No discount</v>
      </c>
    </row>
    <row r="815" customFormat="false" ht="15" hidden="false" customHeight="true" outlineLevel="0" collapsed="false">
      <c r="A815" s="7" t="s">
        <v>1504</v>
      </c>
      <c r="B815" s="26" t="n">
        <v>45940</v>
      </c>
      <c r="C815" s="26" t="n">
        <v>45946</v>
      </c>
      <c r="D815" s="7" t="s">
        <v>261</v>
      </c>
      <c r="E815" s="7" t="s">
        <v>262</v>
      </c>
      <c r="F815" s="7" t="s">
        <v>159</v>
      </c>
      <c r="G815" s="7" t="s">
        <v>160</v>
      </c>
      <c r="H815" s="7" t="s">
        <v>263</v>
      </c>
      <c r="I815" s="7" t="s">
        <v>162</v>
      </c>
      <c r="J815" s="7" t="s">
        <v>325</v>
      </c>
      <c r="K815" s="7" t="s">
        <v>381</v>
      </c>
      <c r="L815" s="7" t="s">
        <v>382</v>
      </c>
      <c r="M815" s="7" t="n">
        <v>3</v>
      </c>
      <c r="N815" s="27" t="n">
        <v>1799</v>
      </c>
      <c r="O815" s="28" t="n">
        <v>0</v>
      </c>
      <c r="P815" s="27" t="n">
        <v>5397</v>
      </c>
      <c r="Q815" s="27" t="n">
        <v>2850</v>
      </c>
      <c r="R815" s="27" t="n">
        <v>2547</v>
      </c>
      <c r="S815" s="7" t="s">
        <v>60</v>
      </c>
      <c r="T815" s="7" t="str">
        <f aca="false">IF(O815=0,"No discount",IF(O815&lt;=0.2,"Up to 20%","Above 20%"))</f>
        <v>No discount</v>
      </c>
    </row>
    <row r="816" customFormat="false" ht="15" hidden="false" customHeight="true" outlineLevel="0" collapsed="false">
      <c r="A816" s="7" t="s">
        <v>1505</v>
      </c>
      <c r="B816" s="26" t="n">
        <v>45940</v>
      </c>
      <c r="C816" s="26" t="n">
        <v>45947</v>
      </c>
      <c r="D816" s="7" t="s">
        <v>764</v>
      </c>
      <c r="E816" s="7" t="s">
        <v>765</v>
      </c>
      <c r="F816" s="7" t="s">
        <v>159</v>
      </c>
      <c r="G816" s="7" t="s">
        <v>169</v>
      </c>
      <c r="H816" s="7" t="s">
        <v>170</v>
      </c>
      <c r="I816" s="7" t="s">
        <v>199</v>
      </c>
      <c r="J816" s="7" t="s">
        <v>200</v>
      </c>
      <c r="K816" s="7" t="s">
        <v>201</v>
      </c>
      <c r="L816" s="7" t="s">
        <v>202</v>
      </c>
      <c r="M816" s="7" t="n">
        <v>3</v>
      </c>
      <c r="N816" s="27" t="n">
        <v>399</v>
      </c>
      <c r="O816" s="28" t="n">
        <v>0</v>
      </c>
      <c r="P816" s="27" t="n">
        <v>1197</v>
      </c>
      <c r="Q816" s="27" t="n">
        <v>480</v>
      </c>
      <c r="R816" s="27" t="n">
        <v>717</v>
      </c>
      <c r="S816" s="7" t="s">
        <v>60</v>
      </c>
      <c r="T816" s="7" t="str">
        <f aca="false">IF(O816=0,"No discount",IF(O816&lt;=0.2,"Up to 20%","Above 20%"))</f>
        <v>No discount</v>
      </c>
    </row>
    <row r="817" customFormat="false" ht="15" hidden="false" customHeight="true" outlineLevel="0" collapsed="false">
      <c r="A817" s="7" t="s">
        <v>1506</v>
      </c>
      <c r="B817" s="26" t="n">
        <v>45941</v>
      </c>
      <c r="C817" s="26" t="n">
        <v>45943</v>
      </c>
      <c r="D817" s="7" t="s">
        <v>903</v>
      </c>
      <c r="E817" s="7" t="s">
        <v>904</v>
      </c>
      <c r="F817" s="7" t="s">
        <v>219</v>
      </c>
      <c r="G817" s="7" t="s">
        <v>206</v>
      </c>
      <c r="H817" s="7" t="s">
        <v>207</v>
      </c>
      <c r="I817" s="7" t="s">
        <v>171</v>
      </c>
      <c r="J817" s="7" t="s">
        <v>172</v>
      </c>
      <c r="K817" s="7" t="s">
        <v>173</v>
      </c>
      <c r="L817" s="7" t="s">
        <v>174</v>
      </c>
      <c r="M817" s="7" t="n">
        <v>1</v>
      </c>
      <c r="N817" s="27" t="n">
        <v>699</v>
      </c>
      <c r="O817" s="28" t="n">
        <v>0</v>
      </c>
      <c r="P817" s="27" t="n">
        <v>699</v>
      </c>
      <c r="Q817" s="27" t="n">
        <v>320</v>
      </c>
      <c r="R817" s="27" t="n">
        <v>379</v>
      </c>
      <c r="S817" s="7" t="s">
        <v>60</v>
      </c>
      <c r="T817" s="7" t="str">
        <f aca="false">IF(O817=0,"No discount",IF(O817&lt;=0.2,"Up to 20%","Above 20%"))</f>
        <v>No discount</v>
      </c>
    </row>
    <row r="818" customFormat="false" ht="15" hidden="false" customHeight="true" outlineLevel="0" collapsed="false">
      <c r="A818" s="7" t="s">
        <v>1507</v>
      </c>
      <c r="B818" s="26" t="n">
        <v>45941</v>
      </c>
      <c r="C818" s="26" t="n">
        <v>45946</v>
      </c>
      <c r="D818" s="7" t="s">
        <v>1508</v>
      </c>
      <c r="E818" s="7" t="s">
        <v>1509</v>
      </c>
      <c r="F818" s="7" t="s">
        <v>159</v>
      </c>
      <c r="G818" s="7" t="s">
        <v>323</v>
      </c>
      <c r="H818" s="7" t="s">
        <v>324</v>
      </c>
      <c r="I818" s="7" t="s">
        <v>199</v>
      </c>
      <c r="J818" s="7" t="s">
        <v>398</v>
      </c>
      <c r="K818" s="7" t="s">
        <v>399</v>
      </c>
      <c r="L818" s="7" t="s">
        <v>400</v>
      </c>
      <c r="M818" s="7" t="n">
        <v>1</v>
      </c>
      <c r="N818" s="27" t="n">
        <v>749</v>
      </c>
      <c r="O818" s="28" t="n">
        <v>0</v>
      </c>
      <c r="P818" s="27" t="n">
        <v>749</v>
      </c>
      <c r="Q818" s="27" t="n">
        <v>350</v>
      </c>
      <c r="R818" s="27" t="n">
        <v>399</v>
      </c>
      <c r="S818" s="7" t="s">
        <v>60</v>
      </c>
      <c r="T818" s="7" t="str">
        <f aca="false">IF(O818=0,"No discount",IF(O818&lt;=0.2,"Up to 20%","Above 20%"))</f>
        <v>No discount</v>
      </c>
    </row>
    <row r="819" customFormat="false" ht="15" hidden="false" customHeight="true" outlineLevel="0" collapsed="false">
      <c r="A819" s="7" t="s">
        <v>1510</v>
      </c>
      <c r="B819" s="26" t="n">
        <v>45941</v>
      </c>
      <c r="C819" s="26" t="n">
        <v>45942</v>
      </c>
      <c r="D819" s="7" t="s">
        <v>635</v>
      </c>
      <c r="E819" s="7" t="s">
        <v>636</v>
      </c>
      <c r="F819" s="7" t="s">
        <v>159</v>
      </c>
      <c r="G819" s="7" t="s">
        <v>323</v>
      </c>
      <c r="H819" s="7" t="s">
        <v>324</v>
      </c>
      <c r="I819" s="7" t="s">
        <v>199</v>
      </c>
      <c r="J819" s="7" t="s">
        <v>200</v>
      </c>
      <c r="K819" s="7" t="s">
        <v>201</v>
      </c>
      <c r="L819" s="7" t="s">
        <v>202</v>
      </c>
      <c r="M819" s="7" t="n">
        <v>2</v>
      </c>
      <c r="N819" s="27" t="n">
        <v>399</v>
      </c>
      <c r="O819" s="28" t="n">
        <v>0.15</v>
      </c>
      <c r="P819" s="27" t="n">
        <v>678</v>
      </c>
      <c r="Q819" s="27" t="n">
        <v>320</v>
      </c>
      <c r="R819" s="27" t="n">
        <v>358</v>
      </c>
      <c r="S819" s="7" t="s">
        <v>60</v>
      </c>
      <c r="T819" s="7" t="str">
        <f aca="false">IF(O819=0,"No discount",IF(O819&lt;=0.2,"Up to 20%","Above 20%"))</f>
        <v>Up to 20%</v>
      </c>
    </row>
    <row r="820" customFormat="false" ht="15" hidden="false" customHeight="true" outlineLevel="0" collapsed="false">
      <c r="A820" s="7" t="s">
        <v>1511</v>
      </c>
      <c r="B820" s="26" t="n">
        <v>45941</v>
      </c>
      <c r="C820" s="26" t="n">
        <v>45944</v>
      </c>
      <c r="D820" s="7" t="s">
        <v>903</v>
      </c>
      <c r="E820" s="7" t="s">
        <v>904</v>
      </c>
      <c r="F820" s="7" t="s">
        <v>219</v>
      </c>
      <c r="G820" s="7" t="s">
        <v>206</v>
      </c>
      <c r="H820" s="7" t="s">
        <v>207</v>
      </c>
      <c r="I820" s="7" t="s">
        <v>208</v>
      </c>
      <c r="J820" s="7" t="s">
        <v>209</v>
      </c>
      <c r="K820" s="7" t="s">
        <v>637</v>
      </c>
      <c r="L820" s="7" t="s">
        <v>638</v>
      </c>
      <c r="M820" s="7" t="n">
        <v>4</v>
      </c>
      <c r="N820" s="27" t="n">
        <v>899</v>
      </c>
      <c r="O820" s="28" t="n">
        <v>0.05</v>
      </c>
      <c r="P820" s="27" t="n">
        <v>3416</v>
      </c>
      <c r="Q820" s="27" t="n">
        <v>1920</v>
      </c>
      <c r="R820" s="27" t="n">
        <v>1496</v>
      </c>
      <c r="S820" s="7" t="s">
        <v>60</v>
      </c>
      <c r="T820" s="7" t="str">
        <f aca="false">IF(O820=0,"No discount",IF(O820&lt;=0.2,"Up to 20%","Above 20%"))</f>
        <v>Up to 20%</v>
      </c>
    </row>
    <row r="821" customFormat="false" ht="15" hidden="false" customHeight="true" outlineLevel="0" collapsed="false">
      <c r="A821" s="7" t="s">
        <v>1512</v>
      </c>
      <c r="B821" s="26" t="n">
        <v>45941</v>
      </c>
      <c r="C821" s="26" t="n">
        <v>45946</v>
      </c>
      <c r="D821" s="7" t="s">
        <v>635</v>
      </c>
      <c r="E821" s="7" t="s">
        <v>636</v>
      </c>
      <c r="F821" s="7" t="s">
        <v>159</v>
      </c>
      <c r="G821" s="7" t="s">
        <v>323</v>
      </c>
      <c r="H821" s="7" t="s">
        <v>324</v>
      </c>
      <c r="I821" s="7" t="s">
        <v>171</v>
      </c>
      <c r="J821" s="7" t="s">
        <v>304</v>
      </c>
      <c r="K821" s="7" t="s">
        <v>305</v>
      </c>
      <c r="L821" s="7" t="s">
        <v>306</v>
      </c>
      <c r="M821" s="7" t="n">
        <v>1</v>
      </c>
      <c r="N821" s="27" t="n">
        <v>2999</v>
      </c>
      <c r="O821" s="28" t="n">
        <v>0</v>
      </c>
      <c r="P821" s="27" t="n">
        <v>2999</v>
      </c>
      <c r="Q821" s="27" t="n">
        <v>2000</v>
      </c>
      <c r="R821" s="27" t="n">
        <v>999</v>
      </c>
      <c r="S821" s="7" t="s">
        <v>60</v>
      </c>
      <c r="T821" s="7" t="str">
        <f aca="false">IF(O821=0,"No discount",IF(O821&lt;=0.2,"Up to 20%","Above 20%"))</f>
        <v>No discount</v>
      </c>
    </row>
    <row r="822" customFormat="false" ht="15" hidden="false" customHeight="true" outlineLevel="0" collapsed="false">
      <c r="A822" s="7" t="s">
        <v>1513</v>
      </c>
      <c r="B822" s="26" t="n">
        <v>45942</v>
      </c>
      <c r="C822" s="26" t="n">
        <v>45944</v>
      </c>
      <c r="D822" s="7" t="s">
        <v>258</v>
      </c>
      <c r="E822" s="7" t="s">
        <v>259</v>
      </c>
      <c r="F822" s="7" t="s">
        <v>159</v>
      </c>
      <c r="G822" s="7" t="s">
        <v>206</v>
      </c>
      <c r="H822" s="7" t="s">
        <v>207</v>
      </c>
      <c r="I822" s="7" t="s">
        <v>171</v>
      </c>
      <c r="J822" s="7" t="s">
        <v>172</v>
      </c>
      <c r="K822" s="7" t="s">
        <v>173</v>
      </c>
      <c r="L822" s="7" t="s">
        <v>174</v>
      </c>
      <c r="M822" s="7" t="n">
        <v>1</v>
      </c>
      <c r="N822" s="27" t="n">
        <v>699</v>
      </c>
      <c r="O822" s="28" t="n">
        <v>0.2</v>
      </c>
      <c r="P822" s="27" t="n">
        <v>559</v>
      </c>
      <c r="Q822" s="27" t="n">
        <v>320</v>
      </c>
      <c r="R822" s="27" t="n">
        <v>239</v>
      </c>
      <c r="S822" s="7" t="s">
        <v>60</v>
      </c>
      <c r="T822" s="7" t="str">
        <f aca="false">IF(O822=0,"No discount",IF(O822&lt;=0.2,"Up to 20%","Above 20%"))</f>
        <v>Up to 20%</v>
      </c>
    </row>
    <row r="823" customFormat="false" ht="15" hidden="false" customHeight="true" outlineLevel="0" collapsed="false">
      <c r="A823" s="7" t="s">
        <v>1514</v>
      </c>
      <c r="B823" s="26" t="n">
        <v>45942</v>
      </c>
      <c r="C823" s="26" t="n">
        <v>45947</v>
      </c>
      <c r="D823" s="7" t="s">
        <v>369</v>
      </c>
      <c r="E823" s="7" t="s">
        <v>370</v>
      </c>
      <c r="F823" s="7" t="s">
        <v>159</v>
      </c>
      <c r="G823" s="7" t="s">
        <v>169</v>
      </c>
      <c r="H823" s="7" t="s">
        <v>191</v>
      </c>
      <c r="I823" s="7" t="s">
        <v>192</v>
      </c>
      <c r="J823" s="7" t="s">
        <v>213</v>
      </c>
      <c r="K823" s="7" t="s">
        <v>264</v>
      </c>
      <c r="L823" s="7" t="s">
        <v>265</v>
      </c>
      <c r="M823" s="7" t="n">
        <v>2</v>
      </c>
      <c r="N823" s="27" t="n">
        <v>2499</v>
      </c>
      <c r="O823" s="28" t="n">
        <v>0.2</v>
      </c>
      <c r="P823" s="27" t="n">
        <v>3998</v>
      </c>
      <c r="Q823" s="27" t="n">
        <v>3400</v>
      </c>
      <c r="R823" s="27" t="n">
        <v>598</v>
      </c>
      <c r="S823" s="7" t="s">
        <v>60</v>
      </c>
      <c r="T823" s="7" t="str">
        <f aca="false">IF(O823=0,"No discount",IF(O823&lt;=0.2,"Up to 20%","Above 20%"))</f>
        <v>Up to 20%</v>
      </c>
    </row>
    <row r="824" customFormat="false" ht="15" hidden="false" customHeight="true" outlineLevel="0" collapsed="false">
      <c r="A824" s="7" t="s">
        <v>1515</v>
      </c>
      <c r="B824" s="26" t="n">
        <v>45942</v>
      </c>
      <c r="C824" s="26" t="n">
        <v>45945</v>
      </c>
      <c r="D824" s="7" t="s">
        <v>419</v>
      </c>
      <c r="E824" s="7" t="s">
        <v>420</v>
      </c>
      <c r="F824" s="7" t="s">
        <v>178</v>
      </c>
      <c r="G824" s="7" t="s">
        <v>169</v>
      </c>
      <c r="H824" s="7" t="s">
        <v>179</v>
      </c>
      <c r="I824" s="7" t="s">
        <v>199</v>
      </c>
      <c r="J824" s="7" t="s">
        <v>398</v>
      </c>
      <c r="K824" s="7" t="s">
        <v>399</v>
      </c>
      <c r="L824" s="7" t="s">
        <v>400</v>
      </c>
      <c r="M824" s="7" t="n">
        <v>1</v>
      </c>
      <c r="N824" s="27" t="n">
        <v>749</v>
      </c>
      <c r="O824" s="28" t="n">
        <v>0.15</v>
      </c>
      <c r="P824" s="27" t="n">
        <v>637</v>
      </c>
      <c r="Q824" s="27" t="n">
        <v>350</v>
      </c>
      <c r="R824" s="27" t="n">
        <v>287</v>
      </c>
      <c r="S824" s="7" t="s">
        <v>60</v>
      </c>
      <c r="T824" s="7" t="str">
        <f aca="false">IF(O824=0,"No discount",IF(O824&lt;=0.2,"Up to 20%","Above 20%"))</f>
        <v>Up to 20%</v>
      </c>
    </row>
    <row r="825" customFormat="false" ht="15" hidden="false" customHeight="true" outlineLevel="0" collapsed="false">
      <c r="A825" s="7" t="s">
        <v>1516</v>
      </c>
      <c r="B825" s="26" t="n">
        <v>45942</v>
      </c>
      <c r="C825" s="26" t="n">
        <v>45943</v>
      </c>
      <c r="D825" s="7" t="s">
        <v>485</v>
      </c>
      <c r="E825" s="7" t="s">
        <v>486</v>
      </c>
      <c r="F825" s="7" t="s">
        <v>159</v>
      </c>
      <c r="G825" s="7" t="s">
        <v>169</v>
      </c>
      <c r="H825" s="7" t="s">
        <v>179</v>
      </c>
      <c r="I825" s="7" t="s">
        <v>162</v>
      </c>
      <c r="J825" s="7" t="s">
        <v>251</v>
      </c>
      <c r="K825" s="7" t="s">
        <v>252</v>
      </c>
      <c r="L825" s="7" t="s">
        <v>253</v>
      </c>
      <c r="M825" s="7" t="n">
        <v>3</v>
      </c>
      <c r="N825" s="27" t="n">
        <v>3999</v>
      </c>
      <c r="O825" s="28" t="n">
        <v>0.1</v>
      </c>
      <c r="P825" s="27" t="n">
        <v>10797</v>
      </c>
      <c r="Q825" s="27" t="n">
        <v>7200</v>
      </c>
      <c r="R825" s="27" t="n">
        <v>3597</v>
      </c>
      <c r="S825" s="7" t="s">
        <v>60</v>
      </c>
      <c r="T825" s="7" t="str">
        <f aca="false">IF(O825=0,"No discount",IF(O825&lt;=0.2,"Up to 20%","Above 20%"))</f>
        <v>Up to 20%</v>
      </c>
    </row>
    <row r="826" customFormat="false" ht="15" hidden="false" customHeight="true" outlineLevel="0" collapsed="false">
      <c r="A826" s="7" t="s">
        <v>1517</v>
      </c>
      <c r="B826" s="26" t="n">
        <v>45942</v>
      </c>
      <c r="C826" s="26" t="n">
        <v>45948</v>
      </c>
      <c r="D826" s="7" t="s">
        <v>1288</v>
      </c>
      <c r="E826" s="7" t="s">
        <v>1289</v>
      </c>
      <c r="F826" s="7" t="s">
        <v>178</v>
      </c>
      <c r="G826" s="7" t="s">
        <v>160</v>
      </c>
      <c r="H826" s="7" t="s">
        <v>269</v>
      </c>
      <c r="I826" s="7" t="s">
        <v>282</v>
      </c>
      <c r="J826" s="7" t="s">
        <v>387</v>
      </c>
      <c r="K826" s="7" t="s">
        <v>691</v>
      </c>
      <c r="L826" s="7" t="s">
        <v>692</v>
      </c>
      <c r="M826" s="7" t="n">
        <v>10</v>
      </c>
      <c r="N826" s="27" t="n">
        <v>499</v>
      </c>
      <c r="O826" s="28" t="n">
        <v>0</v>
      </c>
      <c r="P826" s="27" t="n">
        <v>4990</v>
      </c>
      <c r="Q826" s="27" t="n">
        <v>2600</v>
      </c>
      <c r="R826" s="27" t="n">
        <v>2390</v>
      </c>
      <c r="S826" s="7" t="s">
        <v>60</v>
      </c>
      <c r="T826" s="7" t="str">
        <f aca="false">IF(O826=0,"No discount",IF(O826&lt;=0.2,"Up to 20%","Above 20%"))</f>
        <v>No discount</v>
      </c>
    </row>
    <row r="827" customFormat="false" ht="15" hidden="false" customHeight="true" outlineLevel="0" collapsed="false">
      <c r="A827" s="7" t="s">
        <v>1518</v>
      </c>
      <c r="B827" s="26" t="n">
        <v>45943</v>
      </c>
      <c r="C827" s="26" t="n">
        <v>45949</v>
      </c>
      <c r="D827" s="7" t="s">
        <v>267</v>
      </c>
      <c r="E827" s="7" t="s">
        <v>268</v>
      </c>
      <c r="F827" s="7" t="s">
        <v>159</v>
      </c>
      <c r="G827" s="7" t="s">
        <v>160</v>
      </c>
      <c r="H827" s="7" t="s">
        <v>269</v>
      </c>
      <c r="I827" s="7" t="s">
        <v>171</v>
      </c>
      <c r="J827" s="7" t="s">
        <v>172</v>
      </c>
      <c r="K827" s="7" t="s">
        <v>173</v>
      </c>
      <c r="L827" s="7" t="s">
        <v>174</v>
      </c>
      <c r="M827" s="7" t="n">
        <v>1</v>
      </c>
      <c r="N827" s="27" t="n">
        <v>699</v>
      </c>
      <c r="O827" s="28" t="n">
        <v>0.1</v>
      </c>
      <c r="P827" s="27" t="n">
        <v>629</v>
      </c>
      <c r="Q827" s="27" t="n">
        <v>320</v>
      </c>
      <c r="R827" s="27" t="n">
        <v>309</v>
      </c>
      <c r="S827" s="7" t="s">
        <v>60</v>
      </c>
      <c r="T827" s="7" t="str">
        <f aca="false">IF(O827=0,"No discount",IF(O827&lt;=0.2,"Up to 20%","Above 20%"))</f>
        <v>Up to 20%</v>
      </c>
    </row>
    <row r="828" customFormat="false" ht="15" hidden="false" customHeight="true" outlineLevel="0" collapsed="false">
      <c r="A828" s="7" t="s">
        <v>1519</v>
      </c>
      <c r="B828" s="26" t="n">
        <v>45943</v>
      </c>
      <c r="C828" s="26" t="n">
        <v>45944</v>
      </c>
      <c r="D828" s="7" t="s">
        <v>560</v>
      </c>
      <c r="E828" s="7" t="s">
        <v>561</v>
      </c>
      <c r="F828" s="7" t="s">
        <v>219</v>
      </c>
      <c r="G828" s="7" t="s">
        <v>160</v>
      </c>
      <c r="H828" s="7" t="s">
        <v>269</v>
      </c>
      <c r="I828" s="7" t="s">
        <v>162</v>
      </c>
      <c r="J828" s="7" t="s">
        <v>163</v>
      </c>
      <c r="K828" s="7" t="s">
        <v>164</v>
      </c>
      <c r="L828" s="7" t="s">
        <v>165</v>
      </c>
      <c r="M828" s="7" t="n">
        <v>3</v>
      </c>
      <c r="N828" s="27" t="n">
        <v>1999</v>
      </c>
      <c r="O828" s="28" t="n">
        <v>0.2</v>
      </c>
      <c r="P828" s="27" t="n">
        <v>4798</v>
      </c>
      <c r="Q828" s="27" t="n">
        <v>3150</v>
      </c>
      <c r="R828" s="27" t="n">
        <v>1648</v>
      </c>
      <c r="S828" s="7" t="s">
        <v>60</v>
      </c>
      <c r="T828" s="7" t="str">
        <f aca="false">IF(O828=0,"No discount",IF(O828&lt;=0.2,"Up to 20%","Above 20%"))</f>
        <v>Up to 20%</v>
      </c>
    </row>
    <row r="829" customFormat="false" ht="15" hidden="false" customHeight="true" outlineLevel="0" collapsed="false">
      <c r="A829" s="7" t="s">
        <v>1520</v>
      </c>
      <c r="B829" s="26" t="n">
        <v>45943</v>
      </c>
      <c r="C829" s="26" t="n">
        <v>45949</v>
      </c>
      <c r="D829" s="7" t="s">
        <v>375</v>
      </c>
      <c r="E829" s="7" t="s">
        <v>376</v>
      </c>
      <c r="F829" s="7" t="s">
        <v>159</v>
      </c>
      <c r="G829" s="7" t="s">
        <v>160</v>
      </c>
      <c r="H829" s="7" t="s">
        <v>269</v>
      </c>
      <c r="I829" s="7" t="s">
        <v>162</v>
      </c>
      <c r="J829" s="7" t="s">
        <v>163</v>
      </c>
      <c r="K829" s="7" t="s">
        <v>164</v>
      </c>
      <c r="L829" s="7" t="s">
        <v>165</v>
      </c>
      <c r="M829" s="7" t="n">
        <v>2</v>
      </c>
      <c r="N829" s="27" t="n">
        <v>1999</v>
      </c>
      <c r="O829" s="28" t="n">
        <v>0.4</v>
      </c>
      <c r="P829" s="27" t="n">
        <v>2399</v>
      </c>
      <c r="Q829" s="27" t="n">
        <v>2100</v>
      </c>
      <c r="R829" s="27" t="n">
        <v>299</v>
      </c>
      <c r="S829" s="7" t="s">
        <v>60</v>
      </c>
      <c r="T829" s="7" t="str">
        <f aca="false">IF(O829=0,"No discount",IF(O829&lt;=0.2,"Up to 20%","Above 20%"))</f>
        <v>Above 20%</v>
      </c>
    </row>
    <row r="830" customFormat="false" ht="15" hidden="false" customHeight="true" outlineLevel="0" collapsed="false">
      <c r="A830" s="7" t="s">
        <v>1521</v>
      </c>
      <c r="B830" s="26" t="n">
        <v>45943</v>
      </c>
      <c r="C830" s="26" t="n">
        <v>45950</v>
      </c>
      <c r="D830" s="7" t="s">
        <v>475</v>
      </c>
      <c r="E830" s="7" t="s">
        <v>476</v>
      </c>
      <c r="F830" s="7" t="s">
        <v>159</v>
      </c>
      <c r="G830" s="7" t="s">
        <v>169</v>
      </c>
      <c r="H830" s="7" t="s">
        <v>170</v>
      </c>
      <c r="I830" s="7" t="s">
        <v>171</v>
      </c>
      <c r="J830" s="7" t="s">
        <v>304</v>
      </c>
      <c r="K830" s="7" t="s">
        <v>305</v>
      </c>
      <c r="L830" s="7" t="s">
        <v>306</v>
      </c>
      <c r="M830" s="7" t="n">
        <v>2</v>
      </c>
      <c r="N830" s="27" t="n">
        <v>2999</v>
      </c>
      <c r="O830" s="28" t="n">
        <v>0</v>
      </c>
      <c r="P830" s="27" t="n">
        <v>5998</v>
      </c>
      <c r="Q830" s="27" t="n">
        <v>4000</v>
      </c>
      <c r="R830" s="27" t="n">
        <v>1998</v>
      </c>
      <c r="S830" s="7" t="s">
        <v>60</v>
      </c>
      <c r="T830" s="7" t="str">
        <f aca="false">IF(O830=0,"No discount",IF(O830&lt;=0.2,"Up to 20%","Above 20%"))</f>
        <v>No discount</v>
      </c>
    </row>
    <row r="831" customFormat="false" ht="15" hidden="false" customHeight="true" outlineLevel="0" collapsed="false">
      <c r="A831" s="7" t="s">
        <v>1522</v>
      </c>
      <c r="B831" s="26" t="n">
        <v>45943</v>
      </c>
      <c r="C831" s="26" t="n">
        <v>45947</v>
      </c>
      <c r="D831" s="7" t="s">
        <v>920</v>
      </c>
      <c r="E831" s="7" t="s">
        <v>921</v>
      </c>
      <c r="F831" s="7" t="s">
        <v>159</v>
      </c>
      <c r="G831" s="7" t="s">
        <v>169</v>
      </c>
      <c r="H831" s="7" t="s">
        <v>170</v>
      </c>
      <c r="I831" s="7" t="s">
        <v>282</v>
      </c>
      <c r="J831" s="7" t="s">
        <v>283</v>
      </c>
      <c r="K831" s="7" t="s">
        <v>284</v>
      </c>
      <c r="L831" s="7" t="s">
        <v>285</v>
      </c>
      <c r="M831" s="7" t="n">
        <v>4</v>
      </c>
      <c r="N831" s="27" t="n">
        <v>199</v>
      </c>
      <c r="O831" s="28" t="n">
        <v>0.05</v>
      </c>
      <c r="P831" s="27" t="n">
        <v>756</v>
      </c>
      <c r="Q831" s="27" t="n">
        <v>360</v>
      </c>
      <c r="R831" s="27" t="n">
        <v>396</v>
      </c>
      <c r="S831" s="7" t="s">
        <v>60</v>
      </c>
      <c r="T831" s="7" t="str">
        <f aca="false">IF(O831=0,"No discount",IF(O831&lt;=0.2,"Up to 20%","Above 20%"))</f>
        <v>Up to 20%</v>
      </c>
    </row>
    <row r="832" customFormat="false" ht="15" hidden="false" customHeight="true" outlineLevel="0" collapsed="false">
      <c r="A832" s="7" t="s">
        <v>1523</v>
      </c>
      <c r="B832" s="26" t="n">
        <v>45943</v>
      </c>
      <c r="C832" s="26" t="n">
        <v>45944</v>
      </c>
      <c r="D832" s="7" t="s">
        <v>906</v>
      </c>
      <c r="E832" s="7" t="s">
        <v>907</v>
      </c>
      <c r="F832" s="7" t="s">
        <v>159</v>
      </c>
      <c r="G832" s="7" t="s">
        <v>160</v>
      </c>
      <c r="H832" s="7" t="s">
        <v>263</v>
      </c>
      <c r="I832" s="7" t="s">
        <v>192</v>
      </c>
      <c r="J832" s="7" t="s">
        <v>193</v>
      </c>
      <c r="K832" s="7" t="s">
        <v>194</v>
      </c>
      <c r="L832" s="7" t="s">
        <v>195</v>
      </c>
      <c r="M832" s="7" t="n">
        <v>4</v>
      </c>
      <c r="N832" s="27" t="n">
        <v>8999</v>
      </c>
      <c r="O832" s="28" t="n">
        <v>0.2</v>
      </c>
      <c r="P832" s="27" t="n">
        <v>28797</v>
      </c>
      <c r="Q832" s="27" t="n">
        <v>27200</v>
      </c>
      <c r="R832" s="27" t="n">
        <v>1597</v>
      </c>
      <c r="S832" s="7" t="s">
        <v>60</v>
      </c>
      <c r="T832" s="7" t="str">
        <f aca="false">IF(O832=0,"No discount",IF(O832&lt;=0.2,"Up to 20%","Above 20%"))</f>
        <v>Up to 20%</v>
      </c>
    </row>
    <row r="833" customFormat="false" ht="15" hidden="false" customHeight="true" outlineLevel="0" collapsed="false">
      <c r="A833" s="7" t="s">
        <v>1524</v>
      </c>
      <c r="B833" s="26" t="n">
        <v>45944</v>
      </c>
      <c r="C833" s="26" t="n">
        <v>45945</v>
      </c>
      <c r="D833" s="7" t="s">
        <v>524</v>
      </c>
      <c r="E833" s="7" t="s">
        <v>525</v>
      </c>
      <c r="F833" s="7" t="s">
        <v>159</v>
      </c>
      <c r="G833" s="7" t="s">
        <v>323</v>
      </c>
      <c r="H833" s="7" t="s">
        <v>324</v>
      </c>
      <c r="I833" s="7" t="s">
        <v>171</v>
      </c>
      <c r="J833" s="7" t="s">
        <v>172</v>
      </c>
      <c r="K833" s="7" t="s">
        <v>180</v>
      </c>
      <c r="L833" s="7" t="s">
        <v>181</v>
      </c>
      <c r="M833" s="7" t="n">
        <v>5</v>
      </c>
      <c r="N833" s="27" t="n">
        <v>999</v>
      </c>
      <c r="O833" s="28" t="n">
        <v>0</v>
      </c>
      <c r="P833" s="27" t="n">
        <v>4995</v>
      </c>
      <c r="Q833" s="27" t="n">
        <v>2600</v>
      </c>
      <c r="R833" s="27" t="n">
        <v>2395</v>
      </c>
      <c r="S833" s="7" t="s">
        <v>60</v>
      </c>
      <c r="T833" s="7" t="str">
        <f aca="false">IF(O833=0,"No discount",IF(O833&lt;=0.2,"Up to 20%","Above 20%"))</f>
        <v>No discount</v>
      </c>
    </row>
    <row r="834" customFormat="false" ht="15" hidden="false" customHeight="true" outlineLevel="0" collapsed="false">
      <c r="A834" s="7" t="s">
        <v>1525</v>
      </c>
      <c r="B834" s="26" t="n">
        <v>45944</v>
      </c>
      <c r="C834" s="26" t="n">
        <v>45947</v>
      </c>
      <c r="D834" s="7" t="s">
        <v>412</v>
      </c>
      <c r="E834" s="7" t="s">
        <v>413</v>
      </c>
      <c r="F834" s="7" t="s">
        <v>178</v>
      </c>
      <c r="G834" s="7" t="s">
        <v>206</v>
      </c>
      <c r="H834" s="7" t="s">
        <v>207</v>
      </c>
      <c r="I834" s="7" t="s">
        <v>282</v>
      </c>
      <c r="J834" s="7" t="s">
        <v>283</v>
      </c>
      <c r="K834" s="7" t="s">
        <v>284</v>
      </c>
      <c r="L834" s="7" t="s">
        <v>285</v>
      </c>
      <c r="M834" s="7" t="n">
        <v>4</v>
      </c>
      <c r="N834" s="27" t="n">
        <v>199</v>
      </c>
      <c r="O834" s="28" t="n">
        <v>0.05</v>
      </c>
      <c r="P834" s="27" t="n">
        <v>756</v>
      </c>
      <c r="Q834" s="27" t="n">
        <v>360</v>
      </c>
      <c r="R834" s="27" t="n">
        <v>396</v>
      </c>
      <c r="S834" s="7" t="s">
        <v>60</v>
      </c>
      <c r="T834" s="7" t="str">
        <f aca="false">IF(O834=0,"No discount",IF(O834&lt;=0.2,"Up to 20%","Above 20%"))</f>
        <v>Up to 20%</v>
      </c>
    </row>
    <row r="835" customFormat="false" ht="15" hidden="false" customHeight="true" outlineLevel="0" collapsed="false">
      <c r="A835" s="7" t="s">
        <v>1526</v>
      </c>
      <c r="B835" s="26" t="n">
        <v>45944</v>
      </c>
      <c r="C835" s="26" t="n">
        <v>45950</v>
      </c>
      <c r="D835" s="7" t="s">
        <v>1090</v>
      </c>
      <c r="E835" s="7" t="s">
        <v>1091</v>
      </c>
      <c r="F835" s="7" t="s">
        <v>178</v>
      </c>
      <c r="G835" s="7" t="s">
        <v>169</v>
      </c>
      <c r="H835" s="7" t="s">
        <v>179</v>
      </c>
      <c r="I835" s="7" t="s">
        <v>208</v>
      </c>
      <c r="J835" s="7" t="s">
        <v>209</v>
      </c>
      <c r="K835" s="7" t="s">
        <v>637</v>
      </c>
      <c r="L835" s="7" t="s">
        <v>638</v>
      </c>
      <c r="M835" s="7" t="n">
        <v>1</v>
      </c>
      <c r="N835" s="27" t="n">
        <v>899</v>
      </c>
      <c r="O835" s="28" t="n">
        <v>0</v>
      </c>
      <c r="P835" s="27" t="n">
        <v>899</v>
      </c>
      <c r="Q835" s="27" t="n">
        <v>480</v>
      </c>
      <c r="R835" s="27" t="n">
        <v>419</v>
      </c>
      <c r="S835" s="7" t="s">
        <v>60</v>
      </c>
      <c r="T835" s="7" t="str">
        <f aca="false">IF(O835=0,"No discount",IF(O835&lt;=0.2,"Up to 20%","Above 20%"))</f>
        <v>No discount</v>
      </c>
    </row>
    <row r="836" customFormat="false" ht="15" hidden="false" customHeight="true" outlineLevel="0" collapsed="false">
      <c r="A836" s="7" t="s">
        <v>1527</v>
      </c>
      <c r="B836" s="26" t="n">
        <v>45944</v>
      </c>
      <c r="C836" s="26" t="n">
        <v>45950</v>
      </c>
      <c r="D836" s="7" t="s">
        <v>425</v>
      </c>
      <c r="E836" s="7" t="s">
        <v>426</v>
      </c>
      <c r="F836" s="7" t="s">
        <v>159</v>
      </c>
      <c r="G836" s="7" t="s">
        <v>206</v>
      </c>
      <c r="H836" s="7" t="s">
        <v>207</v>
      </c>
      <c r="I836" s="7" t="s">
        <v>162</v>
      </c>
      <c r="J836" s="7" t="s">
        <v>163</v>
      </c>
      <c r="K836" s="7" t="s">
        <v>164</v>
      </c>
      <c r="L836" s="7" t="s">
        <v>165</v>
      </c>
      <c r="M836" s="7" t="n">
        <v>1</v>
      </c>
      <c r="N836" s="27" t="n">
        <v>1999</v>
      </c>
      <c r="O836" s="28" t="n">
        <v>0.2</v>
      </c>
      <c r="P836" s="27" t="n">
        <v>1599</v>
      </c>
      <c r="Q836" s="27" t="n">
        <v>1050</v>
      </c>
      <c r="R836" s="27" t="n">
        <v>549</v>
      </c>
      <c r="S836" s="7" t="s">
        <v>60</v>
      </c>
      <c r="T836" s="7" t="str">
        <f aca="false">IF(O836=0,"No discount",IF(O836&lt;=0.2,"Up to 20%","Above 20%"))</f>
        <v>Up to 20%</v>
      </c>
    </row>
    <row r="837" customFormat="false" ht="15" hidden="false" customHeight="true" outlineLevel="0" collapsed="false">
      <c r="A837" s="7" t="s">
        <v>1528</v>
      </c>
      <c r="B837" s="26" t="n">
        <v>45944</v>
      </c>
      <c r="C837" s="26" t="n">
        <v>45948</v>
      </c>
      <c r="D837" s="7" t="s">
        <v>621</v>
      </c>
      <c r="E837" s="7" t="s">
        <v>622</v>
      </c>
      <c r="F837" s="7" t="s">
        <v>219</v>
      </c>
      <c r="G837" s="7" t="s">
        <v>323</v>
      </c>
      <c r="H837" s="7" t="s">
        <v>324</v>
      </c>
      <c r="I837" s="7" t="s">
        <v>199</v>
      </c>
      <c r="J837" s="7" t="s">
        <v>223</v>
      </c>
      <c r="K837" s="7" t="s">
        <v>246</v>
      </c>
      <c r="L837" s="7" t="s">
        <v>247</v>
      </c>
      <c r="M837" s="7" t="n">
        <v>2</v>
      </c>
      <c r="N837" s="27" t="n">
        <v>599</v>
      </c>
      <c r="O837" s="28" t="n">
        <v>0.15</v>
      </c>
      <c r="P837" s="27" t="n">
        <v>1018</v>
      </c>
      <c r="Q837" s="27" t="n">
        <v>540</v>
      </c>
      <c r="R837" s="27" t="n">
        <v>478</v>
      </c>
      <c r="S837" s="7" t="s">
        <v>60</v>
      </c>
      <c r="T837" s="7" t="str">
        <f aca="false">IF(O837=0,"No discount",IF(O837&lt;=0.2,"Up to 20%","Above 20%"))</f>
        <v>Up to 20%</v>
      </c>
    </row>
    <row r="838" customFormat="false" ht="15" hidden="false" customHeight="true" outlineLevel="0" collapsed="false">
      <c r="A838" s="7" t="s">
        <v>1529</v>
      </c>
      <c r="B838" s="26" t="n">
        <v>45944</v>
      </c>
      <c r="C838" s="26" t="n">
        <v>45950</v>
      </c>
      <c r="D838" s="7" t="s">
        <v>645</v>
      </c>
      <c r="E838" s="7" t="s">
        <v>646</v>
      </c>
      <c r="F838" s="7" t="s">
        <v>178</v>
      </c>
      <c r="G838" s="7" t="s">
        <v>160</v>
      </c>
      <c r="H838" s="7" t="s">
        <v>161</v>
      </c>
      <c r="I838" s="7" t="s">
        <v>192</v>
      </c>
      <c r="J838" s="7" t="s">
        <v>502</v>
      </c>
      <c r="K838" s="7" t="s">
        <v>503</v>
      </c>
      <c r="L838" s="7" t="s">
        <v>504</v>
      </c>
      <c r="M838" s="7" t="n">
        <v>2</v>
      </c>
      <c r="N838" s="27" t="n">
        <v>3499</v>
      </c>
      <c r="O838" s="28" t="n">
        <v>0.1</v>
      </c>
      <c r="P838" s="27" t="n">
        <v>6298</v>
      </c>
      <c r="Q838" s="27" t="n">
        <v>5000</v>
      </c>
      <c r="R838" s="27" t="n">
        <v>1298</v>
      </c>
      <c r="S838" s="7" t="s">
        <v>60</v>
      </c>
      <c r="T838" s="7" t="str">
        <f aca="false">IF(O838=0,"No discount",IF(O838&lt;=0.2,"Up to 20%","Above 20%"))</f>
        <v>Up to 20%</v>
      </c>
    </row>
    <row r="839" customFormat="false" ht="15" hidden="false" customHeight="true" outlineLevel="0" collapsed="false">
      <c r="A839" s="7" t="s">
        <v>1530</v>
      </c>
      <c r="B839" s="26" t="n">
        <v>45945</v>
      </c>
      <c r="C839" s="26" t="n">
        <v>45950</v>
      </c>
      <c r="D839" s="7" t="s">
        <v>1492</v>
      </c>
      <c r="E839" s="7" t="s">
        <v>1493</v>
      </c>
      <c r="F839" s="7" t="s">
        <v>219</v>
      </c>
      <c r="G839" s="7" t="s">
        <v>169</v>
      </c>
      <c r="H839" s="7" t="s">
        <v>170</v>
      </c>
      <c r="I839" s="7" t="s">
        <v>171</v>
      </c>
      <c r="J839" s="7" t="s">
        <v>314</v>
      </c>
      <c r="K839" s="7" t="s">
        <v>315</v>
      </c>
      <c r="L839" s="7" t="s">
        <v>316</v>
      </c>
      <c r="M839" s="7" t="n">
        <v>1</v>
      </c>
      <c r="N839" s="27" t="n">
        <v>1299</v>
      </c>
      <c r="O839" s="28" t="n">
        <v>0.3</v>
      </c>
      <c r="P839" s="27" t="n">
        <v>909</v>
      </c>
      <c r="Q839" s="27" t="n">
        <v>700</v>
      </c>
      <c r="R839" s="27" t="n">
        <v>209</v>
      </c>
      <c r="S839" s="7" t="s">
        <v>60</v>
      </c>
      <c r="T839" s="7" t="str">
        <f aca="false">IF(O839=0,"No discount",IF(O839&lt;=0.2,"Up to 20%","Above 20%"))</f>
        <v>Above 20%</v>
      </c>
    </row>
    <row r="840" customFormat="false" ht="15" hidden="false" customHeight="true" outlineLevel="0" collapsed="false">
      <c r="A840" s="7" t="s">
        <v>1531</v>
      </c>
      <c r="B840" s="26" t="n">
        <v>45945</v>
      </c>
      <c r="C840" s="26" t="n">
        <v>45949</v>
      </c>
      <c r="D840" s="7" t="s">
        <v>729</v>
      </c>
      <c r="E840" s="7" t="s">
        <v>730</v>
      </c>
      <c r="F840" s="7" t="s">
        <v>159</v>
      </c>
      <c r="G840" s="7" t="s">
        <v>160</v>
      </c>
      <c r="H840" s="7" t="s">
        <v>269</v>
      </c>
      <c r="I840" s="7" t="s">
        <v>192</v>
      </c>
      <c r="J840" s="7" t="s">
        <v>213</v>
      </c>
      <c r="K840" s="7" t="s">
        <v>264</v>
      </c>
      <c r="L840" s="7" t="s">
        <v>265</v>
      </c>
      <c r="M840" s="7" t="n">
        <v>4</v>
      </c>
      <c r="N840" s="27" t="n">
        <v>2499</v>
      </c>
      <c r="O840" s="28" t="n">
        <v>0.4</v>
      </c>
      <c r="P840" s="27" t="n">
        <v>5998</v>
      </c>
      <c r="Q840" s="27" t="n">
        <v>6800</v>
      </c>
      <c r="R840" s="27" t="n">
        <v>-802</v>
      </c>
      <c r="S840" s="7" t="s">
        <v>60</v>
      </c>
      <c r="T840" s="7" t="str">
        <f aca="false">IF(O840=0,"No discount",IF(O840&lt;=0.2,"Up to 20%","Above 20%"))</f>
        <v>Above 20%</v>
      </c>
    </row>
    <row r="841" customFormat="false" ht="15" hidden="false" customHeight="true" outlineLevel="0" collapsed="false">
      <c r="A841" s="7" t="s">
        <v>1532</v>
      </c>
      <c r="B841" s="26" t="n">
        <v>45945</v>
      </c>
      <c r="C841" s="26" t="n">
        <v>45952</v>
      </c>
      <c r="D841" s="7" t="s">
        <v>861</v>
      </c>
      <c r="E841" s="7" t="s">
        <v>862</v>
      </c>
      <c r="F841" s="7" t="s">
        <v>219</v>
      </c>
      <c r="G841" s="7" t="s">
        <v>169</v>
      </c>
      <c r="H841" s="7" t="s">
        <v>179</v>
      </c>
      <c r="I841" s="7" t="s">
        <v>208</v>
      </c>
      <c r="J841" s="7" t="s">
        <v>232</v>
      </c>
      <c r="K841" s="7" t="s">
        <v>233</v>
      </c>
      <c r="L841" s="7" t="s">
        <v>234</v>
      </c>
      <c r="M841" s="7" t="n">
        <v>1</v>
      </c>
      <c r="N841" s="27" t="n">
        <v>7999</v>
      </c>
      <c r="O841" s="28" t="n">
        <v>0</v>
      </c>
      <c r="P841" s="27" t="n">
        <v>7999</v>
      </c>
      <c r="Q841" s="27" t="n">
        <v>5600</v>
      </c>
      <c r="R841" s="27" t="n">
        <v>2399</v>
      </c>
      <c r="S841" s="7" t="s">
        <v>60</v>
      </c>
      <c r="T841" s="7" t="str">
        <f aca="false">IF(O841=0,"No discount",IF(O841&lt;=0.2,"Up to 20%","Above 20%"))</f>
        <v>No discount</v>
      </c>
    </row>
    <row r="842" customFormat="false" ht="15" hidden="false" customHeight="true" outlineLevel="0" collapsed="false">
      <c r="A842" s="7" t="s">
        <v>1533</v>
      </c>
      <c r="B842" s="26" t="n">
        <v>45945</v>
      </c>
      <c r="C842" s="26" t="n">
        <v>45947</v>
      </c>
      <c r="D842" s="7" t="s">
        <v>482</v>
      </c>
      <c r="E842" s="7" t="s">
        <v>483</v>
      </c>
      <c r="F842" s="7" t="s">
        <v>178</v>
      </c>
      <c r="G842" s="7" t="s">
        <v>160</v>
      </c>
      <c r="H842" s="7" t="s">
        <v>269</v>
      </c>
      <c r="I842" s="7" t="s">
        <v>199</v>
      </c>
      <c r="J842" s="7" t="s">
        <v>223</v>
      </c>
      <c r="K842" s="7" t="s">
        <v>246</v>
      </c>
      <c r="L842" s="7" t="s">
        <v>247</v>
      </c>
      <c r="M842" s="7" t="n">
        <v>1</v>
      </c>
      <c r="N842" s="27" t="n">
        <v>599</v>
      </c>
      <c r="O842" s="28" t="n">
        <v>0.2</v>
      </c>
      <c r="P842" s="27" t="n">
        <v>479</v>
      </c>
      <c r="Q842" s="27" t="n">
        <v>270</v>
      </c>
      <c r="R842" s="27" t="n">
        <v>209</v>
      </c>
      <c r="S842" s="7" t="s">
        <v>60</v>
      </c>
      <c r="T842" s="7" t="str">
        <f aca="false">IF(O842=0,"No discount",IF(O842&lt;=0.2,"Up to 20%","Above 20%"))</f>
        <v>Up to 20%</v>
      </c>
    </row>
    <row r="843" customFormat="false" ht="15" hidden="false" customHeight="true" outlineLevel="0" collapsed="false">
      <c r="A843" s="7" t="s">
        <v>1534</v>
      </c>
      <c r="B843" s="26" t="n">
        <v>45945</v>
      </c>
      <c r="C843" s="26" t="n">
        <v>45946</v>
      </c>
      <c r="D843" s="7" t="s">
        <v>635</v>
      </c>
      <c r="E843" s="7" t="s">
        <v>636</v>
      </c>
      <c r="F843" s="7" t="s">
        <v>159</v>
      </c>
      <c r="G843" s="7" t="s">
        <v>323</v>
      </c>
      <c r="H843" s="7" t="s">
        <v>324</v>
      </c>
      <c r="I843" s="7" t="s">
        <v>199</v>
      </c>
      <c r="J843" s="7" t="s">
        <v>223</v>
      </c>
      <c r="K843" s="7" t="s">
        <v>246</v>
      </c>
      <c r="L843" s="7" t="s">
        <v>247</v>
      </c>
      <c r="M843" s="7" t="n">
        <v>2</v>
      </c>
      <c r="N843" s="27" t="n">
        <v>599</v>
      </c>
      <c r="O843" s="28" t="n">
        <v>0.15</v>
      </c>
      <c r="P843" s="27" t="n">
        <v>1018</v>
      </c>
      <c r="Q843" s="27" t="n">
        <v>540</v>
      </c>
      <c r="R843" s="27" t="n">
        <v>478</v>
      </c>
      <c r="S843" s="7" t="s">
        <v>60</v>
      </c>
      <c r="T843" s="7" t="str">
        <f aca="false">IF(O843=0,"No discount",IF(O843&lt;=0.2,"Up to 20%","Above 20%"))</f>
        <v>Up to 20%</v>
      </c>
    </row>
    <row r="844" customFormat="false" ht="15" hidden="false" customHeight="true" outlineLevel="0" collapsed="false">
      <c r="A844" s="7" t="s">
        <v>1535</v>
      </c>
      <c r="B844" s="26" t="n">
        <v>45946</v>
      </c>
      <c r="C844" s="26" t="n">
        <v>45948</v>
      </c>
      <c r="D844" s="7" t="s">
        <v>197</v>
      </c>
      <c r="E844" s="7" t="s">
        <v>198</v>
      </c>
      <c r="F844" s="7" t="s">
        <v>178</v>
      </c>
      <c r="G844" s="7" t="s">
        <v>169</v>
      </c>
      <c r="H844" s="7" t="s">
        <v>191</v>
      </c>
      <c r="I844" s="7" t="s">
        <v>199</v>
      </c>
      <c r="J844" s="7" t="s">
        <v>398</v>
      </c>
      <c r="K844" s="7" t="s">
        <v>399</v>
      </c>
      <c r="L844" s="7" t="s">
        <v>400</v>
      </c>
      <c r="M844" s="7" t="n">
        <v>3</v>
      </c>
      <c r="N844" s="27" t="n">
        <v>749</v>
      </c>
      <c r="O844" s="28" t="n">
        <v>0.1</v>
      </c>
      <c r="P844" s="27" t="n">
        <v>2022</v>
      </c>
      <c r="Q844" s="27" t="n">
        <v>1050</v>
      </c>
      <c r="R844" s="27" t="n">
        <v>972</v>
      </c>
      <c r="S844" s="7" t="s">
        <v>60</v>
      </c>
      <c r="T844" s="7" t="str">
        <f aca="false">IF(O844=0,"No discount",IF(O844&lt;=0.2,"Up to 20%","Above 20%"))</f>
        <v>Up to 20%</v>
      </c>
    </row>
    <row r="845" customFormat="false" ht="15" hidden="false" customHeight="true" outlineLevel="0" collapsed="false">
      <c r="A845" s="7" t="s">
        <v>1536</v>
      </c>
      <c r="B845" s="26" t="n">
        <v>45946</v>
      </c>
      <c r="C845" s="26" t="n">
        <v>45947</v>
      </c>
      <c r="D845" s="7" t="s">
        <v>244</v>
      </c>
      <c r="E845" s="7" t="s">
        <v>245</v>
      </c>
      <c r="F845" s="7" t="s">
        <v>178</v>
      </c>
      <c r="G845" s="7" t="s">
        <v>206</v>
      </c>
      <c r="H845" s="7" t="s">
        <v>207</v>
      </c>
      <c r="I845" s="7" t="s">
        <v>199</v>
      </c>
      <c r="J845" s="7" t="s">
        <v>200</v>
      </c>
      <c r="K845" s="7" t="s">
        <v>201</v>
      </c>
      <c r="L845" s="7" t="s">
        <v>202</v>
      </c>
      <c r="M845" s="7" t="n">
        <v>2</v>
      </c>
      <c r="N845" s="27" t="n">
        <v>399</v>
      </c>
      <c r="O845" s="28" t="n">
        <v>0.1</v>
      </c>
      <c r="P845" s="27" t="n">
        <v>718</v>
      </c>
      <c r="Q845" s="27" t="n">
        <v>320</v>
      </c>
      <c r="R845" s="27" t="n">
        <v>398</v>
      </c>
      <c r="S845" s="7" t="s">
        <v>60</v>
      </c>
      <c r="T845" s="7" t="str">
        <f aca="false">IF(O845=0,"No discount",IF(O845&lt;=0.2,"Up to 20%","Above 20%"))</f>
        <v>Up to 20%</v>
      </c>
    </row>
    <row r="846" customFormat="false" ht="15" hidden="false" customHeight="true" outlineLevel="0" collapsed="false">
      <c r="A846" s="7" t="s">
        <v>1537</v>
      </c>
      <c r="B846" s="26" t="n">
        <v>45946</v>
      </c>
      <c r="C846" s="26" t="n">
        <v>45949</v>
      </c>
      <c r="D846" s="7" t="s">
        <v>412</v>
      </c>
      <c r="E846" s="7" t="s">
        <v>413</v>
      </c>
      <c r="F846" s="7" t="s">
        <v>178</v>
      </c>
      <c r="G846" s="7" t="s">
        <v>206</v>
      </c>
      <c r="H846" s="7" t="s">
        <v>207</v>
      </c>
      <c r="I846" s="7" t="s">
        <v>199</v>
      </c>
      <c r="J846" s="7" t="s">
        <v>200</v>
      </c>
      <c r="K846" s="7" t="s">
        <v>201</v>
      </c>
      <c r="L846" s="7" t="s">
        <v>202</v>
      </c>
      <c r="M846" s="7" t="n">
        <v>1</v>
      </c>
      <c r="N846" s="27" t="n">
        <v>399</v>
      </c>
      <c r="O846" s="28" t="n">
        <v>0</v>
      </c>
      <c r="P846" s="27" t="n">
        <v>399</v>
      </c>
      <c r="Q846" s="27" t="n">
        <v>160</v>
      </c>
      <c r="R846" s="27" t="n">
        <v>239</v>
      </c>
      <c r="S846" s="7" t="s">
        <v>60</v>
      </c>
      <c r="T846" s="7" t="str">
        <f aca="false">IF(O846=0,"No discount",IF(O846&lt;=0.2,"Up to 20%","Above 20%"))</f>
        <v>No discount</v>
      </c>
    </row>
    <row r="847" customFormat="false" ht="15" hidden="false" customHeight="true" outlineLevel="0" collapsed="false">
      <c r="A847" s="7" t="s">
        <v>1538</v>
      </c>
      <c r="B847" s="26" t="n">
        <v>45946</v>
      </c>
      <c r="C847" s="26" t="n">
        <v>45949</v>
      </c>
      <c r="D847" s="7" t="s">
        <v>659</v>
      </c>
      <c r="E847" s="7" t="s">
        <v>660</v>
      </c>
      <c r="F847" s="7" t="s">
        <v>159</v>
      </c>
      <c r="G847" s="7" t="s">
        <v>160</v>
      </c>
      <c r="H847" s="7" t="s">
        <v>161</v>
      </c>
      <c r="I847" s="7" t="s">
        <v>199</v>
      </c>
      <c r="J847" s="7" t="s">
        <v>200</v>
      </c>
      <c r="K847" s="7" t="s">
        <v>201</v>
      </c>
      <c r="L847" s="7" t="s">
        <v>202</v>
      </c>
      <c r="M847" s="7" t="n">
        <v>2</v>
      </c>
      <c r="N847" s="27" t="n">
        <v>399</v>
      </c>
      <c r="O847" s="28" t="n">
        <v>0</v>
      </c>
      <c r="P847" s="27" t="n">
        <v>798</v>
      </c>
      <c r="Q847" s="27" t="n">
        <v>320</v>
      </c>
      <c r="R847" s="27" t="n">
        <v>478</v>
      </c>
      <c r="S847" s="7" t="s">
        <v>60</v>
      </c>
      <c r="T847" s="7" t="str">
        <f aca="false">IF(O847=0,"No discount",IF(O847&lt;=0.2,"Up to 20%","Above 20%"))</f>
        <v>No discount</v>
      </c>
    </row>
    <row r="848" customFormat="false" ht="15" hidden="false" customHeight="true" outlineLevel="0" collapsed="false">
      <c r="A848" s="7" t="s">
        <v>1539</v>
      </c>
      <c r="B848" s="26" t="n">
        <v>45947</v>
      </c>
      <c r="C848" s="26" t="n">
        <v>45954</v>
      </c>
      <c r="D848" s="7" t="s">
        <v>479</v>
      </c>
      <c r="E848" s="7" t="s">
        <v>480</v>
      </c>
      <c r="F848" s="7" t="s">
        <v>178</v>
      </c>
      <c r="G848" s="7" t="s">
        <v>169</v>
      </c>
      <c r="H848" s="7" t="s">
        <v>179</v>
      </c>
      <c r="I848" s="7" t="s">
        <v>208</v>
      </c>
      <c r="J848" s="7" t="s">
        <v>421</v>
      </c>
      <c r="K848" s="7" t="s">
        <v>422</v>
      </c>
      <c r="L848" s="7" t="s">
        <v>423</v>
      </c>
      <c r="M848" s="7" t="n">
        <v>3</v>
      </c>
      <c r="N848" s="27" t="n">
        <v>5999</v>
      </c>
      <c r="O848" s="28" t="n">
        <v>0.2</v>
      </c>
      <c r="P848" s="27" t="n">
        <v>14398</v>
      </c>
      <c r="Q848" s="27" t="n">
        <v>12900</v>
      </c>
      <c r="R848" s="27" t="n">
        <v>1498</v>
      </c>
      <c r="S848" s="7" t="s">
        <v>60</v>
      </c>
      <c r="T848" s="7" t="str">
        <f aca="false">IF(O848=0,"No discount",IF(O848&lt;=0.2,"Up to 20%","Above 20%"))</f>
        <v>Up to 20%</v>
      </c>
    </row>
    <row r="849" customFormat="false" ht="15" hidden="false" customHeight="true" outlineLevel="0" collapsed="false">
      <c r="A849" s="7" t="s">
        <v>1540</v>
      </c>
      <c r="B849" s="26" t="n">
        <v>45947</v>
      </c>
      <c r="C849" s="26" t="n">
        <v>45949</v>
      </c>
      <c r="D849" s="7" t="s">
        <v>648</v>
      </c>
      <c r="E849" s="7" t="s">
        <v>649</v>
      </c>
      <c r="F849" s="7" t="s">
        <v>159</v>
      </c>
      <c r="G849" s="7" t="s">
        <v>160</v>
      </c>
      <c r="H849" s="7" t="s">
        <v>161</v>
      </c>
      <c r="I849" s="7" t="s">
        <v>162</v>
      </c>
      <c r="J849" s="7" t="s">
        <v>185</v>
      </c>
      <c r="K849" s="7" t="s">
        <v>186</v>
      </c>
      <c r="L849" s="7" t="s">
        <v>187</v>
      </c>
      <c r="M849" s="7" t="n">
        <v>1</v>
      </c>
      <c r="N849" s="27" t="n">
        <v>3299</v>
      </c>
      <c r="O849" s="28" t="n">
        <v>0.4</v>
      </c>
      <c r="P849" s="27" t="n">
        <v>1979</v>
      </c>
      <c r="Q849" s="27" t="n">
        <v>1900</v>
      </c>
      <c r="R849" s="27" t="n">
        <v>79</v>
      </c>
      <c r="S849" s="7" t="s">
        <v>60</v>
      </c>
      <c r="T849" s="7" t="str">
        <f aca="false">IF(O849=0,"No discount",IF(O849&lt;=0.2,"Up to 20%","Above 20%"))</f>
        <v>Above 20%</v>
      </c>
    </row>
    <row r="850" customFormat="false" ht="15" hidden="false" customHeight="true" outlineLevel="0" collapsed="false">
      <c r="A850" s="7" t="s">
        <v>1541</v>
      </c>
      <c r="B850" s="26" t="n">
        <v>45947</v>
      </c>
      <c r="C850" s="26" t="n">
        <v>45953</v>
      </c>
      <c r="D850" s="7" t="s">
        <v>993</v>
      </c>
      <c r="E850" s="7" t="s">
        <v>994</v>
      </c>
      <c r="F850" s="7" t="s">
        <v>219</v>
      </c>
      <c r="G850" s="7" t="s">
        <v>160</v>
      </c>
      <c r="H850" s="7" t="s">
        <v>263</v>
      </c>
      <c r="I850" s="7" t="s">
        <v>171</v>
      </c>
      <c r="J850" s="7" t="s">
        <v>304</v>
      </c>
      <c r="K850" s="7" t="s">
        <v>499</v>
      </c>
      <c r="L850" s="7" t="s">
        <v>500</v>
      </c>
      <c r="M850" s="7" t="n">
        <v>5</v>
      </c>
      <c r="N850" s="27" t="n">
        <v>5499</v>
      </c>
      <c r="O850" s="28" t="n">
        <v>0</v>
      </c>
      <c r="P850" s="27" t="n">
        <v>27495</v>
      </c>
      <c r="Q850" s="27" t="n">
        <v>19500</v>
      </c>
      <c r="R850" s="27" t="n">
        <v>7995</v>
      </c>
      <c r="S850" s="7" t="s">
        <v>60</v>
      </c>
      <c r="T850" s="7" t="str">
        <f aca="false">IF(O850=0,"No discount",IF(O850&lt;=0.2,"Up to 20%","Above 20%"))</f>
        <v>No discount</v>
      </c>
    </row>
    <row r="851" customFormat="false" ht="15" hidden="false" customHeight="true" outlineLevel="0" collapsed="false">
      <c r="A851" s="7" t="s">
        <v>1542</v>
      </c>
      <c r="B851" s="26" t="n">
        <v>45947</v>
      </c>
      <c r="C851" s="26" t="n">
        <v>45954</v>
      </c>
      <c r="D851" s="7" t="s">
        <v>781</v>
      </c>
      <c r="E851" s="7" t="s">
        <v>782</v>
      </c>
      <c r="F851" s="7" t="s">
        <v>219</v>
      </c>
      <c r="G851" s="7" t="s">
        <v>160</v>
      </c>
      <c r="H851" s="7" t="s">
        <v>269</v>
      </c>
      <c r="I851" s="7" t="s">
        <v>208</v>
      </c>
      <c r="J851" s="7" t="s">
        <v>232</v>
      </c>
      <c r="K851" s="7" t="s">
        <v>233</v>
      </c>
      <c r="L851" s="7" t="s">
        <v>234</v>
      </c>
      <c r="M851" s="7" t="n">
        <v>3</v>
      </c>
      <c r="N851" s="27" t="n">
        <v>7999</v>
      </c>
      <c r="O851" s="28" t="n">
        <v>0.2</v>
      </c>
      <c r="P851" s="27" t="n">
        <v>19198</v>
      </c>
      <c r="Q851" s="27" t="n">
        <v>16800</v>
      </c>
      <c r="R851" s="27" t="n">
        <v>2398</v>
      </c>
      <c r="S851" s="7" t="s">
        <v>60</v>
      </c>
      <c r="T851" s="7" t="str">
        <f aca="false">IF(O851=0,"No discount",IF(O851&lt;=0.2,"Up to 20%","Above 20%"))</f>
        <v>Up to 20%</v>
      </c>
    </row>
    <row r="852" customFormat="false" ht="15" hidden="false" customHeight="true" outlineLevel="0" collapsed="false">
      <c r="A852" s="7" t="s">
        <v>1543</v>
      </c>
      <c r="B852" s="26" t="n">
        <v>45947</v>
      </c>
      <c r="C852" s="26" t="n">
        <v>45950</v>
      </c>
      <c r="D852" s="7" t="s">
        <v>491</v>
      </c>
      <c r="E852" s="7" t="s">
        <v>492</v>
      </c>
      <c r="F852" s="7" t="s">
        <v>159</v>
      </c>
      <c r="G852" s="7" t="s">
        <v>169</v>
      </c>
      <c r="H852" s="7" t="s">
        <v>179</v>
      </c>
      <c r="I852" s="7" t="s">
        <v>162</v>
      </c>
      <c r="J852" s="7" t="s">
        <v>185</v>
      </c>
      <c r="K852" s="7" t="s">
        <v>186</v>
      </c>
      <c r="L852" s="7" t="s">
        <v>187</v>
      </c>
      <c r="M852" s="7" t="n">
        <v>1</v>
      </c>
      <c r="N852" s="27" t="n">
        <v>3299</v>
      </c>
      <c r="O852" s="28" t="n">
        <v>0.3</v>
      </c>
      <c r="P852" s="27" t="n">
        <v>2309</v>
      </c>
      <c r="Q852" s="27" t="n">
        <v>1900</v>
      </c>
      <c r="R852" s="27" t="n">
        <v>409</v>
      </c>
      <c r="S852" s="7" t="s">
        <v>60</v>
      </c>
      <c r="T852" s="7" t="str">
        <f aca="false">IF(O852=0,"No discount",IF(O852&lt;=0.2,"Up to 20%","Above 20%"))</f>
        <v>Above 20%</v>
      </c>
    </row>
    <row r="853" customFormat="false" ht="15" hidden="false" customHeight="true" outlineLevel="0" collapsed="false">
      <c r="A853" s="7" t="s">
        <v>1544</v>
      </c>
      <c r="B853" s="26" t="n">
        <v>45947</v>
      </c>
      <c r="C853" s="26" t="n">
        <v>45948</v>
      </c>
      <c r="D853" s="7" t="s">
        <v>345</v>
      </c>
      <c r="E853" s="7" t="s">
        <v>346</v>
      </c>
      <c r="F853" s="7" t="s">
        <v>159</v>
      </c>
      <c r="G853" s="7" t="s">
        <v>160</v>
      </c>
      <c r="H853" s="7" t="s">
        <v>161</v>
      </c>
      <c r="I853" s="7" t="s">
        <v>171</v>
      </c>
      <c r="J853" s="7" t="s">
        <v>304</v>
      </c>
      <c r="K853" s="7" t="s">
        <v>305</v>
      </c>
      <c r="L853" s="7" t="s">
        <v>306</v>
      </c>
      <c r="M853" s="7" t="n">
        <v>1</v>
      </c>
      <c r="N853" s="27" t="n">
        <v>2999</v>
      </c>
      <c r="O853" s="28" t="n">
        <v>0.2</v>
      </c>
      <c r="P853" s="27" t="n">
        <v>2399</v>
      </c>
      <c r="Q853" s="27" t="n">
        <v>2000</v>
      </c>
      <c r="R853" s="27" t="n">
        <v>399</v>
      </c>
      <c r="S853" s="7" t="s">
        <v>60</v>
      </c>
      <c r="T853" s="7" t="str">
        <f aca="false">IF(O853=0,"No discount",IF(O853&lt;=0.2,"Up to 20%","Above 20%"))</f>
        <v>Up to 20%</v>
      </c>
    </row>
    <row r="854" customFormat="false" ht="15" hidden="false" customHeight="true" outlineLevel="0" collapsed="false">
      <c r="A854" s="7" t="s">
        <v>1545</v>
      </c>
      <c r="B854" s="26" t="n">
        <v>45947</v>
      </c>
      <c r="C854" s="26" t="n">
        <v>45950</v>
      </c>
      <c r="D854" s="7" t="s">
        <v>435</v>
      </c>
      <c r="E854" s="7" t="s">
        <v>436</v>
      </c>
      <c r="F854" s="7" t="s">
        <v>159</v>
      </c>
      <c r="G854" s="7" t="s">
        <v>169</v>
      </c>
      <c r="H854" s="7" t="s">
        <v>170</v>
      </c>
      <c r="I854" s="7" t="s">
        <v>162</v>
      </c>
      <c r="J854" s="7" t="s">
        <v>163</v>
      </c>
      <c r="K854" s="7" t="s">
        <v>164</v>
      </c>
      <c r="L854" s="7" t="s">
        <v>165</v>
      </c>
      <c r="M854" s="7" t="n">
        <v>3</v>
      </c>
      <c r="N854" s="27" t="n">
        <v>1999</v>
      </c>
      <c r="O854" s="28" t="n">
        <v>0</v>
      </c>
      <c r="P854" s="27" t="n">
        <v>5997</v>
      </c>
      <c r="Q854" s="27" t="n">
        <v>3150</v>
      </c>
      <c r="R854" s="27" t="n">
        <v>2847</v>
      </c>
      <c r="S854" s="7" t="s">
        <v>60</v>
      </c>
      <c r="T854" s="7" t="str">
        <f aca="false">IF(O854=0,"No discount",IF(O854&lt;=0.2,"Up to 20%","Above 20%"))</f>
        <v>No discount</v>
      </c>
    </row>
    <row r="855" customFormat="false" ht="15" hidden="false" customHeight="true" outlineLevel="0" collapsed="false">
      <c r="A855" s="7" t="s">
        <v>1546</v>
      </c>
      <c r="B855" s="26" t="n">
        <v>45948</v>
      </c>
      <c r="C855" s="26" t="n">
        <v>45953</v>
      </c>
      <c r="D855" s="7" t="s">
        <v>351</v>
      </c>
      <c r="E855" s="7" t="s">
        <v>352</v>
      </c>
      <c r="F855" s="7" t="s">
        <v>178</v>
      </c>
      <c r="G855" s="7" t="s">
        <v>169</v>
      </c>
      <c r="H855" s="7" t="s">
        <v>179</v>
      </c>
      <c r="I855" s="7" t="s">
        <v>162</v>
      </c>
      <c r="J855" s="7" t="s">
        <v>185</v>
      </c>
      <c r="K855" s="7" t="s">
        <v>186</v>
      </c>
      <c r="L855" s="7" t="s">
        <v>187</v>
      </c>
      <c r="M855" s="7" t="n">
        <v>1</v>
      </c>
      <c r="N855" s="27" t="n">
        <v>3299</v>
      </c>
      <c r="O855" s="28" t="n">
        <v>0</v>
      </c>
      <c r="P855" s="27" t="n">
        <v>3299</v>
      </c>
      <c r="Q855" s="27" t="n">
        <v>1900</v>
      </c>
      <c r="R855" s="27" t="n">
        <v>1399</v>
      </c>
      <c r="S855" s="7" t="s">
        <v>47</v>
      </c>
      <c r="T855" s="7" t="str">
        <f aca="false">IF(O855=0,"No discount",IF(O855&lt;=0.2,"Up to 20%","Above 20%"))</f>
        <v>No discount</v>
      </c>
    </row>
    <row r="856" customFormat="false" ht="15" hidden="false" customHeight="true" outlineLevel="0" collapsed="false">
      <c r="A856" s="7" t="s">
        <v>1547</v>
      </c>
      <c r="B856" s="26" t="n">
        <v>45948</v>
      </c>
      <c r="C856" s="26" t="n">
        <v>45952</v>
      </c>
      <c r="D856" s="7" t="s">
        <v>1003</v>
      </c>
      <c r="E856" s="7" t="s">
        <v>1004</v>
      </c>
      <c r="F856" s="7" t="s">
        <v>159</v>
      </c>
      <c r="G856" s="7" t="s">
        <v>206</v>
      </c>
      <c r="H856" s="7" t="s">
        <v>207</v>
      </c>
      <c r="I856" s="7" t="s">
        <v>208</v>
      </c>
      <c r="J856" s="7" t="s">
        <v>209</v>
      </c>
      <c r="K856" s="7" t="s">
        <v>637</v>
      </c>
      <c r="L856" s="7" t="s">
        <v>638</v>
      </c>
      <c r="M856" s="7" t="n">
        <v>1</v>
      </c>
      <c r="N856" s="27" t="n">
        <v>899</v>
      </c>
      <c r="O856" s="28" t="n">
        <v>0</v>
      </c>
      <c r="P856" s="27" t="n">
        <v>899</v>
      </c>
      <c r="Q856" s="27" t="n">
        <v>480</v>
      </c>
      <c r="R856" s="27" t="n">
        <v>419</v>
      </c>
      <c r="S856" s="7" t="s">
        <v>60</v>
      </c>
      <c r="T856" s="7" t="str">
        <f aca="false">IF(O856=0,"No discount",IF(O856&lt;=0.2,"Up to 20%","Above 20%"))</f>
        <v>No discount</v>
      </c>
    </row>
    <row r="857" customFormat="false" ht="15" hidden="false" customHeight="true" outlineLevel="0" collapsed="false">
      <c r="A857" s="7" t="s">
        <v>1548</v>
      </c>
      <c r="B857" s="26" t="n">
        <v>45948</v>
      </c>
      <c r="C857" s="26" t="n">
        <v>45953</v>
      </c>
      <c r="D857" s="7" t="s">
        <v>176</v>
      </c>
      <c r="E857" s="7" t="s">
        <v>177</v>
      </c>
      <c r="F857" s="7" t="s">
        <v>178</v>
      </c>
      <c r="G857" s="7" t="s">
        <v>169</v>
      </c>
      <c r="H857" s="7" t="s">
        <v>179</v>
      </c>
      <c r="I857" s="7" t="s">
        <v>171</v>
      </c>
      <c r="J857" s="7" t="s">
        <v>172</v>
      </c>
      <c r="K857" s="7" t="s">
        <v>173</v>
      </c>
      <c r="L857" s="7" t="s">
        <v>174</v>
      </c>
      <c r="M857" s="7" t="n">
        <v>1</v>
      </c>
      <c r="N857" s="27" t="n">
        <v>699</v>
      </c>
      <c r="O857" s="28" t="n">
        <v>0.2</v>
      </c>
      <c r="P857" s="27" t="n">
        <v>559</v>
      </c>
      <c r="Q857" s="27" t="n">
        <v>320</v>
      </c>
      <c r="R857" s="27" t="n">
        <v>239</v>
      </c>
      <c r="S857" s="7" t="s">
        <v>60</v>
      </c>
      <c r="T857" s="7" t="str">
        <f aca="false">IF(O857=0,"No discount",IF(O857&lt;=0.2,"Up to 20%","Above 20%"))</f>
        <v>Up to 20%</v>
      </c>
    </row>
    <row r="858" customFormat="false" ht="15" hidden="false" customHeight="true" outlineLevel="0" collapsed="false">
      <c r="A858" s="7" t="s">
        <v>1549</v>
      </c>
      <c r="B858" s="26" t="n">
        <v>45948</v>
      </c>
      <c r="C858" s="26" t="n">
        <v>45950</v>
      </c>
      <c r="D858" s="7" t="s">
        <v>416</v>
      </c>
      <c r="E858" s="7" t="s">
        <v>417</v>
      </c>
      <c r="F858" s="7" t="s">
        <v>159</v>
      </c>
      <c r="G858" s="7" t="s">
        <v>160</v>
      </c>
      <c r="H858" s="7" t="s">
        <v>269</v>
      </c>
      <c r="I858" s="7" t="s">
        <v>208</v>
      </c>
      <c r="J858" s="7" t="s">
        <v>209</v>
      </c>
      <c r="K858" s="7" t="s">
        <v>238</v>
      </c>
      <c r="L858" s="7" t="s">
        <v>239</v>
      </c>
      <c r="M858" s="7" t="n">
        <v>3</v>
      </c>
      <c r="N858" s="27" t="n">
        <v>2199</v>
      </c>
      <c r="O858" s="28" t="n">
        <v>0.05</v>
      </c>
      <c r="P858" s="27" t="n">
        <v>6267</v>
      </c>
      <c r="Q858" s="27" t="n">
        <v>4200</v>
      </c>
      <c r="R858" s="27" t="n">
        <v>2067</v>
      </c>
      <c r="S858" s="7" t="s">
        <v>60</v>
      </c>
      <c r="T858" s="7" t="str">
        <f aca="false">IF(O858=0,"No discount",IF(O858&lt;=0.2,"Up to 20%","Above 20%"))</f>
        <v>Up to 20%</v>
      </c>
    </row>
    <row r="859" customFormat="false" ht="15" hidden="false" customHeight="true" outlineLevel="0" collapsed="false">
      <c r="A859" s="7" t="s">
        <v>1550</v>
      </c>
      <c r="B859" s="26" t="n">
        <v>45948</v>
      </c>
      <c r="C859" s="26" t="n">
        <v>45950</v>
      </c>
      <c r="D859" s="7" t="s">
        <v>597</v>
      </c>
      <c r="E859" s="7" t="s">
        <v>598</v>
      </c>
      <c r="F859" s="7" t="s">
        <v>159</v>
      </c>
      <c r="G859" s="7" t="s">
        <v>160</v>
      </c>
      <c r="H859" s="7" t="s">
        <v>269</v>
      </c>
      <c r="I859" s="7" t="s">
        <v>162</v>
      </c>
      <c r="J859" s="7" t="s">
        <v>251</v>
      </c>
      <c r="K859" s="7" t="s">
        <v>252</v>
      </c>
      <c r="L859" s="7" t="s">
        <v>253</v>
      </c>
      <c r="M859" s="7" t="n">
        <v>1</v>
      </c>
      <c r="N859" s="27" t="n">
        <v>3999</v>
      </c>
      <c r="O859" s="28" t="n">
        <v>0.3</v>
      </c>
      <c r="P859" s="27" t="n">
        <v>2799</v>
      </c>
      <c r="Q859" s="27" t="n">
        <v>2400</v>
      </c>
      <c r="R859" s="27" t="n">
        <v>399</v>
      </c>
      <c r="S859" s="7" t="s">
        <v>60</v>
      </c>
      <c r="T859" s="7" t="str">
        <f aca="false">IF(O859=0,"No discount",IF(O859&lt;=0.2,"Up to 20%","Above 20%"))</f>
        <v>Above 20%</v>
      </c>
    </row>
    <row r="860" customFormat="false" ht="15" hidden="false" customHeight="true" outlineLevel="0" collapsed="false">
      <c r="A860" s="7" t="s">
        <v>1551</v>
      </c>
      <c r="B860" s="26" t="n">
        <v>45949</v>
      </c>
      <c r="C860" s="26" t="n">
        <v>45956</v>
      </c>
      <c r="D860" s="7" t="s">
        <v>267</v>
      </c>
      <c r="E860" s="7" t="s">
        <v>268</v>
      </c>
      <c r="F860" s="7" t="s">
        <v>159</v>
      </c>
      <c r="G860" s="7" t="s">
        <v>160</v>
      </c>
      <c r="H860" s="7" t="s">
        <v>269</v>
      </c>
      <c r="I860" s="7" t="s">
        <v>171</v>
      </c>
      <c r="J860" s="7" t="s">
        <v>172</v>
      </c>
      <c r="K860" s="7" t="s">
        <v>173</v>
      </c>
      <c r="L860" s="7" t="s">
        <v>174</v>
      </c>
      <c r="M860" s="7" t="n">
        <v>4</v>
      </c>
      <c r="N860" s="27" t="n">
        <v>699</v>
      </c>
      <c r="O860" s="28" t="n">
        <v>0.05</v>
      </c>
      <c r="P860" s="27" t="n">
        <v>2656</v>
      </c>
      <c r="Q860" s="27" t="n">
        <v>1280</v>
      </c>
      <c r="R860" s="27" t="n">
        <v>1376</v>
      </c>
      <c r="S860" s="7" t="s">
        <v>60</v>
      </c>
      <c r="T860" s="7" t="str">
        <f aca="false">IF(O860=0,"No discount",IF(O860&lt;=0.2,"Up to 20%","Above 20%"))</f>
        <v>Up to 20%</v>
      </c>
    </row>
    <row r="861" customFormat="false" ht="15" hidden="false" customHeight="true" outlineLevel="0" collapsed="false">
      <c r="A861" s="7" t="s">
        <v>1552</v>
      </c>
      <c r="B861" s="26" t="n">
        <v>45949</v>
      </c>
      <c r="C861" s="26" t="n">
        <v>45952</v>
      </c>
      <c r="D861" s="7" t="s">
        <v>302</v>
      </c>
      <c r="E861" s="7" t="s">
        <v>303</v>
      </c>
      <c r="F861" s="7" t="s">
        <v>159</v>
      </c>
      <c r="G861" s="7" t="s">
        <v>160</v>
      </c>
      <c r="H861" s="7" t="s">
        <v>269</v>
      </c>
      <c r="I861" s="7" t="s">
        <v>171</v>
      </c>
      <c r="J861" s="7" t="s">
        <v>314</v>
      </c>
      <c r="K861" s="7" t="s">
        <v>315</v>
      </c>
      <c r="L861" s="7" t="s">
        <v>316</v>
      </c>
      <c r="M861" s="7" t="n">
        <v>5</v>
      </c>
      <c r="N861" s="27" t="n">
        <v>1299</v>
      </c>
      <c r="O861" s="28" t="n">
        <v>0.2</v>
      </c>
      <c r="P861" s="27" t="n">
        <v>5196</v>
      </c>
      <c r="Q861" s="27" t="n">
        <v>3500</v>
      </c>
      <c r="R861" s="27" t="n">
        <v>1696</v>
      </c>
      <c r="S861" s="7" t="s">
        <v>60</v>
      </c>
      <c r="T861" s="7" t="str">
        <f aca="false">IF(O861=0,"No discount",IF(O861&lt;=0.2,"Up to 20%","Above 20%"))</f>
        <v>Up to 20%</v>
      </c>
    </row>
    <row r="862" customFormat="false" ht="15" hidden="false" customHeight="true" outlineLevel="0" collapsed="false">
      <c r="A862" s="7" t="s">
        <v>1553</v>
      </c>
      <c r="B862" s="26" t="n">
        <v>45949</v>
      </c>
      <c r="C862" s="26" t="n">
        <v>45951</v>
      </c>
      <c r="D862" s="7" t="s">
        <v>729</v>
      </c>
      <c r="E862" s="7" t="s">
        <v>730</v>
      </c>
      <c r="F862" s="7" t="s">
        <v>159</v>
      </c>
      <c r="G862" s="7" t="s">
        <v>160</v>
      </c>
      <c r="H862" s="7" t="s">
        <v>269</v>
      </c>
      <c r="I862" s="7" t="s">
        <v>282</v>
      </c>
      <c r="J862" s="7" t="s">
        <v>387</v>
      </c>
      <c r="K862" s="7" t="s">
        <v>547</v>
      </c>
      <c r="L862" s="7" t="s">
        <v>548</v>
      </c>
      <c r="M862" s="7" t="n">
        <v>3</v>
      </c>
      <c r="N862" s="27" t="n">
        <v>249</v>
      </c>
      <c r="O862" s="28" t="n">
        <v>0.1</v>
      </c>
      <c r="P862" s="27" t="n">
        <v>672</v>
      </c>
      <c r="Q862" s="27" t="n">
        <v>360</v>
      </c>
      <c r="R862" s="27" t="n">
        <v>312</v>
      </c>
      <c r="S862" s="7" t="s">
        <v>47</v>
      </c>
      <c r="T862" s="7" t="str">
        <f aca="false">IF(O862=0,"No discount",IF(O862&lt;=0.2,"Up to 20%","Above 20%"))</f>
        <v>Up to 20%</v>
      </c>
    </row>
    <row r="863" customFormat="false" ht="15" hidden="false" customHeight="true" outlineLevel="0" collapsed="false">
      <c r="A863" s="7" t="s">
        <v>1554</v>
      </c>
      <c r="B863" s="26" t="n">
        <v>45949</v>
      </c>
      <c r="C863" s="26" t="n">
        <v>45953</v>
      </c>
      <c r="D863" s="7" t="s">
        <v>167</v>
      </c>
      <c r="E863" s="7" t="s">
        <v>168</v>
      </c>
      <c r="F863" s="7" t="s">
        <v>159</v>
      </c>
      <c r="G863" s="7" t="s">
        <v>169</v>
      </c>
      <c r="H863" s="7" t="s">
        <v>170</v>
      </c>
      <c r="I863" s="7" t="s">
        <v>171</v>
      </c>
      <c r="J863" s="7" t="s">
        <v>304</v>
      </c>
      <c r="K863" s="7" t="s">
        <v>499</v>
      </c>
      <c r="L863" s="7" t="s">
        <v>500</v>
      </c>
      <c r="M863" s="7" t="n">
        <v>3</v>
      </c>
      <c r="N863" s="27" t="n">
        <v>5499</v>
      </c>
      <c r="O863" s="28" t="n">
        <v>0.3</v>
      </c>
      <c r="P863" s="27" t="n">
        <v>11548</v>
      </c>
      <c r="Q863" s="27" t="n">
        <v>11700</v>
      </c>
      <c r="R863" s="27" t="n">
        <v>-152</v>
      </c>
      <c r="S863" s="7" t="s">
        <v>60</v>
      </c>
      <c r="T863" s="7" t="str">
        <f aca="false">IF(O863=0,"No discount",IF(O863&lt;=0.2,"Up to 20%","Above 20%"))</f>
        <v>Above 20%</v>
      </c>
    </row>
    <row r="864" customFormat="false" ht="15" hidden="false" customHeight="true" outlineLevel="0" collapsed="false">
      <c r="A864" s="7" t="s">
        <v>1555</v>
      </c>
      <c r="B864" s="26" t="n">
        <v>45949</v>
      </c>
      <c r="C864" s="26" t="n">
        <v>45953</v>
      </c>
      <c r="D864" s="7" t="s">
        <v>985</v>
      </c>
      <c r="E864" s="7" t="s">
        <v>986</v>
      </c>
      <c r="F864" s="7" t="s">
        <v>159</v>
      </c>
      <c r="G864" s="7" t="s">
        <v>169</v>
      </c>
      <c r="H864" s="7" t="s">
        <v>191</v>
      </c>
      <c r="I864" s="7" t="s">
        <v>171</v>
      </c>
      <c r="J864" s="7" t="s">
        <v>304</v>
      </c>
      <c r="K864" s="7" t="s">
        <v>305</v>
      </c>
      <c r="L864" s="7" t="s">
        <v>306</v>
      </c>
      <c r="M864" s="7" t="n">
        <v>2</v>
      </c>
      <c r="N864" s="27" t="n">
        <v>2999</v>
      </c>
      <c r="O864" s="28" t="n">
        <v>0.3</v>
      </c>
      <c r="P864" s="27" t="n">
        <v>4199</v>
      </c>
      <c r="Q864" s="27" t="n">
        <v>4000</v>
      </c>
      <c r="R864" s="27" t="n">
        <v>199</v>
      </c>
      <c r="S864" s="7" t="s">
        <v>60</v>
      </c>
      <c r="T864" s="7" t="str">
        <f aca="false">IF(O864=0,"No discount",IF(O864&lt;=0.2,"Up to 20%","Above 20%"))</f>
        <v>Above 20%</v>
      </c>
    </row>
    <row r="865" customFormat="false" ht="15" hidden="false" customHeight="true" outlineLevel="0" collapsed="false">
      <c r="A865" s="7" t="s">
        <v>1556</v>
      </c>
      <c r="B865" s="26" t="n">
        <v>45950</v>
      </c>
      <c r="C865" s="26" t="n">
        <v>45957</v>
      </c>
      <c r="D865" s="7" t="s">
        <v>799</v>
      </c>
      <c r="E865" s="7" t="s">
        <v>800</v>
      </c>
      <c r="F865" s="7" t="s">
        <v>159</v>
      </c>
      <c r="G865" s="7" t="s">
        <v>169</v>
      </c>
      <c r="H865" s="7" t="s">
        <v>191</v>
      </c>
      <c r="I865" s="7" t="s">
        <v>208</v>
      </c>
      <c r="J865" s="7" t="s">
        <v>421</v>
      </c>
      <c r="K865" s="7" t="s">
        <v>422</v>
      </c>
      <c r="L865" s="7" t="s">
        <v>423</v>
      </c>
      <c r="M865" s="7" t="n">
        <v>1</v>
      </c>
      <c r="N865" s="27" t="n">
        <v>5999</v>
      </c>
      <c r="O865" s="28" t="n">
        <v>0.2</v>
      </c>
      <c r="P865" s="27" t="n">
        <v>4799</v>
      </c>
      <c r="Q865" s="27" t="n">
        <v>4300</v>
      </c>
      <c r="R865" s="27" t="n">
        <v>499</v>
      </c>
      <c r="S865" s="7" t="s">
        <v>60</v>
      </c>
      <c r="T865" s="7" t="str">
        <f aca="false">IF(O865=0,"No discount",IF(O865&lt;=0.2,"Up to 20%","Above 20%"))</f>
        <v>Up to 20%</v>
      </c>
    </row>
    <row r="866" customFormat="false" ht="15" hidden="false" customHeight="true" outlineLevel="0" collapsed="false">
      <c r="A866" s="7" t="s">
        <v>1557</v>
      </c>
      <c r="B866" s="26" t="n">
        <v>45950</v>
      </c>
      <c r="C866" s="26" t="n">
        <v>45957</v>
      </c>
      <c r="D866" s="7" t="s">
        <v>345</v>
      </c>
      <c r="E866" s="7" t="s">
        <v>346</v>
      </c>
      <c r="F866" s="7" t="s">
        <v>159</v>
      </c>
      <c r="G866" s="7" t="s">
        <v>160</v>
      </c>
      <c r="H866" s="7" t="s">
        <v>161</v>
      </c>
      <c r="I866" s="7" t="s">
        <v>171</v>
      </c>
      <c r="J866" s="7" t="s">
        <v>314</v>
      </c>
      <c r="K866" s="7" t="s">
        <v>315</v>
      </c>
      <c r="L866" s="7" t="s">
        <v>316</v>
      </c>
      <c r="M866" s="7" t="n">
        <v>1</v>
      </c>
      <c r="N866" s="27" t="n">
        <v>1299</v>
      </c>
      <c r="O866" s="28" t="n">
        <v>0</v>
      </c>
      <c r="P866" s="27" t="n">
        <v>1299</v>
      </c>
      <c r="Q866" s="27" t="n">
        <v>700</v>
      </c>
      <c r="R866" s="27" t="n">
        <v>599</v>
      </c>
      <c r="S866" s="7" t="s">
        <v>60</v>
      </c>
      <c r="T866" s="7" t="str">
        <f aca="false">IF(O866=0,"No discount",IF(O866&lt;=0.2,"Up to 20%","Above 20%"))</f>
        <v>No discount</v>
      </c>
    </row>
    <row r="867" customFormat="false" ht="15" hidden="false" customHeight="true" outlineLevel="0" collapsed="false">
      <c r="A867" s="7" t="s">
        <v>1558</v>
      </c>
      <c r="B867" s="26" t="n">
        <v>45950</v>
      </c>
      <c r="C867" s="26" t="n">
        <v>45955</v>
      </c>
      <c r="D867" s="7" t="s">
        <v>241</v>
      </c>
      <c r="E867" s="7" t="s">
        <v>242</v>
      </c>
      <c r="F867" s="7" t="s">
        <v>159</v>
      </c>
      <c r="G867" s="7" t="s">
        <v>206</v>
      </c>
      <c r="H867" s="7" t="s">
        <v>207</v>
      </c>
      <c r="I867" s="7" t="s">
        <v>162</v>
      </c>
      <c r="J867" s="7" t="s">
        <v>325</v>
      </c>
      <c r="K867" s="7" t="s">
        <v>583</v>
      </c>
      <c r="L867" s="7" t="s">
        <v>584</v>
      </c>
      <c r="M867" s="7" t="n">
        <v>3</v>
      </c>
      <c r="N867" s="27" t="n">
        <v>1499</v>
      </c>
      <c r="O867" s="28" t="n">
        <v>0.3</v>
      </c>
      <c r="P867" s="27" t="n">
        <v>3148</v>
      </c>
      <c r="Q867" s="27" t="n">
        <v>2250</v>
      </c>
      <c r="R867" s="27" t="n">
        <v>898</v>
      </c>
      <c r="S867" s="7" t="s">
        <v>60</v>
      </c>
      <c r="T867" s="7" t="str">
        <f aca="false">IF(O867=0,"No discount",IF(O867&lt;=0.2,"Up to 20%","Above 20%"))</f>
        <v>Above 20%</v>
      </c>
    </row>
    <row r="868" customFormat="false" ht="15" hidden="false" customHeight="true" outlineLevel="0" collapsed="false">
      <c r="A868" s="7" t="s">
        <v>1559</v>
      </c>
      <c r="B868" s="26" t="n">
        <v>45950</v>
      </c>
      <c r="C868" s="26" t="n">
        <v>45952</v>
      </c>
      <c r="D868" s="7" t="s">
        <v>357</v>
      </c>
      <c r="E868" s="7" t="s">
        <v>358</v>
      </c>
      <c r="F868" s="7" t="s">
        <v>219</v>
      </c>
      <c r="G868" s="7" t="s">
        <v>160</v>
      </c>
      <c r="H868" s="7" t="s">
        <v>161</v>
      </c>
      <c r="I868" s="7" t="s">
        <v>171</v>
      </c>
      <c r="J868" s="7" t="s">
        <v>172</v>
      </c>
      <c r="K868" s="7" t="s">
        <v>180</v>
      </c>
      <c r="L868" s="7" t="s">
        <v>181</v>
      </c>
      <c r="M868" s="7" t="n">
        <v>2</v>
      </c>
      <c r="N868" s="27" t="n">
        <v>999</v>
      </c>
      <c r="O868" s="28" t="n">
        <v>0</v>
      </c>
      <c r="P868" s="27" t="n">
        <v>1998</v>
      </c>
      <c r="Q868" s="27" t="n">
        <v>1040</v>
      </c>
      <c r="R868" s="27" t="n">
        <v>958</v>
      </c>
      <c r="S868" s="7" t="s">
        <v>60</v>
      </c>
      <c r="T868" s="7" t="str">
        <f aca="false">IF(O868=0,"No discount",IF(O868&lt;=0.2,"Up to 20%","Above 20%"))</f>
        <v>No discount</v>
      </c>
    </row>
    <row r="869" customFormat="false" ht="15" hidden="false" customHeight="true" outlineLevel="0" collapsed="false">
      <c r="A869" s="7" t="s">
        <v>1560</v>
      </c>
      <c r="B869" s="26" t="n">
        <v>45950</v>
      </c>
      <c r="C869" s="26" t="n">
        <v>45956</v>
      </c>
      <c r="D869" s="7" t="s">
        <v>1073</v>
      </c>
      <c r="E869" s="7" t="s">
        <v>1074</v>
      </c>
      <c r="F869" s="7" t="s">
        <v>159</v>
      </c>
      <c r="G869" s="7" t="s">
        <v>206</v>
      </c>
      <c r="H869" s="7" t="s">
        <v>207</v>
      </c>
      <c r="I869" s="7" t="s">
        <v>199</v>
      </c>
      <c r="J869" s="7" t="s">
        <v>223</v>
      </c>
      <c r="K869" s="7" t="s">
        <v>224</v>
      </c>
      <c r="L869" s="7" t="s">
        <v>225</v>
      </c>
      <c r="M869" s="7" t="n">
        <v>2</v>
      </c>
      <c r="N869" s="27" t="n">
        <v>899</v>
      </c>
      <c r="O869" s="28" t="n">
        <v>0.1</v>
      </c>
      <c r="P869" s="27" t="n">
        <v>1618</v>
      </c>
      <c r="Q869" s="27" t="n">
        <v>760</v>
      </c>
      <c r="R869" s="27" t="n">
        <v>858</v>
      </c>
      <c r="S869" s="7" t="s">
        <v>60</v>
      </c>
      <c r="T869" s="7" t="str">
        <f aca="false">IF(O869=0,"No discount",IF(O869&lt;=0.2,"Up to 20%","Above 20%"))</f>
        <v>Up to 20%</v>
      </c>
    </row>
    <row r="870" customFormat="false" ht="15" hidden="false" customHeight="true" outlineLevel="0" collapsed="false">
      <c r="A870" s="7" t="s">
        <v>1561</v>
      </c>
      <c r="B870" s="26" t="n">
        <v>45950</v>
      </c>
      <c r="C870" s="26" t="n">
        <v>45951</v>
      </c>
      <c r="D870" s="7" t="s">
        <v>1312</v>
      </c>
      <c r="E870" s="7" t="s">
        <v>1313</v>
      </c>
      <c r="F870" s="7" t="s">
        <v>159</v>
      </c>
      <c r="G870" s="7" t="s">
        <v>160</v>
      </c>
      <c r="H870" s="7" t="s">
        <v>161</v>
      </c>
      <c r="I870" s="7" t="s">
        <v>192</v>
      </c>
      <c r="J870" s="7" t="s">
        <v>502</v>
      </c>
      <c r="K870" s="7" t="s">
        <v>526</v>
      </c>
      <c r="L870" s="7" t="s">
        <v>527</v>
      </c>
      <c r="M870" s="7" t="n">
        <v>1</v>
      </c>
      <c r="N870" s="27" t="n">
        <v>6499</v>
      </c>
      <c r="O870" s="28" t="n">
        <v>0.1</v>
      </c>
      <c r="P870" s="27" t="n">
        <v>5849</v>
      </c>
      <c r="Q870" s="27" t="n">
        <v>5000</v>
      </c>
      <c r="R870" s="27" t="n">
        <v>849</v>
      </c>
      <c r="S870" s="7" t="s">
        <v>60</v>
      </c>
      <c r="T870" s="7" t="str">
        <f aca="false">IF(O870=0,"No discount",IF(O870&lt;=0.2,"Up to 20%","Above 20%"))</f>
        <v>Up to 20%</v>
      </c>
    </row>
    <row r="871" customFormat="false" ht="15" hidden="false" customHeight="true" outlineLevel="0" collapsed="false">
      <c r="A871" s="7" t="s">
        <v>1562</v>
      </c>
      <c r="B871" s="26" t="n">
        <v>45950</v>
      </c>
      <c r="C871" s="26" t="n">
        <v>45953</v>
      </c>
      <c r="D871" s="7" t="s">
        <v>866</v>
      </c>
      <c r="E871" s="7" t="s">
        <v>867</v>
      </c>
      <c r="F871" s="7" t="s">
        <v>159</v>
      </c>
      <c r="G871" s="7" t="s">
        <v>169</v>
      </c>
      <c r="H871" s="7" t="s">
        <v>170</v>
      </c>
      <c r="I871" s="7" t="s">
        <v>192</v>
      </c>
      <c r="J871" s="7" t="s">
        <v>213</v>
      </c>
      <c r="K871" s="7" t="s">
        <v>264</v>
      </c>
      <c r="L871" s="7" t="s">
        <v>265</v>
      </c>
      <c r="M871" s="7" t="n">
        <v>1</v>
      </c>
      <c r="N871" s="27" t="n">
        <v>2499</v>
      </c>
      <c r="O871" s="28" t="n">
        <v>0.4</v>
      </c>
      <c r="P871" s="27" t="n">
        <v>1499</v>
      </c>
      <c r="Q871" s="27" t="n">
        <v>1700</v>
      </c>
      <c r="R871" s="27" t="n">
        <v>-201</v>
      </c>
      <c r="S871" s="7" t="s">
        <v>60</v>
      </c>
      <c r="T871" s="7" t="str">
        <f aca="false">IF(O871=0,"No discount",IF(O871&lt;=0.2,"Up to 20%","Above 20%"))</f>
        <v>Above 20%</v>
      </c>
    </row>
    <row r="872" customFormat="false" ht="15" hidden="false" customHeight="true" outlineLevel="0" collapsed="false">
      <c r="A872" s="7" t="s">
        <v>1563</v>
      </c>
      <c r="B872" s="26" t="n">
        <v>45951</v>
      </c>
      <c r="C872" s="26" t="n">
        <v>45956</v>
      </c>
      <c r="D872" s="7" t="s">
        <v>781</v>
      </c>
      <c r="E872" s="7" t="s">
        <v>782</v>
      </c>
      <c r="F872" s="7" t="s">
        <v>219</v>
      </c>
      <c r="G872" s="7" t="s">
        <v>160</v>
      </c>
      <c r="H872" s="7" t="s">
        <v>269</v>
      </c>
      <c r="I872" s="7" t="s">
        <v>282</v>
      </c>
      <c r="J872" s="7" t="s">
        <v>283</v>
      </c>
      <c r="K872" s="7" t="s">
        <v>284</v>
      </c>
      <c r="L872" s="7" t="s">
        <v>285</v>
      </c>
      <c r="M872" s="7" t="n">
        <v>1</v>
      </c>
      <c r="N872" s="27" t="n">
        <v>199</v>
      </c>
      <c r="O872" s="28" t="n">
        <v>0</v>
      </c>
      <c r="P872" s="27" t="n">
        <v>199</v>
      </c>
      <c r="Q872" s="27" t="n">
        <v>90</v>
      </c>
      <c r="R872" s="27" t="n">
        <v>109</v>
      </c>
      <c r="S872" s="7" t="s">
        <v>60</v>
      </c>
      <c r="T872" s="7" t="str">
        <f aca="false">IF(O872=0,"No discount",IF(O872&lt;=0.2,"Up to 20%","Above 20%"))</f>
        <v>No discount</v>
      </c>
    </row>
    <row r="873" customFormat="false" ht="15" hidden="false" customHeight="true" outlineLevel="0" collapsed="false">
      <c r="A873" s="7" t="s">
        <v>1564</v>
      </c>
      <c r="B873" s="26" t="n">
        <v>45951</v>
      </c>
      <c r="C873" s="26" t="n">
        <v>45957</v>
      </c>
      <c r="D873" s="7" t="s">
        <v>241</v>
      </c>
      <c r="E873" s="7" t="s">
        <v>242</v>
      </c>
      <c r="F873" s="7" t="s">
        <v>159</v>
      </c>
      <c r="G873" s="7" t="s">
        <v>206</v>
      </c>
      <c r="H873" s="7" t="s">
        <v>207</v>
      </c>
      <c r="I873" s="7" t="s">
        <v>199</v>
      </c>
      <c r="J873" s="7" t="s">
        <v>223</v>
      </c>
      <c r="K873" s="7" t="s">
        <v>246</v>
      </c>
      <c r="L873" s="7" t="s">
        <v>247</v>
      </c>
      <c r="M873" s="7" t="n">
        <v>1</v>
      </c>
      <c r="N873" s="27" t="n">
        <v>599</v>
      </c>
      <c r="O873" s="28" t="n">
        <v>0.15</v>
      </c>
      <c r="P873" s="27" t="n">
        <v>509</v>
      </c>
      <c r="Q873" s="27" t="n">
        <v>270</v>
      </c>
      <c r="R873" s="27" t="n">
        <v>239</v>
      </c>
      <c r="S873" s="7" t="s">
        <v>60</v>
      </c>
      <c r="T873" s="7" t="str">
        <f aca="false">IF(O873=0,"No discount",IF(O873&lt;=0.2,"Up to 20%","Above 20%"))</f>
        <v>Up to 20%</v>
      </c>
    </row>
    <row r="874" customFormat="false" ht="15" hidden="false" customHeight="true" outlineLevel="0" collapsed="false">
      <c r="A874" s="7" t="s">
        <v>1565</v>
      </c>
      <c r="B874" s="26" t="n">
        <v>45951</v>
      </c>
      <c r="C874" s="26" t="n">
        <v>45954</v>
      </c>
      <c r="D874" s="7" t="s">
        <v>746</v>
      </c>
      <c r="E874" s="7" t="s">
        <v>747</v>
      </c>
      <c r="F874" s="7" t="s">
        <v>159</v>
      </c>
      <c r="G874" s="7" t="s">
        <v>160</v>
      </c>
      <c r="H874" s="7" t="s">
        <v>269</v>
      </c>
      <c r="I874" s="7" t="s">
        <v>199</v>
      </c>
      <c r="J874" s="7" t="s">
        <v>398</v>
      </c>
      <c r="K874" s="7" t="s">
        <v>399</v>
      </c>
      <c r="L874" s="7" t="s">
        <v>400</v>
      </c>
      <c r="M874" s="7" t="n">
        <v>1</v>
      </c>
      <c r="N874" s="27" t="n">
        <v>749</v>
      </c>
      <c r="O874" s="28" t="n">
        <v>0.2</v>
      </c>
      <c r="P874" s="27" t="n">
        <v>599</v>
      </c>
      <c r="Q874" s="27" t="n">
        <v>350</v>
      </c>
      <c r="R874" s="27" t="n">
        <v>249</v>
      </c>
      <c r="S874" s="7" t="s">
        <v>60</v>
      </c>
      <c r="T874" s="7" t="str">
        <f aca="false">IF(O874=0,"No discount",IF(O874&lt;=0.2,"Up to 20%","Above 20%"))</f>
        <v>Up to 20%</v>
      </c>
    </row>
    <row r="875" customFormat="false" ht="15" hidden="false" customHeight="true" outlineLevel="0" collapsed="false">
      <c r="A875" s="7" t="s">
        <v>1566</v>
      </c>
      <c r="B875" s="26" t="n">
        <v>45951</v>
      </c>
      <c r="C875" s="26" t="n">
        <v>45952</v>
      </c>
      <c r="D875" s="7" t="s">
        <v>462</v>
      </c>
      <c r="E875" s="7" t="s">
        <v>463</v>
      </c>
      <c r="F875" s="7" t="s">
        <v>159</v>
      </c>
      <c r="G875" s="7" t="s">
        <v>169</v>
      </c>
      <c r="H875" s="7" t="s">
        <v>191</v>
      </c>
      <c r="I875" s="7" t="s">
        <v>171</v>
      </c>
      <c r="J875" s="7" t="s">
        <v>172</v>
      </c>
      <c r="K875" s="7" t="s">
        <v>173</v>
      </c>
      <c r="L875" s="7" t="s">
        <v>174</v>
      </c>
      <c r="M875" s="7" t="n">
        <v>5</v>
      </c>
      <c r="N875" s="27" t="n">
        <v>699</v>
      </c>
      <c r="O875" s="28" t="n">
        <v>0.3</v>
      </c>
      <c r="P875" s="27" t="n">
        <v>2446</v>
      </c>
      <c r="Q875" s="27" t="n">
        <v>1600</v>
      </c>
      <c r="R875" s="27" t="n">
        <v>846</v>
      </c>
      <c r="S875" s="7" t="s">
        <v>60</v>
      </c>
      <c r="T875" s="7" t="str">
        <f aca="false">IF(O875=0,"No discount",IF(O875&lt;=0.2,"Up to 20%","Above 20%"))</f>
        <v>Above 20%</v>
      </c>
    </row>
    <row r="876" customFormat="false" ht="15" hidden="false" customHeight="true" outlineLevel="0" collapsed="false">
      <c r="A876" s="7" t="s">
        <v>1567</v>
      </c>
      <c r="B876" s="26" t="n">
        <v>45952</v>
      </c>
      <c r="C876" s="26" t="n">
        <v>45959</v>
      </c>
      <c r="D876" s="7" t="s">
        <v>244</v>
      </c>
      <c r="E876" s="7" t="s">
        <v>245</v>
      </c>
      <c r="F876" s="7" t="s">
        <v>178</v>
      </c>
      <c r="G876" s="7" t="s">
        <v>206</v>
      </c>
      <c r="H876" s="7" t="s">
        <v>207</v>
      </c>
      <c r="I876" s="7" t="s">
        <v>192</v>
      </c>
      <c r="J876" s="7" t="s">
        <v>502</v>
      </c>
      <c r="K876" s="7" t="s">
        <v>526</v>
      </c>
      <c r="L876" s="7" t="s">
        <v>527</v>
      </c>
      <c r="M876" s="7" t="n">
        <v>1</v>
      </c>
      <c r="N876" s="27" t="n">
        <v>6499</v>
      </c>
      <c r="O876" s="28" t="n">
        <v>0.2</v>
      </c>
      <c r="P876" s="27" t="n">
        <v>5199</v>
      </c>
      <c r="Q876" s="27" t="n">
        <v>5000</v>
      </c>
      <c r="R876" s="27" t="n">
        <v>199</v>
      </c>
      <c r="S876" s="7" t="s">
        <v>60</v>
      </c>
      <c r="T876" s="7" t="str">
        <f aca="false">IF(O876=0,"No discount",IF(O876&lt;=0.2,"Up to 20%","Above 20%"))</f>
        <v>Up to 20%</v>
      </c>
    </row>
    <row r="877" customFormat="false" ht="15" hidden="false" customHeight="true" outlineLevel="0" collapsed="false">
      <c r="A877" s="7" t="s">
        <v>1568</v>
      </c>
      <c r="B877" s="26" t="n">
        <v>45952</v>
      </c>
      <c r="C877" s="26" t="n">
        <v>45954</v>
      </c>
      <c r="D877" s="7" t="s">
        <v>618</v>
      </c>
      <c r="E877" s="7" t="s">
        <v>619</v>
      </c>
      <c r="F877" s="7" t="s">
        <v>219</v>
      </c>
      <c r="G877" s="7" t="s">
        <v>169</v>
      </c>
      <c r="H877" s="7" t="s">
        <v>191</v>
      </c>
      <c r="I877" s="7" t="s">
        <v>171</v>
      </c>
      <c r="J877" s="7" t="s">
        <v>172</v>
      </c>
      <c r="K877" s="7" t="s">
        <v>173</v>
      </c>
      <c r="L877" s="7" t="s">
        <v>174</v>
      </c>
      <c r="M877" s="7" t="n">
        <v>2</v>
      </c>
      <c r="N877" s="27" t="n">
        <v>699</v>
      </c>
      <c r="O877" s="28" t="n">
        <v>0</v>
      </c>
      <c r="P877" s="27" t="n">
        <v>1398</v>
      </c>
      <c r="Q877" s="27" t="n">
        <v>640</v>
      </c>
      <c r="R877" s="27" t="n">
        <v>758</v>
      </c>
      <c r="S877" s="7" t="s">
        <v>60</v>
      </c>
      <c r="T877" s="7" t="str">
        <f aca="false">IF(O877=0,"No discount",IF(O877&lt;=0.2,"Up to 20%","Above 20%"))</f>
        <v>No discount</v>
      </c>
    </row>
    <row r="878" customFormat="false" ht="15" hidden="false" customHeight="true" outlineLevel="0" collapsed="false">
      <c r="A878" s="7" t="s">
        <v>1569</v>
      </c>
      <c r="B878" s="26" t="n">
        <v>45952</v>
      </c>
      <c r="C878" s="26" t="n">
        <v>45953</v>
      </c>
      <c r="D878" s="7" t="s">
        <v>1405</v>
      </c>
      <c r="E878" s="7" t="s">
        <v>1406</v>
      </c>
      <c r="F878" s="7" t="s">
        <v>178</v>
      </c>
      <c r="G878" s="7" t="s">
        <v>169</v>
      </c>
      <c r="H878" s="7" t="s">
        <v>191</v>
      </c>
      <c r="I878" s="7" t="s">
        <v>162</v>
      </c>
      <c r="J878" s="7" t="s">
        <v>325</v>
      </c>
      <c r="K878" s="7" t="s">
        <v>381</v>
      </c>
      <c r="L878" s="7" t="s">
        <v>382</v>
      </c>
      <c r="M878" s="7" t="n">
        <v>1</v>
      </c>
      <c r="N878" s="27" t="n">
        <v>1799</v>
      </c>
      <c r="O878" s="28" t="n">
        <v>0.2</v>
      </c>
      <c r="P878" s="27" t="n">
        <v>1439</v>
      </c>
      <c r="Q878" s="27" t="n">
        <v>950</v>
      </c>
      <c r="R878" s="27" t="n">
        <v>489</v>
      </c>
      <c r="S878" s="7" t="s">
        <v>60</v>
      </c>
      <c r="T878" s="7" t="str">
        <f aca="false">IF(O878=0,"No discount",IF(O878&lt;=0.2,"Up to 20%","Above 20%"))</f>
        <v>Up to 20%</v>
      </c>
    </row>
    <row r="879" customFormat="false" ht="15" hidden="false" customHeight="true" outlineLevel="0" collapsed="false">
      <c r="A879" s="7" t="s">
        <v>1570</v>
      </c>
      <c r="B879" s="26" t="n">
        <v>45952</v>
      </c>
      <c r="C879" s="26" t="n">
        <v>45959</v>
      </c>
      <c r="D879" s="7" t="s">
        <v>357</v>
      </c>
      <c r="E879" s="7" t="s">
        <v>358</v>
      </c>
      <c r="F879" s="7" t="s">
        <v>219</v>
      </c>
      <c r="G879" s="7" t="s">
        <v>160</v>
      </c>
      <c r="H879" s="7" t="s">
        <v>161</v>
      </c>
      <c r="I879" s="7" t="s">
        <v>199</v>
      </c>
      <c r="J879" s="7" t="s">
        <v>292</v>
      </c>
      <c r="K879" s="7" t="s">
        <v>293</v>
      </c>
      <c r="L879" s="7" t="s">
        <v>294</v>
      </c>
      <c r="M879" s="7" t="n">
        <v>1</v>
      </c>
      <c r="N879" s="27" t="n">
        <v>1599</v>
      </c>
      <c r="O879" s="28" t="n">
        <v>0</v>
      </c>
      <c r="P879" s="27" t="n">
        <v>1599</v>
      </c>
      <c r="Q879" s="27" t="n">
        <v>750</v>
      </c>
      <c r="R879" s="27" t="n">
        <v>849</v>
      </c>
      <c r="S879" s="7" t="s">
        <v>60</v>
      </c>
      <c r="T879" s="7" t="str">
        <f aca="false">IF(O879=0,"No discount",IF(O879&lt;=0.2,"Up to 20%","Above 20%"))</f>
        <v>No discount</v>
      </c>
    </row>
    <row r="880" customFormat="false" ht="15" hidden="false" customHeight="true" outlineLevel="0" collapsed="false">
      <c r="A880" s="7" t="s">
        <v>1571</v>
      </c>
      <c r="B880" s="26" t="n">
        <v>45952</v>
      </c>
      <c r="C880" s="26" t="n">
        <v>45953</v>
      </c>
      <c r="D880" s="7" t="s">
        <v>321</v>
      </c>
      <c r="E880" s="7" t="s">
        <v>322</v>
      </c>
      <c r="F880" s="7" t="s">
        <v>219</v>
      </c>
      <c r="G880" s="7" t="s">
        <v>323</v>
      </c>
      <c r="H880" s="7" t="s">
        <v>324</v>
      </c>
      <c r="I880" s="7" t="s">
        <v>199</v>
      </c>
      <c r="J880" s="7" t="s">
        <v>292</v>
      </c>
      <c r="K880" s="7" t="s">
        <v>293</v>
      </c>
      <c r="L880" s="7" t="s">
        <v>294</v>
      </c>
      <c r="M880" s="7" t="n">
        <v>1</v>
      </c>
      <c r="N880" s="27" t="n">
        <v>1599</v>
      </c>
      <c r="O880" s="28" t="n">
        <v>0.15</v>
      </c>
      <c r="P880" s="27" t="n">
        <v>1359</v>
      </c>
      <c r="Q880" s="27" t="n">
        <v>750</v>
      </c>
      <c r="R880" s="27" t="n">
        <v>609</v>
      </c>
      <c r="S880" s="7" t="s">
        <v>60</v>
      </c>
      <c r="T880" s="7" t="str">
        <f aca="false">IF(O880=0,"No discount",IF(O880&lt;=0.2,"Up to 20%","Above 20%"))</f>
        <v>Up to 20%</v>
      </c>
    </row>
    <row r="881" customFormat="false" ht="15" hidden="false" customHeight="true" outlineLevel="0" collapsed="false">
      <c r="A881" s="7" t="s">
        <v>1572</v>
      </c>
      <c r="B881" s="26" t="n">
        <v>45953</v>
      </c>
      <c r="C881" s="26" t="n">
        <v>45960</v>
      </c>
      <c r="D881" s="7" t="s">
        <v>1495</v>
      </c>
      <c r="E881" s="7" t="s">
        <v>1496</v>
      </c>
      <c r="F881" s="7" t="s">
        <v>159</v>
      </c>
      <c r="G881" s="7" t="s">
        <v>160</v>
      </c>
      <c r="H881" s="7" t="s">
        <v>269</v>
      </c>
      <c r="I881" s="7" t="s">
        <v>162</v>
      </c>
      <c r="J881" s="7" t="s">
        <v>185</v>
      </c>
      <c r="K881" s="7" t="s">
        <v>186</v>
      </c>
      <c r="L881" s="7" t="s">
        <v>187</v>
      </c>
      <c r="M881" s="7" t="n">
        <v>4</v>
      </c>
      <c r="N881" s="27" t="n">
        <v>3299</v>
      </c>
      <c r="O881" s="28" t="n">
        <v>0.1</v>
      </c>
      <c r="P881" s="27" t="n">
        <v>11876</v>
      </c>
      <c r="Q881" s="27" t="n">
        <v>7600</v>
      </c>
      <c r="R881" s="27" t="n">
        <v>4276</v>
      </c>
      <c r="S881" s="7" t="s">
        <v>60</v>
      </c>
      <c r="T881" s="7" t="str">
        <f aca="false">IF(O881=0,"No discount",IF(O881&lt;=0.2,"Up to 20%","Above 20%"))</f>
        <v>Up to 20%</v>
      </c>
    </row>
    <row r="882" customFormat="false" ht="15" hidden="false" customHeight="true" outlineLevel="0" collapsed="false">
      <c r="A882" s="7" t="s">
        <v>1573</v>
      </c>
      <c r="B882" s="26" t="n">
        <v>45953</v>
      </c>
      <c r="C882" s="26" t="n">
        <v>45955</v>
      </c>
      <c r="D882" s="7" t="s">
        <v>482</v>
      </c>
      <c r="E882" s="7" t="s">
        <v>483</v>
      </c>
      <c r="F882" s="7" t="s">
        <v>178</v>
      </c>
      <c r="G882" s="7" t="s">
        <v>160</v>
      </c>
      <c r="H882" s="7" t="s">
        <v>269</v>
      </c>
      <c r="I882" s="7" t="s">
        <v>162</v>
      </c>
      <c r="J882" s="7" t="s">
        <v>163</v>
      </c>
      <c r="K882" s="7" t="s">
        <v>507</v>
      </c>
      <c r="L882" s="7" t="s">
        <v>508</v>
      </c>
      <c r="M882" s="7" t="n">
        <v>2</v>
      </c>
      <c r="N882" s="27" t="n">
        <v>1199</v>
      </c>
      <c r="O882" s="28" t="n">
        <v>0</v>
      </c>
      <c r="P882" s="27" t="n">
        <v>2398</v>
      </c>
      <c r="Q882" s="27" t="n">
        <v>1200</v>
      </c>
      <c r="R882" s="27" t="n">
        <v>1198</v>
      </c>
      <c r="S882" s="7" t="s">
        <v>60</v>
      </c>
      <c r="T882" s="7" t="str">
        <f aca="false">IF(O882=0,"No discount",IF(O882&lt;=0.2,"Up to 20%","Above 20%"))</f>
        <v>No discount</v>
      </c>
    </row>
    <row r="883" customFormat="false" ht="15" hidden="false" customHeight="true" outlineLevel="0" collapsed="false">
      <c r="A883" s="7" t="s">
        <v>1574</v>
      </c>
      <c r="B883" s="26" t="n">
        <v>45953</v>
      </c>
      <c r="C883" s="26" t="n">
        <v>45956</v>
      </c>
      <c r="D883" s="7" t="s">
        <v>453</v>
      </c>
      <c r="E883" s="7" t="s">
        <v>454</v>
      </c>
      <c r="F883" s="7" t="s">
        <v>159</v>
      </c>
      <c r="G883" s="7" t="s">
        <v>160</v>
      </c>
      <c r="H883" s="7" t="s">
        <v>161</v>
      </c>
      <c r="I883" s="7" t="s">
        <v>208</v>
      </c>
      <c r="J883" s="7" t="s">
        <v>232</v>
      </c>
      <c r="K883" s="7" t="s">
        <v>1011</v>
      </c>
      <c r="L883" s="7" t="s">
        <v>1012</v>
      </c>
      <c r="M883" s="7" t="n">
        <v>1</v>
      </c>
      <c r="N883" s="27" t="n">
        <v>2499</v>
      </c>
      <c r="O883" s="28" t="n">
        <v>0.15</v>
      </c>
      <c r="P883" s="27" t="n">
        <v>2124</v>
      </c>
      <c r="Q883" s="27" t="n">
        <v>1500</v>
      </c>
      <c r="R883" s="27" t="n">
        <v>624</v>
      </c>
      <c r="S883" s="7" t="s">
        <v>60</v>
      </c>
      <c r="T883" s="7" t="str">
        <f aca="false">IF(O883=0,"No discount",IF(O883&lt;=0.2,"Up to 20%","Above 20%"))</f>
        <v>Up to 20%</v>
      </c>
    </row>
    <row r="884" customFormat="false" ht="15" hidden="false" customHeight="true" outlineLevel="0" collapsed="false">
      <c r="A884" s="7" t="s">
        <v>1575</v>
      </c>
      <c r="B884" s="26" t="n">
        <v>45953</v>
      </c>
      <c r="C884" s="26" t="n">
        <v>45955</v>
      </c>
      <c r="D884" s="7" t="s">
        <v>679</v>
      </c>
      <c r="E884" s="7" t="s">
        <v>680</v>
      </c>
      <c r="F884" s="7" t="s">
        <v>159</v>
      </c>
      <c r="G884" s="7" t="s">
        <v>169</v>
      </c>
      <c r="H884" s="7" t="s">
        <v>170</v>
      </c>
      <c r="I884" s="7" t="s">
        <v>192</v>
      </c>
      <c r="J884" s="7" t="s">
        <v>213</v>
      </c>
      <c r="K884" s="7" t="s">
        <v>264</v>
      </c>
      <c r="L884" s="7" t="s">
        <v>265</v>
      </c>
      <c r="M884" s="7" t="n">
        <v>3</v>
      </c>
      <c r="N884" s="27" t="n">
        <v>2499</v>
      </c>
      <c r="O884" s="28" t="n">
        <v>0.4</v>
      </c>
      <c r="P884" s="27" t="n">
        <v>4498</v>
      </c>
      <c r="Q884" s="27" t="n">
        <v>5100</v>
      </c>
      <c r="R884" s="27" t="n">
        <v>-602</v>
      </c>
      <c r="S884" s="7" t="s">
        <v>47</v>
      </c>
      <c r="T884" s="7" t="str">
        <f aca="false">IF(O884=0,"No discount",IF(O884&lt;=0.2,"Up to 20%","Above 20%"))</f>
        <v>Above 20%</v>
      </c>
    </row>
    <row r="885" customFormat="false" ht="15" hidden="false" customHeight="true" outlineLevel="0" collapsed="false">
      <c r="A885" s="7" t="s">
        <v>1576</v>
      </c>
      <c r="B885" s="26" t="n">
        <v>45953</v>
      </c>
      <c r="C885" s="26" t="n">
        <v>45954</v>
      </c>
      <c r="D885" s="7" t="s">
        <v>459</v>
      </c>
      <c r="E885" s="7" t="s">
        <v>460</v>
      </c>
      <c r="F885" s="7" t="s">
        <v>219</v>
      </c>
      <c r="G885" s="7" t="s">
        <v>160</v>
      </c>
      <c r="H885" s="7" t="s">
        <v>269</v>
      </c>
      <c r="I885" s="7" t="s">
        <v>282</v>
      </c>
      <c r="J885" s="7" t="s">
        <v>283</v>
      </c>
      <c r="K885" s="7" t="s">
        <v>284</v>
      </c>
      <c r="L885" s="7" t="s">
        <v>285</v>
      </c>
      <c r="M885" s="7" t="n">
        <v>5</v>
      </c>
      <c r="N885" s="27" t="n">
        <v>199</v>
      </c>
      <c r="O885" s="28" t="n">
        <v>0</v>
      </c>
      <c r="P885" s="27" t="n">
        <v>995</v>
      </c>
      <c r="Q885" s="27" t="n">
        <v>450</v>
      </c>
      <c r="R885" s="27" t="n">
        <v>545</v>
      </c>
      <c r="S885" s="7" t="s">
        <v>60</v>
      </c>
      <c r="T885" s="7" t="str">
        <f aca="false">IF(O885=0,"No discount",IF(O885&lt;=0.2,"Up to 20%","Above 20%"))</f>
        <v>No discount</v>
      </c>
    </row>
    <row r="886" customFormat="false" ht="15" hidden="false" customHeight="true" outlineLevel="0" collapsed="false">
      <c r="A886" s="7" t="s">
        <v>1577</v>
      </c>
      <c r="B886" s="26" t="n">
        <v>45954</v>
      </c>
      <c r="C886" s="26" t="n">
        <v>45957</v>
      </c>
      <c r="D886" s="7" t="s">
        <v>943</v>
      </c>
      <c r="E886" s="7" t="s">
        <v>944</v>
      </c>
      <c r="F886" s="7" t="s">
        <v>159</v>
      </c>
      <c r="G886" s="7" t="s">
        <v>160</v>
      </c>
      <c r="H886" s="7" t="s">
        <v>269</v>
      </c>
      <c r="I886" s="7" t="s">
        <v>171</v>
      </c>
      <c r="J886" s="7" t="s">
        <v>172</v>
      </c>
      <c r="K886" s="7" t="s">
        <v>173</v>
      </c>
      <c r="L886" s="7" t="s">
        <v>174</v>
      </c>
      <c r="M886" s="7" t="n">
        <v>3</v>
      </c>
      <c r="N886" s="27" t="n">
        <v>699</v>
      </c>
      <c r="O886" s="28" t="n">
        <v>0.05</v>
      </c>
      <c r="P886" s="27" t="n">
        <v>1992</v>
      </c>
      <c r="Q886" s="27" t="n">
        <v>960</v>
      </c>
      <c r="R886" s="27" t="n">
        <v>1032</v>
      </c>
      <c r="S886" s="7" t="s">
        <v>60</v>
      </c>
      <c r="T886" s="7" t="str">
        <f aca="false">IF(O886=0,"No discount",IF(O886&lt;=0.2,"Up to 20%","Above 20%"))</f>
        <v>Up to 20%</v>
      </c>
    </row>
    <row r="887" customFormat="false" ht="15" hidden="false" customHeight="true" outlineLevel="0" collapsed="false">
      <c r="A887" s="7" t="s">
        <v>1578</v>
      </c>
      <c r="B887" s="26" t="n">
        <v>45954</v>
      </c>
      <c r="C887" s="26" t="n">
        <v>45955</v>
      </c>
      <c r="D887" s="7" t="s">
        <v>545</v>
      </c>
      <c r="E887" s="7" t="s">
        <v>546</v>
      </c>
      <c r="F887" s="7" t="s">
        <v>219</v>
      </c>
      <c r="G887" s="7" t="s">
        <v>169</v>
      </c>
      <c r="H887" s="7" t="s">
        <v>179</v>
      </c>
      <c r="I887" s="7" t="s">
        <v>171</v>
      </c>
      <c r="J887" s="7" t="s">
        <v>304</v>
      </c>
      <c r="K887" s="7" t="s">
        <v>499</v>
      </c>
      <c r="L887" s="7" t="s">
        <v>500</v>
      </c>
      <c r="M887" s="7" t="n">
        <v>2</v>
      </c>
      <c r="N887" s="27" t="n">
        <v>5499</v>
      </c>
      <c r="O887" s="28" t="n">
        <v>0.3</v>
      </c>
      <c r="P887" s="27" t="n">
        <v>7699</v>
      </c>
      <c r="Q887" s="27" t="n">
        <v>7800</v>
      </c>
      <c r="R887" s="27" t="n">
        <v>-101</v>
      </c>
      <c r="S887" s="7" t="s">
        <v>60</v>
      </c>
      <c r="T887" s="7" t="str">
        <f aca="false">IF(O887=0,"No discount",IF(O887&lt;=0.2,"Up to 20%","Above 20%"))</f>
        <v>Above 20%</v>
      </c>
    </row>
    <row r="888" customFormat="false" ht="15" hidden="false" customHeight="true" outlineLevel="0" collapsed="false">
      <c r="A888" s="7" t="s">
        <v>1579</v>
      </c>
      <c r="B888" s="26" t="n">
        <v>45954</v>
      </c>
      <c r="C888" s="26" t="n">
        <v>45955</v>
      </c>
      <c r="D888" s="7" t="s">
        <v>656</v>
      </c>
      <c r="E888" s="7" t="s">
        <v>657</v>
      </c>
      <c r="F888" s="7" t="s">
        <v>219</v>
      </c>
      <c r="G888" s="7" t="s">
        <v>169</v>
      </c>
      <c r="H888" s="7" t="s">
        <v>170</v>
      </c>
      <c r="I888" s="7" t="s">
        <v>199</v>
      </c>
      <c r="J888" s="7" t="s">
        <v>200</v>
      </c>
      <c r="K888" s="7" t="s">
        <v>201</v>
      </c>
      <c r="L888" s="7" t="s">
        <v>202</v>
      </c>
      <c r="M888" s="7" t="n">
        <v>2</v>
      </c>
      <c r="N888" s="27" t="n">
        <v>399</v>
      </c>
      <c r="O888" s="28" t="n">
        <v>0.2</v>
      </c>
      <c r="P888" s="27" t="n">
        <v>638</v>
      </c>
      <c r="Q888" s="27" t="n">
        <v>320</v>
      </c>
      <c r="R888" s="27" t="n">
        <v>318</v>
      </c>
      <c r="S888" s="7" t="s">
        <v>60</v>
      </c>
      <c r="T888" s="7" t="str">
        <f aca="false">IF(O888=0,"No discount",IF(O888&lt;=0.2,"Up to 20%","Above 20%"))</f>
        <v>Up to 20%</v>
      </c>
    </row>
    <row r="889" customFormat="false" ht="15" hidden="false" customHeight="true" outlineLevel="0" collapsed="false">
      <c r="A889" s="7" t="s">
        <v>1580</v>
      </c>
      <c r="B889" s="26" t="n">
        <v>45954</v>
      </c>
      <c r="C889" s="26" t="n">
        <v>45961</v>
      </c>
      <c r="D889" s="7" t="s">
        <v>321</v>
      </c>
      <c r="E889" s="7" t="s">
        <v>322</v>
      </c>
      <c r="F889" s="7" t="s">
        <v>219</v>
      </c>
      <c r="G889" s="7" t="s">
        <v>323</v>
      </c>
      <c r="H889" s="7" t="s">
        <v>324</v>
      </c>
      <c r="I889" s="7" t="s">
        <v>171</v>
      </c>
      <c r="J889" s="7" t="s">
        <v>172</v>
      </c>
      <c r="K889" s="7" t="s">
        <v>593</v>
      </c>
      <c r="L889" s="7" t="s">
        <v>594</v>
      </c>
      <c r="M889" s="7" t="n">
        <v>1</v>
      </c>
      <c r="N889" s="27" t="n">
        <v>1199</v>
      </c>
      <c r="O889" s="28" t="n">
        <v>0</v>
      </c>
      <c r="P889" s="27" t="n">
        <v>1199</v>
      </c>
      <c r="Q889" s="27" t="n">
        <v>650</v>
      </c>
      <c r="R889" s="27" t="n">
        <v>549</v>
      </c>
      <c r="S889" s="7" t="s">
        <v>60</v>
      </c>
      <c r="T889" s="7" t="str">
        <f aca="false">IF(O889=0,"No discount",IF(O889&lt;=0.2,"Up to 20%","Above 20%"))</f>
        <v>No discount</v>
      </c>
    </row>
    <row r="890" customFormat="false" ht="15" hidden="false" customHeight="true" outlineLevel="0" collapsed="false">
      <c r="A890" s="7" t="s">
        <v>1581</v>
      </c>
      <c r="B890" s="26" t="n">
        <v>45954</v>
      </c>
      <c r="C890" s="26" t="n">
        <v>45955</v>
      </c>
      <c r="D890" s="7" t="s">
        <v>1582</v>
      </c>
      <c r="E890" s="7" t="s">
        <v>1583</v>
      </c>
      <c r="F890" s="7" t="s">
        <v>159</v>
      </c>
      <c r="G890" s="7" t="s">
        <v>160</v>
      </c>
      <c r="H890" s="7" t="s">
        <v>161</v>
      </c>
      <c r="I890" s="7" t="s">
        <v>208</v>
      </c>
      <c r="J890" s="7" t="s">
        <v>232</v>
      </c>
      <c r="K890" s="7" t="s">
        <v>233</v>
      </c>
      <c r="L890" s="7" t="s">
        <v>234</v>
      </c>
      <c r="M890" s="7" t="n">
        <v>1</v>
      </c>
      <c r="N890" s="27" t="n">
        <v>7999</v>
      </c>
      <c r="O890" s="28" t="n">
        <v>0</v>
      </c>
      <c r="P890" s="27" t="n">
        <v>7999</v>
      </c>
      <c r="Q890" s="27" t="n">
        <v>5600</v>
      </c>
      <c r="R890" s="27" t="n">
        <v>2399</v>
      </c>
      <c r="S890" s="7" t="s">
        <v>60</v>
      </c>
      <c r="T890" s="7" t="str">
        <f aca="false">IF(O890=0,"No discount",IF(O890&lt;=0.2,"Up to 20%","Above 20%"))</f>
        <v>No discount</v>
      </c>
    </row>
    <row r="891" customFormat="false" ht="15" hidden="false" customHeight="true" outlineLevel="0" collapsed="false">
      <c r="A891" s="7" t="s">
        <v>1584</v>
      </c>
      <c r="B891" s="26" t="n">
        <v>45954</v>
      </c>
      <c r="C891" s="26" t="n">
        <v>45955</v>
      </c>
      <c r="D891" s="7" t="s">
        <v>535</v>
      </c>
      <c r="E891" s="7" t="s">
        <v>536</v>
      </c>
      <c r="F891" s="7" t="s">
        <v>159</v>
      </c>
      <c r="G891" s="7" t="s">
        <v>206</v>
      </c>
      <c r="H891" s="7" t="s">
        <v>207</v>
      </c>
      <c r="I891" s="7" t="s">
        <v>162</v>
      </c>
      <c r="J891" s="7" t="s">
        <v>185</v>
      </c>
      <c r="K891" s="7" t="s">
        <v>186</v>
      </c>
      <c r="L891" s="7" t="s">
        <v>187</v>
      </c>
      <c r="M891" s="7" t="n">
        <v>4</v>
      </c>
      <c r="N891" s="27" t="n">
        <v>3299</v>
      </c>
      <c r="O891" s="28" t="n">
        <v>0.2</v>
      </c>
      <c r="P891" s="27" t="n">
        <v>10557</v>
      </c>
      <c r="Q891" s="27" t="n">
        <v>7600</v>
      </c>
      <c r="R891" s="27" t="n">
        <v>2957</v>
      </c>
      <c r="S891" s="7" t="s">
        <v>60</v>
      </c>
      <c r="T891" s="7" t="str">
        <f aca="false">IF(O891=0,"No discount",IF(O891&lt;=0.2,"Up to 20%","Above 20%"))</f>
        <v>Up to 20%</v>
      </c>
    </row>
    <row r="892" customFormat="false" ht="15" hidden="false" customHeight="true" outlineLevel="0" collapsed="false">
      <c r="A892" s="7" t="s">
        <v>1585</v>
      </c>
      <c r="B892" s="26" t="n">
        <v>45955</v>
      </c>
      <c r="C892" s="26" t="n">
        <v>45962</v>
      </c>
      <c r="D892" s="7" t="s">
        <v>369</v>
      </c>
      <c r="E892" s="7" t="s">
        <v>370</v>
      </c>
      <c r="F892" s="7" t="s">
        <v>159</v>
      </c>
      <c r="G892" s="7" t="s">
        <v>169</v>
      </c>
      <c r="H892" s="7" t="s">
        <v>191</v>
      </c>
      <c r="I892" s="7" t="s">
        <v>192</v>
      </c>
      <c r="J892" s="7" t="s">
        <v>213</v>
      </c>
      <c r="K892" s="7" t="s">
        <v>214</v>
      </c>
      <c r="L892" s="7" t="s">
        <v>215</v>
      </c>
      <c r="M892" s="7" t="n">
        <v>4</v>
      </c>
      <c r="N892" s="27" t="n">
        <v>5999</v>
      </c>
      <c r="O892" s="28" t="n">
        <v>0.2</v>
      </c>
      <c r="P892" s="27" t="n">
        <v>19197</v>
      </c>
      <c r="Q892" s="27" t="n">
        <v>18400</v>
      </c>
      <c r="R892" s="27" t="n">
        <v>797</v>
      </c>
      <c r="S892" s="7" t="s">
        <v>60</v>
      </c>
      <c r="T892" s="7" t="str">
        <f aca="false">IF(O892=0,"No discount",IF(O892&lt;=0.2,"Up to 20%","Above 20%"))</f>
        <v>Up to 20%</v>
      </c>
    </row>
    <row r="893" customFormat="false" ht="15" hidden="false" customHeight="true" outlineLevel="0" collapsed="false">
      <c r="A893" s="7" t="s">
        <v>1586</v>
      </c>
      <c r="B893" s="26" t="n">
        <v>45955</v>
      </c>
      <c r="C893" s="26" t="n">
        <v>45960</v>
      </c>
      <c r="D893" s="7" t="s">
        <v>267</v>
      </c>
      <c r="E893" s="7" t="s">
        <v>268</v>
      </c>
      <c r="F893" s="7" t="s">
        <v>159</v>
      </c>
      <c r="G893" s="7" t="s">
        <v>160</v>
      </c>
      <c r="H893" s="7" t="s">
        <v>269</v>
      </c>
      <c r="I893" s="7" t="s">
        <v>208</v>
      </c>
      <c r="J893" s="7" t="s">
        <v>232</v>
      </c>
      <c r="K893" s="7" t="s">
        <v>233</v>
      </c>
      <c r="L893" s="7" t="s">
        <v>234</v>
      </c>
      <c r="M893" s="7" t="n">
        <v>2</v>
      </c>
      <c r="N893" s="27" t="n">
        <v>7999</v>
      </c>
      <c r="O893" s="28" t="n">
        <v>0.05</v>
      </c>
      <c r="P893" s="27" t="n">
        <v>15198</v>
      </c>
      <c r="Q893" s="27" t="n">
        <v>11200</v>
      </c>
      <c r="R893" s="27" t="n">
        <v>3998</v>
      </c>
      <c r="S893" s="7" t="s">
        <v>60</v>
      </c>
      <c r="T893" s="7" t="str">
        <f aca="false">IF(O893=0,"No discount",IF(O893&lt;=0.2,"Up to 20%","Above 20%"))</f>
        <v>Up to 20%</v>
      </c>
    </row>
    <row r="894" customFormat="false" ht="15" hidden="false" customHeight="true" outlineLevel="0" collapsed="false">
      <c r="A894" s="7" t="s">
        <v>1587</v>
      </c>
      <c r="B894" s="26" t="n">
        <v>45955</v>
      </c>
      <c r="C894" s="26" t="n">
        <v>45960</v>
      </c>
      <c r="D894" s="7" t="s">
        <v>330</v>
      </c>
      <c r="E894" s="7" t="s">
        <v>331</v>
      </c>
      <c r="F894" s="7" t="s">
        <v>219</v>
      </c>
      <c r="G894" s="7" t="s">
        <v>206</v>
      </c>
      <c r="H894" s="7" t="s">
        <v>207</v>
      </c>
      <c r="I894" s="7" t="s">
        <v>199</v>
      </c>
      <c r="J894" s="7" t="s">
        <v>223</v>
      </c>
      <c r="K894" s="7" t="s">
        <v>246</v>
      </c>
      <c r="L894" s="7" t="s">
        <v>247</v>
      </c>
      <c r="M894" s="7" t="n">
        <v>1</v>
      </c>
      <c r="N894" s="27" t="n">
        <v>599</v>
      </c>
      <c r="O894" s="28" t="n">
        <v>0.15</v>
      </c>
      <c r="P894" s="27" t="n">
        <v>509</v>
      </c>
      <c r="Q894" s="27" t="n">
        <v>270</v>
      </c>
      <c r="R894" s="27" t="n">
        <v>239</v>
      </c>
      <c r="S894" s="7" t="s">
        <v>60</v>
      </c>
      <c r="T894" s="7" t="str">
        <f aca="false">IF(O894=0,"No discount",IF(O894&lt;=0.2,"Up to 20%","Above 20%"))</f>
        <v>Up to 20%</v>
      </c>
    </row>
    <row r="895" customFormat="false" ht="15" hidden="false" customHeight="true" outlineLevel="0" collapsed="false">
      <c r="A895" s="7" t="s">
        <v>1588</v>
      </c>
      <c r="B895" s="26" t="n">
        <v>45955</v>
      </c>
      <c r="C895" s="26" t="n">
        <v>45958</v>
      </c>
      <c r="D895" s="7" t="s">
        <v>197</v>
      </c>
      <c r="E895" s="7" t="s">
        <v>198</v>
      </c>
      <c r="F895" s="7" t="s">
        <v>178</v>
      </c>
      <c r="G895" s="7" t="s">
        <v>169</v>
      </c>
      <c r="H895" s="7" t="s">
        <v>191</v>
      </c>
      <c r="I895" s="7" t="s">
        <v>208</v>
      </c>
      <c r="J895" s="7" t="s">
        <v>209</v>
      </c>
      <c r="K895" s="7" t="s">
        <v>210</v>
      </c>
      <c r="L895" s="7" t="s">
        <v>211</v>
      </c>
      <c r="M895" s="7" t="n">
        <v>1</v>
      </c>
      <c r="N895" s="27" t="n">
        <v>3499</v>
      </c>
      <c r="O895" s="28" t="n">
        <v>0</v>
      </c>
      <c r="P895" s="27" t="n">
        <v>3499</v>
      </c>
      <c r="Q895" s="27" t="n">
        <v>2200</v>
      </c>
      <c r="R895" s="27" t="n">
        <v>1299</v>
      </c>
      <c r="S895" s="7" t="s">
        <v>60</v>
      </c>
      <c r="T895" s="7" t="str">
        <f aca="false">IF(O895=0,"No discount",IF(O895&lt;=0.2,"Up to 20%","Above 20%"))</f>
        <v>No discount</v>
      </c>
    </row>
    <row r="896" customFormat="false" ht="15" hidden="false" customHeight="true" outlineLevel="0" collapsed="false">
      <c r="A896" s="7" t="s">
        <v>1589</v>
      </c>
      <c r="B896" s="26" t="n">
        <v>45955</v>
      </c>
      <c r="C896" s="26" t="n">
        <v>45956</v>
      </c>
      <c r="D896" s="7" t="s">
        <v>459</v>
      </c>
      <c r="E896" s="7" t="s">
        <v>460</v>
      </c>
      <c r="F896" s="7" t="s">
        <v>219</v>
      </c>
      <c r="G896" s="7" t="s">
        <v>160</v>
      </c>
      <c r="H896" s="7" t="s">
        <v>269</v>
      </c>
      <c r="I896" s="7" t="s">
        <v>208</v>
      </c>
      <c r="J896" s="7" t="s">
        <v>209</v>
      </c>
      <c r="K896" s="7" t="s">
        <v>637</v>
      </c>
      <c r="L896" s="7" t="s">
        <v>638</v>
      </c>
      <c r="M896" s="7" t="n">
        <v>1</v>
      </c>
      <c r="N896" s="27" t="n">
        <v>899</v>
      </c>
      <c r="O896" s="28" t="n">
        <v>0.05</v>
      </c>
      <c r="P896" s="27" t="n">
        <v>854</v>
      </c>
      <c r="Q896" s="27" t="n">
        <v>480</v>
      </c>
      <c r="R896" s="27" t="n">
        <v>374</v>
      </c>
      <c r="S896" s="7" t="s">
        <v>60</v>
      </c>
      <c r="T896" s="7" t="str">
        <f aca="false">IF(O896=0,"No discount",IF(O896&lt;=0.2,"Up to 20%","Above 20%"))</f>
        <v>Up to 20%</v>
      </c>
    </row>
    <row r="897" customFormat="false" ht="15" hidden="false" customHeight="true" outlineLevel="0" collapsed="false">
      <c r="A897" s="7" t="s">
        <v>1590</v>
      </c>
      <c r="B897" s="26" t="n">
        <v>45956</v>
      </c>
      <c r="C897" s="26" t="n">
        <v>45963</v>
      </c>
      <c r="D897" s="7" t="s">
        <v>197</v>
      </c>
      <c r="E897" s="7" t="s">
        <v>198</v>
      </c>
      <c r="F897" s="7" t="s">
        <v>178</v>
      </c>
      <c r="G897" s="7" t="s">
        <v>169</v>
      </c>
      <c r="H897" s="7" t="s">
        <v>191</v>
      </c>
      <c r="I897" s="7" t="s">
        <v>208</v>
      </c>
      <c r="J897" s="7" t="s">
        <v>421</v>
      </c>
      <c r="K897" s="7" t="s">
        <v>422</v>
      </c>
      <c r="L897" s="7" t="s">
        <v>423</v>
      </c>
      <c r="M897" s="7" t="n">
        <v>3</v>
      </c>
      <c r="N897" s="27" t="n">
        <v>5999</v>
      </c>
      <c r="O897" s="28" t="n">
        <v>0.05</v>
      </c>
      <c r="P897" s="27" t="n">
        <v>17097</v>
      </c>
      <c r="Q897" s="27" t="n">
        <v>12900</v>
      </c>
      <c r="R897" s="27" t="n">
        <v>4197</v>
      </c>
      <c r="S897" s="7" t="s">
        <v>60</v>
      </c>
      <c r="T897" s="7" t="str">
        <f aca="false">IF(O897=0,"No discount",IF(O897&lt;=0.2,"Up to 20%","Above 20%"))</f>
        <v>Up to 20%</v>
      </c>
    </row>
    <row r="898" customFormat="false" ht="15" hidden="false" customHeight="true" outlineLevel="0" collapsed="false">
      <c r="A898" s="7" t="s">
        <v>1591</v>
      </c>
      <c r="B898" s="26" t="n">
        <v>45956</v>
      </c>
      <c r="C898" s="26" t="n">
        <v>45962</v>
      </c>
      <c r="D898" s="7" t="s">
        <v>1592</v>
      </c>
      <c r="E898" s="7" t="s">
        <v>1593</v>
      </c>
      <c r="F898" s="7" t="s">
        <v>159</v>
      </c>
      <c r="G898" s="7" t="s">
        <v>323</v>
      </c>
      <c r="H898" s="7" t="s">
        <v>324</v>
      </c>
      <c r="I898" s="7" t="s">
        <v>171</v>
      </c>
      <c r="J898" s="7" t="s">
        <v>314</v>
      </c>
      <c r="K898" s="7" t="s">
        <v>315</v>
      </c>
      <c r="L898" s="7" t="s">
        <v>316</v>
      </c>
      <c r="M898" s="7" t="n">
        <v>1</v>
      </c>
      <c r="N898" s="27" t="n">
        <v>1299</v>
      </c>
      <c r="O898" s="28" t="n">
        <v>0.2</v>
      </c>
      <c r="P898" s="27" t="n">
        <v>1039</v>
      </c>
      <c r="Q898" s="27" t="n">
        <v>700</v>
      </c>
      <c r="R898" s="27" t="n">
        <v>339</v>
      </c>
      <c r="S898" s="7" t="s">
        <v>60</v>
      </c>
      <c r="T898" s="7" t="str">
        <f aca="false">IF(O898=0,"No discount",IF(O898&lt;=0.2,"Up to 20%","Above 20%"))</f>
        <v>Up to 20%</v>
      </c>
    </row>
    <row r="899" customFormat="false" ht="15" hidden="false" customHeight="true" outlineLevel="0" collapsed="false">
      <c r="A899" s="7" t="s">
        <v>1594</v>
      </c>
      <c r="B899" s="26" t="n">
        <v>45956</v>
      </c>
      <c r="C899" s="26" t="n">
        <v>45960</v>
      </c>
      <c r="D899" s="7" t="s">
        <v>244</v>
      </c>
      <c r="E899" s="7" t="s">
        <v>245</v>
      </c>
      <c r="F899" s="7" t="s">
        <v>178</v>
      </c>
      <c r="G899" s="7" t="s">
        <v>206</v>
      </c>
      <c r="H899" s="7" t="s">
        <v>207</v>
      </c>
      <c r="I899" s="7" t="s">
        <v>192</v>
      </c>
      <c r="J899" s="7" t="s">
        <v>213</v>
      </c>
      <c r="K899" s="7" t="s">
        <v>214</v>
      </c>
      <c r="L899" s="7" t="s">
        <v>215</v>
      </c>
      <c r="M899" s="7" t="n">
        <v>3</v>
      </c>
      <c r="N899" s="27" t="n">
        <v>5999</v>
      </c>
      <c r="O899" s="28" t="n">
        <v>0</v>
      </c>
      <c r="P899" s="27" t="n">
        <v>17997</v>
      </c>
      <c r="Q899" s="27" t="n">
        <v>13800</v>
      </c>
      <c r="R899" s="27" t="n">
        <v>4197</v>
      </c>
      <c r="S899" s="7" t="s">
        <v>47</v>
      </c>
      <c r="T899" s="7" t="str">
        <f aca="false">IF(O899=0,"No discount",IF(O899&lt;=0.2,"Up to 20%","Above 20%"))</f>
        <v>No discount</v>
      </c>
    </row>
    <row r="900" customFormat="false" ht="15" hidden="false" customHeight="true" outlineLevel="0" collapsed="false">
      <c r="A900" s="7" t="s">
        <v>1595</v>
      </c>
      <c r="B900" s="26" t="n">
        <v>45957</v>
      </c>
      <c r="C900" s="26" t="n">
        <v>45958</v>
      </c>
      <c r="D900" s="7" t="s">
        <v>375</v>
      </c>
      <c r="E900" s="7" t="s">
        <v>376</v>
      </c>
      <c r="F900" s="7" t="s">
        <v>159</v>
      </c>
      <c r="G900" s="7" t="s">
        <v>160</v>
      </c>
      <c r="H900" s="7" t="s">
        <v>269</v>
      </c>
      <c r="I900" s="7" t="s">
        <v>199</v>
      </c>
      <c r="J900" s="7" t="s">
        <v>292</v>
      </c>
      <c r="K900" s="7" t="s">
        <v>293</v>
      </c>
      <c r="L900" s="7" t="s">
        <v>294</v>
      </c>
      <c r="M900" s="7" t="n">
        <v>2</v>
      </c>
      <c r="N900" s="27" t="n">
        <v>1599</v>
      </c>
      <c r="O900" s="28" t="n">
        <v>0</v>
      </c>
      <c r="P900" s="27" t="n">
        <v>3198</v>
      </c>
      <c r="Q900" s="27" t="n">
        <v>1500</v>
      </c>
      <c r="R900" s="27" t="n">
        <v>1698</v>
      </c>
      <c r="S900" s="7" t="s">
        <v>60</v>
      </c>
      <c r="T900" s="7" t="str">
        <f aca="false">IF(O900=0,"No discount",IF(O900&lt;=0.2,"Up to 20%","Above 20%"))</f>
        <v>No discount</v>
      </c>
    </row>
    <row r="901" customFormat="false" ht="15" hidden="false" customHeight="true" outlineLevel="0" collapsed="false">
      <c r="A901" s="7" t="s">
        <v>1596</v>
      </c>
      <c r="B901" s="26" t="n">
        <v>45957</v>
      </c>
      <c r="C901" s="26" t="n">
        <v>45963</v>
      </c>
      <c r="D901" s="7" t="s">
        <v>330</v>
      </c>
      <c r="E901" s="7" t="s">
        <v>331</v>
      </c>
      <c r="F901" s="7" t="s">
        <v>219</v>
      </c>
      <c r="G901" s="7" t="s">
        <v>206</v>
      </c>
      <c r="H901" s="7" t="s">
        <v>207</v>
      </c>
      <c r="I901" s="7" t="s">
        <v>171</v>
      </c>
      <c r="J901" s="7" t="s">
        <v>314</v>
      </c>
      <c r="K901" s="7" t="s">
        <v>315</v>
      </c>
      <c r="L901" s="7" t="s">
        <v>316</v>
      </c>
      <c r="M901" s="7" t="n">
        <v>3</v>
      </c>
      <c r="N901" s="27" t="n">
        <v>1299</v>
      </c>
      <c r="O901" s="28" t="n">
        <v>0</v>
      </c>
      <c r="P901" s="27" t="n">
        <v>3897</v>
      </c>
      <c r="Q901" s="27" t="n">
        <v>2100</v>
      </c>
      <c r="R901" s="27" t="n">
        <v>1797</v>
      </c>
      <c r="S901" s="7" t="s">
        <v>60</v>
      </c>
      <c r="T901" s="7" t="str">
        <f aca="false">IF(O901=0,"No discount",IF(O901&lt;=0.2,"Up to 20%","Above 20%"))</f>
        <v>No discount</v>
      </c>
    </row>
    <row r="902" customFormat="false" ht="15" hidden="false" customHeight="true" outlineLevel="0" collapsed="false">
      <c r="A902" s="7" t="s">
        <v>1597</v>
      </c>
      <c r="B902" s="26" t="n">
        <v>45957</v>
      </c>
      <c r="C902" s="26" t="n">
        <v>45958</v>
      </c>
      <c r="D902" s="7" t="s">
        <v>781</v>
      </c>
      <c r="E902" s="7" t="s">
        <v>782</v>
      </c>
      <c r="F902" s="7" t="s">
        <v>219</v>
      </c>
      <c r="G902" s="7" t="s">
        <v>160</v>
      </c>
      <c r="H902" s="7" t="s">
        <v>269</v>
      </c>
      <c r="I902" s="7" t="s">
        <v>192</v>
      </c>
      <c r="J902" s="7" t="s">
        <v>213</v>
      </c>
      <c r="K902" s="7" t="s">
        <v>264</v>
      </c>
      <c r="L902" s="7" t="s">
        <v>265</v>
      </c>
      <c r="M902" s="7" t="n">
        <v>3</v>
      </c>
      <c r="N902" s="27" t="n">
        <v>2499</v>
      </c>
      <c r="O902" s="28" t="n">
        <v>0.2</v>
      </c>
      <c r="P902" s="27" t="n">
        <v>5998</v>
      </c>
      <c r="Q902" s="27" t="n">
        <v>5100</v>
      </c>
      <c r="R902" s="27" t="n">
        <v>898</v>
      </c>
      <c r="S902" s="7" t="s">
        <v>47</v>
      </c>
      <c r="T902" s="7" t="str">
        <f aca="false">IF(O902=0,"No discount",IF(O902&lt;=0.2,"Up to 20%","Above 20%"))</f>
        <v>Up to 20%</v>
      </c>
    </row>
    <row r="903" customFormat="false" ht="15" hidden="false" customHeight="true" outlineLevel="0" collapsed="false">
      <c r="A903" s="7" t="s">
        <v>1598</v>
      </c>
      <c r="B903" s="26" t="n">
        <v>45957</v>
      </c>
      <c r="C903" s="26" t="n">
        <v>45961</v>
      </c>
      <c r="D903" s="7" t="s">
        <v>351</v>
      </c>
      <c r="E903" s="7" t="s">
        <v>352</v>
      </c>
      <c r="F903" s="7" t="s">
        <v>178</v>
      </c>
      <c r="G903" s="7" t="s">
        <v>169</v>
      </c>
      <c r="H903" s="7" t="s">
        <v>179</v>
      </c>
      <c r="I903" s="7" t="s">
        <v>208</v>
      </c>
      <c r="J903" s="7" t="s">
        <v>232</v>
      </c>
      <c r="K903" s="7" t="s">
        <v>233</v>
      </c>
      <c r="L903" s="7" t="s">
        <v>234</v>
      </c>
      <c r="M903" s="7" t="n">
        <v>1</v>
      </c>
      <c r="N903" s="27" t="n">
        <v>7999</v>
      </c>
      <c r="O903" s="28" t="n">
        <v>0</v>
      </c>
      <c r="P903" s="27" t="n">
        <v>7999</v>
      </c>
      <c r="Q903" s="27" t="n">
        <v>5600</v>
      </c>
      <c r="R903" s="27" t="n">
        <v>2399</v>
      </c>
      <c r="S903" s="7" t="s">
        <v>60</v>
      </c>
      <c r="T903" s="7" t="str">
        <f aca="false">IF(O903=0,"No discount",IF(O903&lt;=0.2,"Up to 20%","Above 20%"))</f>
        <v>No discount</v>
      </c>
    </row>
    <row r="904" customFormat="false" ht="15" hidden="false" customHeight="true" outlineLevel="0" collapsed="false">
      <c r="A904" s="7" t="s">
        <v>1599</v>
      </c>
      <c r="B904" s="26" t="n">
        <v>45957</v>
      </c>
      <c r="C904" s="26" t="n">
        <v>45961</v>
      </c>
      <c r="D904" s="7" t="s">
        <v>318</v>
      </c>
      <c r="E904" s="7" t="s">
        <v>319</v>
      </c>
      <c r="F904" s="7" t="s">
        <v>219</v>
      </c>
      <c r="G904" s="7" t="s">
        <v>160</v>
      </c>
      <c r="H904" s="7" t="s">
        <v>263</v>
      </c>
      <c r="I904" s="7" t="s">
        <v>192</v>
      </c>
      <c r="J904" s="7" t="s">
        <v>213</v>
      </c>
      <c r="K904" s="7" t="s">
        <v>214</v>
      </c>
      <c r="L904" s="7" t="s">
        <v>215</v>
      </c>
      <c r="M904" s="7" t="n">
        <v>1</v>
      </c>
      <c r="N904" s="27" t="n">
        <v>5999</v>
      </c>
      <c r="O904" s="28" t="n">
        <v>0.3</v>
      </c>
      <c r="P904" s="27" t="n">
        <v>4199</v>
      </c>
      <c r="Q904" s="27" t="n">
        <v>4600</v>
      </c>
      <c r="R904" s="27" t="n">
        <v>-401</v>
      </c>
      <c r="S904" s="7" t="s">
        <v>60</v>
      </c>
      <c r="T904" s="7" t="str">
        <f aca="false">IF(O904=0,"No discount",IF(O904&lt;=0.2,"Up to 20%","Above 20%"))</f>
        <v>Above 20%</v>
      </c>
    </row>
    <row r="905" customFormat="false" ht="15" hidden="false" customHeight="true" outlineLevel="0" collapsed="false">
      <c r="A905" s="7" t="s">
        <v>1600</v>
      </c>
      <c r="B905" s="26" t="n">
        <v>45957</v>
      </c>
      <c r="C905" s="26" t="n">
        <v>45962</v>
      </c>
      <c r="D905" s="7" t="s">
        <v>236</v>
      </c>
      <c r="E905" s="7" t="s">
        <v>237</v>
      </c>
      <c r="F905" s="7" t="s">
        <v>219</v>
      </c>
      <c r="G905" s="7" t="s">
        <v>169</v>
      </c>
      <c r="H905" s="7" t="s">
        <v>170</v>
      </c>
      <c r="I905" s="7" t="s">
        <v>199</v>
      </c>
      <c r="J905" s="7" t="s">
        <v>292</v>
      </c>
      <c r="K905" s="7" t="s">
        <v>293</v>
      </c>
      <c r="L905" s="7" t="s">
        <v>294</v>
      </c>
      <c r="M905" s="7" t="n">
        <v>2</v>
      </c>
      <c r="N905" s="27" t="n">
        <v>1599</v>
      </c>
      <c r="O905" s="28" t="n">
        <v>0.3</v>
      </c>
      <c r="P905" s="27" t="n">
        <v>2239</v>
      </c>
      <c r="Q905" s="27" t="n">
        <v>1500</v>
      </c>
      <c r="R905" s="27" t="n">
        <v>739</v>
      </c>
      <c r="S905" s="7" t="s">
        <v>60</v>
      </c>
      <c r="T905" s="7" t="str">
        <f aca="false">IF(O905=0,"No discount",IF(O905&lt;=0.2,"Up to 20%","Above 20%"))</f>
        <v>Above 20%</v>
      </c>
    </row>
    <row r="906" customFormat="false" ht="15" hidden="false" customHeight="true" outlineLevel="0" collapsed="false">
      <c r="A906" s="7" t="s">
        <v>1601</v>
      </c>
      <c r="B906" s="26" t="n">
        <v>45957</v>
      </c>
      <c r="C906" s="26" t="n">
        <v>45959</v>
      </c>
      <c r="D906" s="7" t="s">
        <v>613</v>
      </c>
      <c r="E906" s="7" t="s">
        <v>614</v>
      </c>
      <c r="F906" s="7" t="s">
        <v>219</v>
      </c>
      <c r="G906" s="7" t="s">
        <v>169</v>
      </c>
      <c r="H906" s="7" t="s">
        <v>191</v>
      </c>
      <c r="I906" s="7" t="s">
        <v>282</v>
      </c>
      <c r="J906" s="7" t="s">
        <v>387</v>
      </c>
      <c r="K906" s="7" t="s">
        <v>388</v>
      </c>
      <c r="L906" s="7" t="s">
        <v>389</v>
      </c>
      <c r="M906" s="7" t="n">
        <v>2</v>
      </c>
      <c r="N906" s="27" t="n">
        <v>1299</v>
      </c>
      <c r="O906" s="28" t="n">
        <v>0.1</v>
      </c>
      <c r="P906" s="27" t="n">
        <v>2338</v>
      </c>
      <c r="Q906" s="27" t="n">
        <v>1560</v>
      </c>
      <c r="R906" s="27" t="n">
        <v>778</v>
      </c>
      <c r="S906" s="7" t="s">
        <v>60</v>
      </c>
      <c r="T906" s="7" t="str">
        <f aca="false">IF(O906=0,"No discount",IF(O906&lt;=0.2,"Up to 20%","Above 20%"))</f>
        <v>Up to 20%</v>
      </c>
    </row>
    <row r="907" customFormat="false" ht="15" hidden="false" customHeight="true" outlineLevel="0" collapsed="false">
      <c r="A907" s="7" t="s">
        <v>1602</v>
      </c>
      <c r="B907" s="26" t="n">
        <v>45958</v>
      </c>
      <c r="C907" s="26" t="n">
        <v>45965</v>
      </c>
      <c r="D907" s="7" t="s">
        <v>308</v>
      </c>
      <c r="E907" s="7" t="s">
        <v>309</v>
      </c>
      <c r="F907" s="7" t="s">
        <v>159</v>
      </c>
      <c r="G907" s="7" t="s">
        <v>169</v>
      </c>
      <c r="H907" s="7" t="s">
        <v>179</v>
      </c>
      <c r="I907" s="7" t="s">
        <v>162</v>
      </c>
      <c r="J907" s="7" t="s">
        <v>185</v>
      </c>
      <c r="K907" s="7" t="s">
        <v>186</v>
      </c>
      <c r="L907" s="7" t="s">
        <v>187</v>
      </c>
      <c r="M907" s="7" t="n">
        <v>1</v>
      </c>
      <c r="N907" s="27" t="n">
        <v>3299</v>
      </c>
      <c r="O907" s="28" t="n">
        <v>0.3</v>
      </c>
      <c r="P907" s="27" t="n">
        <v>2309</v>
      </c>
      <c r="Q907" s="27" t="n">
        <v>1900</v>
      </c>
      <c r="R907" s="27" t="n">
        <v>409</v>
      </c>
      <c r="S907" s="7" t="s">
        <v>60</v>
      </c>
      <c r="T907" s="7" t="str">
        <f aca="false">IF(O907=0,"No discount",IF(O907&lt;=0.2,"Up to 20%","Above 20%"))</f>
        <v>Above 20%</v>
      </c>
    </row>
    <row r="908" customFormat="false" ht="15" hidden="false" customHeight="true" outlineLevel="0" collapsed="false">
      <c r="A908" s="7" t="s">
        <v>1603</v>
      </c>
      <c r="B908" s="26" t="n">
        <v>45958</v>
      </c>
      <c r="C908" s="26" t="n">
        <v>45961</v>
      </c>
      <c r="D908" s="7" t="s">
        <v>1324</v>
      </c>
      <c r="E908" s="7" t="s">
        <v>1325</v>
      </c>
      <c r="F908" s="7" t="s">
        <v>178</v>
      </c>
      <c r="G908" s="7" t="s">
        <v>160</v>
      </c>
      <c r="H908" s="7" t="s">
        <v>269</v>
      </c>
      <c r="I908" s="7" t="s">
        <v>199</v>
      </c>
      <c r="J908" s="7" t="s">
        <v>223</v>
      </c>
      <c r="K908" s="7" t="s">
        <v>224</v>
      </c>
      <c r="L908" s="7" t="s">
        <v>225</v>
      </c>
      <c r="M908" s="7" t="n">
        <v>3</v>
      </c>
      <c r="N908" s="27" t="n">
        <v>899</v>
      </c>
      <c r="O908" s="28" t="n">
        <v>0</v>
      </c>
      <c r="P908" s="27" t="n">
        <v>2697</v>
      </c>
      <c r="Q908" s="27" t="n">
        <v>1140</v>
      </c>
      <c r="R908" s="27" t="n">
        <v>1557</v>
      </c>
      <c r="S908" s="7" t="s">
        <v>60</v>
      </c>
      <c r="T908" s="7" t="str">
        <f aca="false">IF(O908=0,"No discount",IF(O908&lt;=0.2,"Up to 20%","Above 20%"))</f>
        <v>No discount</v>
      </c>
    </row>
    <row r="909" customFormat="false" ht="15" hidden="false" customHeight="true" outlineLevel="0" collapsed="false">
      <c r="A909" s="7" t="s">
        <v>1604</v>
      </c>
      <c r="B909" s="26" t="n">
        <v>45958</v>
      </c>
      <c r="C909" s="26" t="n">
        <v>45962</v>
      </c>
      <c r="D909" s="7" t="s">
        <v>792</v>
      </c>
      <c r="E909" s="7" t="s">
        <v>793</v>
      </c>
      <c r="F909" s="7" t="s">
        <v>219</v>
      </c>
      <c r="G909" s="7" t="s">
        <v>160</v>
      </c>
      <c r="H909" s="7" t="s">
        <v>161</v>
      </c>
      <c r="I909" s="7" t="s">
        <v>171</v>
      </c>
      <c r="J909" s="7" t="s">
        <v>172</v>
      </c>
      <c r="K909" s="7" t="s">
        <v>593</v>
      </c>
      <c r="L909" s="7" t="s">
        <v>594</v>
      </c>
      <c r="M909" s="7" t="n">
        <v>5</v>
      </c>
      <c r="N909" s="27" t="n">
        <v>1199</v>
      </c>
      <c r="O909" s="28" t="n">
        <v>0.05</v>
      </c>
      <c r="P909" s="27" t="n">
        <v>5695</v>
      </c>
      <c r="Q909" s="27" t="n">
        <v>3250</v>
      </c>
      <c r="R909" s="27" t="n">
        <v>2445</v>
      </c>
      <c r="S909" s="7" t="s">
        <v>60</v>
      </c>
      <c r="T909" s="7" t="str">
        <f aca="false">IF(O909=0,"No discount",IF(O909&lt;=0.2,"Up to 20%","Above 20%"))</f>
        <v>Up to 20%</v>
      </c>
    </row>
    <row r="910" customFormat="false" ht="15" hidden="false" customHeight="true" outlineLevel="0" collapsed="false">
      <c r="A910" s="7" t="s">
        <v>1605</v>
      </c>
      <c r="B910" s="26" t="n">
        <v>45958</v>
      </c>
      <c r="C910" s="26" t="n">
        <v>45963</v>
      </c>
      <c r="D910" s="7" t="s">
        <v>734</v>
      </c>
      <c r="E910" s="7" t="s">
        <v>735</v>
      </c>
      <c r="F910" s="7" t="s">
        <v>159</v>
      </c>
      <c r="G910" s="7" t="s">
        <v>206</v>
      </c>
      <c r="H910" s="7" t="s">
        <v>207</v>
      </c>
      <c r="I910" s="7" t="s">
        <v>171</v>
      </c>
      <c r="J910" s="7" t="s">
        <v>304</v>
      </c>
      <c r="K910" s="7" t="s">
        <v>499</v>
      </c>
      <c r="L910" s="7" t="s">
        <v>500</v>
      </c>
      <c r="M910" s="7" t="n">
        <v>2</v>
      </c>
      <c r="N910" s="27" t="n">
        <v>5499</v>
      </c>
      <c r="O910" s="28" t="n">
        <v>0.05</v>
      </c>
      <c r="P910" s="27" t="n">
        <v>10448</v>
      </c>
      <c r="Q910" s="27" t="n">
        <v>7800</v>
      </c>
      <c r="R910" s="27" t="n">
        <v>2648</v>
      </c>
      <c r="S910" s="7" t="s">
        <v>60</v>
      </c>
      <c r="T910" s="7" t="str">
        <f aca="false">IF(O910=0,"No discount",IF(O910&lt;=0.2,"Up to 20%","Above 20%"))</f>
        <v>Up to 20%</v>
      </c>
    </row>
    <row r="911" customFormat="false" ht="15" hidden="false" customHeight="true" outlineLevel="0" collapsed="false">
      <c r="A911" s="7" t="s">
        <v>1606</v>
      </c>
      <c r="B911" s="26" t="n">
        <v>45959</v>
      </c>
      <c r="C911" s="26" t="n">
        <v>45966</v>
      </c>
      <c r="D911" s="7" t="s">
        <v>482</v>
      </c>
      <c r="E911" s="7" t="s">
        <v>483</v>
      </c>
      <c r="F911" s="7" t="s">
        <v>178</v>
      </c>
      <c r="G911" s="7" t="s">
        <v>160</v>
      </c>
      <c r="H911" s="7" t="s">
        <v>269</v>
      </c>
      <c r="I911" s="7" t="s">
        <v>162</v>
      </c>
      <c r="J911" s="7" t="s">
        <v>185</v>
      </c>
      <c r="K911" s="7" t="s">
        <v>186</v>
      </c>
      <c r="L911" s="7" t="s">
        <v>187</v>
      </c>
      <c r="M911" s="7" t="n">
        <v>2</v>
      </c>
      <c r="N911" s="27" t="n">
        <v>3299</v>
      </c>
      <c r="O911" s="28" t="n">
        <v>0.3</v>
      </c>
      <c r="P911" s="27" t="n">
        <v>4619</v>
      </c>
      <c r="Q911" s="27" t="n">
        <v>3800</v>
      </c>
      <c r="R911" s="27" t="n">
        <v>819</v>
      </c>
      <c r="S911" s="7" t="s">
        <v>60</v>
      </c>
      <c r="T911" s="7" t="str">
        <f aca="false">IF(O911=0,"No discount",IF(O911&lt;=0.2,"Up to 20%","Above 20%"))</f>
        <v>Above 20%</v>
      </c>
    </row>
    <row r="912" customFormat="false" ht="15" hidden="false" customHeight="true" outlineLevel="0" collapsed="false">
      <c r="A912" s="7" t="s">
        <v>1607</v>
      </c>
      <c r="B912" s="26" t="n">
        <v>45959</v>
      </c>
      <c r="C912" s="26" t="n">
        <v>45962</v>
      </c>
      <c r="D912" s="7" t="s">
        <v>488</v>
      </c>
      <c r="E912" s="7" t="s">
        <v>489</v>
      </c>
      <c r="F912" s="7" t="s">
        <v>159</v>
      </c>
      <c r="G912" s="7" t="s">
        <v>206</v>
      </c>
      <c r="H912" s="7" t="s">
        <v>207</v>
      </c>
      <c r="I912" s="7" t="s">
        <v>171</v>
      </c>
      <c r="J912" s="7" t="s">
        <v>304</v>
      </c>
      <c r="K912" s="7" t="s">
        <v>305</v>
      </c>
      <c r="L912" s="7" t="s">
        <v>306</v>
      </c>
      <c r="M912" s="7" t="n">
        <v>3</v>
      </c>
      <c r="N912" s="27" t="n">
        <v>2999</v>
      </c>
      <c r="O912" s="28" t="n">
        <v>0</v>
      </c>
      <c r="P912" s="27" t="n">
        <v>8997</v>
      </c>
      <c r="Q912" s="27" t="n">
        <v>6000</v>
      </c>
      <c r="R912" s="27" t="n">
        <v>2997</v>
      </c>
      <c r="S912" s="7" t="s">
        <v>60</v>
      </c>
      <c r="T912" s="7" t="str">
        <f aca="false">IF(O912=0,"No discount",IF(O912&lt;=0.2,"Up to 20%","Above 20%"))</f>
        <v>No discount</v>
      </c>
    </row>
    <row r="913" customFormat="false" ht="15" hidden="false" customHeight="true" outlineLevel="0" collapsed="false">
      <c r="A913" s="7" t="s">
        <v>1608</v>
      </c>
      <c r="B913" s="26" t="n">
        <v>45959</v>
      </c>
      <c r="C913" s="26" t="n">
        <v>45966</v>
      </c>
      <c r="D913" s="7" t="s">
        <v>896</v>
      </c>
      <c r="E913" s="7" t="s">
        <v>897</v>
      </c>
      <c r="F913" s="7" t="s">
        <v>159</v>
      </c>
      <c r="G913" s="7" t="s">
        <v>160</v>
      </c>
      <c r="H913" s="7" t="s">
        <v>269</v>
      </c>
      <c r="I913" s="7" t="s">
        <v>282</v>
      </c>
      <c r="J913" s="7" t="s">
        <v>387</v>
      </c>
      <c r="K913" s="7" t="s">
        <v>691</v>
      </c>
      <c r="L913" s="7" t="s">
        <v>692</v>
      </c>
      <c r="M913" s="7" t="n">
        <v>6</v>
      </c>
      <c r="N913" s="27" t="n">
        <v>499</v>
      </c>
      <c r="O913" s="28" t="n">
        <v>0</v>
      </c>
      <c r="P913" s="27" t="n">
        <v>2994</v>
      </c>
      <c r="Q913" s="27" t="n">
        <v>1560</v>
      </c>
      <c r="R913" s="27" t="n">
        <v>1434</v>
      </c>
      <c r="S913" s="7" t="s">
        <v>60</v>
      </c>
      <c r="T913" s="7" t="str">
        <f aca="false">IF(O913=0,"No discount",IF(O913&lt;=0.2,"Up to 20%","Above 20%"))</f>
        <v>No discount</v>
      </c>
    </row>
    <row r="914" customFormat="false" ht="15" hidden="false" customHeight="true" outlineLevel="0" collapsed="false">
      <c r="A914" s="7" t="s">
        <v>1609</v>
      </c>
      <c r="B914" s="26" t="n">
        <v>45959</v>
      </c>
      <c r="C914" s="26" t="n">
        <v>45961</v>
      </c>
      <c r="D914" s="7" t="s">
        <v>689</v>
      </c>
      <c r="E914" s="7" t="s">
        <v>690</v>
      </c>
      <c r="F914" s="7" t="s">
        <v>219</v>
      </c>
      <c r="G914" s="7" t="s">
        <v>206</v>
      </c>
      <c r="H914" s="7" t="s">
        <v>207</v>
      </c>
      <c r="I914" s="7" t="s">
        <v>171</v>
      </c>
      <c r="J914" s="7" t="s">
        <v>304</v>
      </c>
      <c r="K914" s="7" t="s">
        <v>305</v>
      </c>
      <c r="L914" s="7" t="s">
        <v>306</v>
      </c>
      <c r="M914" s="7" t="n">
        <v>2</v>
      </c>
      <c r="N914" s="27" t="n">
        <v>2999</v>
      </c>
      <c r="O914" s="28" t="n">
        <v>0.1</v>
      </c>
      <c r="P914" s="27" t="n">
        <v>5398</v>
      </c>
      <c r="Q914" s="27" t="n">
        <v>4000</v>
      </c>
      <c r="R914" s="27" t="n">
        <v>1398</v>
      </c>
      <c r="S914" s="7" t="s">
        <v>60</v>
      </c>
      <c r="T914" s="7" t="str">
        <f aca="false">IF(O914=0,"No discount",IF(O914&lt;=0.2,"Up to 20%","Above 20%"))</f>
        <v>Up to 20%</v>
      </c>
    </row>
    <row r="915" customFormat="false" ht="15" hidden="false" customHeight="true" outlineLevel="0" collapsed="false">
      <c r="A915" s="7" t="s">
        <v>1610</v>
      </c>
      <c r="B915" s="26" t="n">
        <v>45960</v>
      </c>
      <c r="C915" s="26" t="n">
        <v>45965</v>
      </c>
      <c r="D915" s="7" t="s">
        <v>1495</v>
      </c>
      <c r="E915" s="7" t="s">
        <v>1496</v>
      </c>
      <c r="F915" s="7" t="s">
        <v>159</v>
      </c>
      <c r="G915" s="7" t="s">
        <v>160</v>
      </c>
      <c r="H915" s="7" t="s">
        <v>269</v>
      </c>
      <c r="I915" s="7" t="s">
        <v>162</v>
      </c>
      <c r="J915" s="7" t="s">
        <v>163</v>
      </c>
      <c r="K915" s="7" t="s">
        <v>164</v>
      </c>
      <c r="L915" s="7" t="s">
        <v>165</v>
      </c>
      <c r="M915" s="7" t="n">
        <v>1</v>
      </c>
      <c r="N915" s="27" t="n">
        <v>1999</v>
      </c>
      <c r="O915" s="28" t="n">
        <v>0.4</v>
      </c>
      <c r="P915" s="27" t="n">
        <v>1199</v>
      </c>
      <c r="Q915" s="27" t="n">
        <v>1050</v>
      </c>
      <c r="R915" s="27" t="n">
        <v>149</v>
      </c>
      <c r="S915" s="7" t="s">
        <v>60</v>
      </c>
      <c r="T915" s="7" t="str">
        <f aca="false">IF(O915=0,"No discount",IF(O915&lt;=0.2,"Up to 20%","Above 20%"))</f>
        <v>Above 20%</v>
      </c>
    </row>
    <row r="916" customFormat="false" ht="15" hidden="false" customHeight="true" outlineLevel="0" collapsed="false">
      <c r="A916" s="7" t="s">
        <v>1611</v>
      </c>
      <c r="B916" s="26" t="n">
        <v>45960</v>
      </c>
      <c r="C916" s="26" t="n">
        <v>45964</v>
      </c>
      <c r="D916" s="7" t="s">
        <v>900</v>
      </c>
      <c r="E916" s="7" t="s">
        <v>901</v>
      </c>
      <c r="F916" s="7" t="s">
        <v>219</v>
      </c>
      <c r="G916" s="7" t="s">
        <v>160</v>
      </c>
      <c r="H916" s="7" t="s">
        <v>269</v>
      </c>
      <c r="I916" s="7" t="s">
        <v>208</v>
      </c>
      <c r="J916" s="7" t="s">
        <v>232</v>
      </c>
      <c r="K916" s="7" t="s">
        <v>233</v>
      </c>
      <c r="L916" s="7" t="s">
        <v>234</v>
      </c>
      <c r="M916" s="7" t="n">
        <v>1</v>
      </c>
      <c r="N916" s="27" t="n">
        <v>7999</v>
      </c>
      <c r="O916" s="28" t="n">
        <v>0</v>
      </c>
      <c r="P916" s="27" t="n">
        <v>7999</v>
      </c>
      <c r="Q916" s="27" t="n">
        <v>5600</v>
      </c>
      <c r="R916" s="27" t="n">
        <v>2399</v>
      </c>
      <c r="S916" s="7" t="s">
        <v>60</v>
      </c>
      <c r="T916" s="7" t="str">
        <f aca="false">IF(O916=0,"No discount",IF(O916&lt;=0.2,"Up to 20%","Above 20%"))</f>
        <v>No discount</v>
      </c>
    </row>
    <row r="917" customFormat="false" ht="15" hidden="false" customHeight="true" outlineLevel="0" collapsed="false">
      <c r="A917" s="7" t="s">
        <v>1612</v>
      </c>
      <c r="B917" s="26" t="n">
        <v>45960</v>
      </c>
      <c r="C917" s="26" t="n">
        <v>45962</v>
      </c>
      <c r="D917" s="7" t="s">
        <v>524</v>
      </c>
      <c r="E917" s="7" t="s">
        <v>525</v>
      </c>
      <c r="F917" s="7" t="s">
        <v>159</v>
      </c>
      <c r="G917" s="7" t="s">
        <v>323</v>
      </c>
      <c r="H917" s="7" t="s">
        <v>324</v>
      </c>
      <c r="I917" s="7" t="s">
        <v>208</v>
      </c>
      <c r="J917" s="7" t="s">
        <v>232</v>
      </c>
      <c r="K917" s="7" t="s">
        <v>233</v>
      </c>
      <c r="L917" s="7" t="s">
        <v>234</v>
      </c>
      <c r="M917" s="7" t="n">
        <v>3</v>
      </c>
      <c r="N917" s="27" t="n">
        <v>7999</v>
      </c>
      <c r="O917" s="28" t="n">
        <v>0.1</v>
      </c>
      <c r="P917" s="27" t="n">
        <v>21597</v>
      </c>
      <c r="Q917" s="27" t="n">
        <v>16800</v>
      </c>
      <c r="R917" s="27" t="n">
        <v>4797</v>
      </c>
      <c r="S917" s="7" t="s">
        <v>60</v>
      </c>
      <c r="T917" s="7" t="str">
        <f aca="false">IF(O917=0,"No discount",IF(O917&lt;=0.2,"Up to 20%","Above 20%"))</f>
        <v>Up to 20%</v>
      </c>
    </row>
    <row r="918" customFormat="false" ht="15" hidden="false" customHeight="true" outlineLevel="0" collapsed="false">
      <c r="A918" s="7" t="s">
        <v>1613</v>
      </c>
      <c r="B918" s="26" t="n">
        <v>45961</v>
      </c>
      <c r="C918" s="26" t="n">
        <v>45962</v>
      </c>
      <c r="D918" s="7" t="s">
        <v>697</v>
      </c>
      <c r="E918" s="7" t="s">
        <v>698</v>
      </c>
      <c r="F918" s="7" t="s">
        <v>219</v>
      </c>
      <c r="G918" s="7" t="s">
        <v>160</v>
      </c>
      <c r="H918" s="7" t="s">
        <v>269</v>
      </c>
      <c r="I918" s="7" t="s">
        <v>199</v>
      </c>
      <c r="J918" s="7" t="s">
        <v>398</v>
      </c>
      <c r="K918" s="7" t="s">
        <v>399</v>
      </c>
      <c r="L918" s="7" t="s">
        <v>400</v>
      </c>
      <c r="M918" s="7" t="n">
        <v>2</v>
      </c>
      <c r="N918" s="27" t="n">
        <v>749</v>
      </c>
      <c r="O918" s="28" t="n">
        <v>0</v>
      </c>
      <c r="P918" s="27" t="n">
        <v>1498</v>
      </c>
      <c r="Q918" s="27" t="n">
        <v>700</v>
      </c>
      <c r="R918" s="27" t="n">
        <v>798</v>
      </c>
      <c r="S918" s="7" t="s">
        <v>60</v>
      </c>
      <c r="T918" s="7" t="str">
        <f aca="false">IF(O918=0,"No discount",IF(O918&lt;=0.2,"Up to 20%","Above 20%"))</f>
        <v>No discount</v>
      </c>
    </row>
    <row r="919" customFormat="false" ht="15" hidden="false" customHeight="true" outlineLevel="0" collapsed="false">
      <c r="A919" s="7" t="s">
        <v>1614</v>
      </c>
      <c r="B919" s="26" t="n">
        <v>45961</v>
      </c>
      <c r="C919" s="26" t="n">
        <v>45965</v>
      </c>
      <c r="D919" s="7" t="s">
        <v>412</v>
      </c>
      <c r="E919" s="7" t="s">
        <v>413</v>
      </c>
      <c r="F919" s="7" t="s">
        <v>178</v>
      </c>
      <c r="G919" s="7" t="s">
        <v>206</v>
      </c>
      <c r="H919" s="7" t="s">
        <v>207</v>
      </c>
      <c r="I919" s="7" t="s">
        <v>171</v>
      </c>
      <c r="J919" s="7" t="s">
        <v>172</v>
      </c>
      <c r="K919" s="7" t="s">
        <v>173</v>
      </c>
      <c r="L919" s="7" t="s">
        <v>174</v>
      </c>
      <c r="M919" s="7" t="n">
        <v>5</v>
      </c>
      <c r="N919" s="27" t="n">
        <v>699</v>
      </c>
      <c r="O919" s="28" t="n">
        <v>0.2</v>
      </c>
      <c r="P919" s="27" t="n">
        <v>2796</v>
      </c>
      <c r="Q919" s="27" t="n">
        <v>1600</v>
      </c>
      <c r="R919" s="27" t="n">
        <v>1196</v>
      </c>
      <c r="S919" s="7" t="s">
        <v>60</v>
      </c>
      <c r="T919" s="7" t="str">
        <f aca="false">IF(O919=0,"No discount",IF(O919&lt;=0.2,"Up to 20%","Above 20%"))</f>
        <v>Up to 20%</v>
      </c>
    </row>
    <row r="920" customFormat="false" ht="15" hidden="false" customHeight="true" outlineLevel="0" collapsed="false">
      <c r="A920" s="7" t="s">
        <v>1615</v>
      </c>
      <c r="B920" s="26" t="n">
        <v>45961</v>
      </c>
      <c r="C920" s="26" t="n">
        <v>45965</v>
      </c>
      <c r="D920" s="7" t="s">
        <v>267</v>
      </c>
      <c r="E920" s="7" t="s">
        <v>268</v>
      </c>
      <c r="F920" s="7" t="s">
        <v>159</v>
      </c>
      <c r="G920" s="7" t="s">
        <v>160</v>
      </c>
      <c r="H920" s="7" t="s">
        <v>269</v>
      </c>
      <c r="I920" s="7" t="s">
        <v>162</v>
      </c>
      <c r="J920" s="7" t="s">
        <v>163</v>
      </c>
      <c r="K920" s="7" t="s">
        <v>164</v>
      </c>
      <c r="L920" s="7" t="s">
        <v>165</v>
      </c>
      <c r="M920" s="7" t="n">
        <v>3</v>
      </c>
      <c r="N920" s="27" t="n">
        <v>1999</v>
      </c>
      <c r="O920" s="28" t="n">
        <v>0.3</v>
      </c>
      <c r="P920" s="27" t="n">
        <v>4198</v>
      </c>
      <c r="Q920" s="27" t="n">
        <v>3150</v>
      </c>
      <c r="R920" s="27" t="n">
        <v>1048</v>
      </c>
      <c r="S920" s="7" t="s">
        <v>60</v>
      </c>
      <c r="T920" s="7" t="str">
        <f aca="false">IF(O920=0,"No discount",IF(O920&lt;=0.2,"Up to 20%","Above 20%"))</f>
        <v>Above 20%</v>
      </c>
    </row>
    <row r="921" customFormat="false" ht="15" hidden="false" customHeight="true" outlineLevel="0" collapsed="false">
      <c r="A921" s="7" t="s">
        <v>1616</v>
      </c>
      <c r="B921" s="26" t="n">
        <v>45961</v>
      </c>
      <c r="C921" s="26" t="n">
        <v>45962</v>
      </c>
      <c r="D921" s="7" t="s">
        <v>244</v>
      </c>
      <c r="E921" s="7" t="s">
        <v>245</v>
      </c>
      <c r="F921" s="7" t="s">
        <v>178</v>
      </c>
      <c r="G921" s="7" t="s">
        <v>206</v>
      </c>
      <c r="H921" s="7" t="s">
        <v>207</v>
      </c>
      <c r="I921" s="7" t="s">
        <v>199</v>
      </c>
      <c r="J921" s="7" t="s">
        <v>292</v>
      </c>
      <c r="K921" s="7" t="s">
        <v>293</v>
      </c>
      <c r="L921" s="7" t="s">
        <v>294</v>
      </c>
      <c r="M921" s="7" t="n">
        <v>1</v>
      </c>
      <c r="N921" s="27" t="n">
        <v>1599</v>
      </c>
      <c r="O921" s="28" t="n">
        <v>0</v>
      </c>
      <c r="P921" s="27" t="n">
        <v>1599</v>
      </c>
      <c r="Q921" s="27" t="n">
        <v>750</v>
      </c>
      <c r="R921" s="27" t="n">
        <v>849</v>
      </c>
      <c r="S921" s="7" t="s">
        <v>60</v>
      </c>
      <c r="T921" s="7" t="str">
        <f aca="false">IF(O921=0,"No discount",IF(O921&lt;=0.2,"Up to 20%","Above 20%"))</f>
        <v>No discount</v>
      </c>
    </row>
    <row r="922" customFormat="false" ht="15" hidden="false" customHeight="true" outlineLevel="0" collapsed="false">
      <c r="A922" s="7" t="s">
        <v>1617</v>
      </c>
      <c r="B922" s="26" t="n">
        <v>45962</v>
      </c>
      <c r="C922" s="26" t="n">
        <v>45967</v>
      </c>
      <c r="D922" s="7" t="s">
        <v>591</v>
      </c>
      <c r="E922" s="7" t="s">
        <v>592</v>
      </c>
      <c r="F922" s="7" t="s">
        <v>159</v>
      </c>
      <c r="G922" s="7" t="s">
        <v>169</v>
      </c>
      <c r="H922" s="7" t="s">
        <v>179</v>
      </c>
      <c r="I922" s="7" t="s">
        <v>192</v>
      </c>
      <c r="J922" s="7" t="s">
        <v>193</v>
      </c>
      <c r="K922" s="7" t="s">
        <v>194</v>
      </c>
      <c r="L922" s="7" t="s">
        <v>195</v>
      </c>
      <c r="M922" s="7" t="n">
        <v>3</v>
      </c>
      <c r="N922" s="27" t="n">
        <v>8999</v>
      </c>
      <c r="O922" s="28" t="n">
        <v>0.2</v>
      </c>
      <c r="P922" s="27" t="n">
        <v>21598</v>
      </c>
      <c r="Q922" s="27" t="n">
        <v>20400</v>
      </c>
      <c r="R922" s="27" t="n">
        <v>1198</v>
      </c>
      <c r="S922" s="7" t="s">
        <v>60</v>
      </c>
      <c r="T922" s="7" t="str">
        <f aca="false">IF(O922=0,"No discount",IF(O922&lt;=0.2,"Up to 20%","Above 20%"))</f>
        <v>Up to 20%</v>
      </c>
    </row>
    <row r="923" customFormat="false" ht="15" hidden="false" customHeight="true" outlineLevel="0" collapsed="false">
      <c r="A923" s="7" t="s">
        <v>1618</v>
      </c>
      <c r="B923" s="26" t="n">
        <v>45962</v>
      </c>
      <c r="C923" s="26" t="n">
        <v>45968</v>
      </c>
      <c r="D923" s="7" t="s">
        <v>767</v>
      </c>
      <c r="E923" s="7" t="s">
        <v>768</v>
      </c>
      <c r="F923" s="7" t="s">
        <v>159</v>
      </c>
      <c r="G923" s="7" t="s">
        <v>160</v>
      </c>
      <c r="H923" s="7" t="s">
        <v>269</v>
      </c>
      <c r="I923" s="7" t="s">
        <v>171</v>
      </c>
      <c r="J923" s="7" t="s">
        <v>304</v>
      </c>
      <c r="K923" s="7" t="s">
        <v>499</v>
      </c>
      <c r="L923" s="7" t="s">
        <v>500</v>
      </c>
      <c r="M923" s="7" t="n">
        <v>1</v>
      </c>
      <c r="N923" s="27" t="n">
        <v>5499</v>
      </c>
      <c r="O923" s="28" t="n">
        <v>0</v>
      </c>
      <c r="P923" s="27" t="n">
        <v>5499</v>
      </c>
      <c r="Q923" s="27" t="n">
        <v>3900</v>
      </c>
      <c r="R923" s="27" t="n">
        <v>1599</v>
      </c>
      <c r="S923" s="7" t="s">
        <v>60</v>
      </c>
      <c r="T923" s="7" t="str">
        <f aca="false">IF(O923=0,"No discount",IF(O923&lt;=0.2,"Up to 20%","Above 20%"))</f>
        <v>No discount</v>
      </c>
    </row>
    <row r="924" customFormat="false" ht="15" hidden="false" customHeight="true" outlineLevel="0" collapsed="false">
      <c r="A924" s="7" t="s">
        <v>1619</v>
      </c>
      <c r="B924" s="26" t="n">
        <v>45962</v>
      </c>
      <c r="C924" s="26" t="n">
        <v>45965</v>
      </c>
      <c r="D924" s="7" t="s">
        <v>1620</v>
      </c>
      <c r="E924" s="7" t="s">
        <v>1621</v>
      </c>
      <c r="F924" s="7" t="s">
        <v>219</v>
      </c>
      <c r="G924" s="7" t="s">
        <v>160</v>
      </c>
      <c r="H924" s="7" t="s">
        <v>269</v>
      </c>
      <c r="I924" s="7" t="s">
        <v>171</v>
      </c>
      <c r="J924" s="7" t="s">
        <v>172</v>
      </c>
      <c r="K924" s="7" t="s">
        <v>173</v>
      </c>
      <c r="L924" s="7" t="s">
        <v>174</v>
      </c>
      <c r="M924" s="7" t="n">
        <v>4</v>
      </c>
      <c r="N924" s="27" t="n">
        <v>699</v>
      </c>
      <c r="O924" s="28" t="n">
        <v>0.2</v>
      </c>
      <c r="P924" s="27" t="n">
        <v>2237</v>
      </c>
      <c r="Q924" s="27" t="n">
        <v>1280</v>
      </c>
      <c r="R924" s="27" t="n">
        <v>957</v>
      </c>
      <c r="S924" s="7" t="s">
        <v>60</v>
      </c>
      <c r="T924" s="7" t="str">
        <f aca="false">IF(O924=0,"No discount",IF(O924&lt;=0.2,"Up to 20%","Above 20%"))</f>
        <v>Up to 20%</v>
      </c>
    </row>
    <row r="925" customFormat="false" ht="15" hidden="false" customHeight="true" outlineLevel="0" collapsed="false">
      <c r="A925" s="7" t="s">
        <v>1622</v>
      </c>
      <c r="B925" s="26" t="n">
        <v>45962</v>
      </c>
      <c r="C925" s="26" t="n">
        <v>45969</v>
      </c>
      <c r="D925" s="7" t="s">
        <v>563</v>
      </c>
      <c r="E925" s="7" t="s">
        <v>564</v>
      </c>
      <c r="F925" s="7" t="s">
        <v>178</v>
      </c>
      <c r="G925" s="7" t="s">
        <v>160</v>
      </c>
      <c r="H925" s="7" t="s">
        <v>269</v>
      </c>
      <c r="I925" s="7" t="s">
        <v>208</v>
      </c>
      <c r="J925" s="7" t="s">
        <v>232</v>
      </c>
      <c r="K925" s="7" t="s">
        <v>233</v>
      </c>
      <c r="L925" s="7" t="s">
        <v>234</v>
      </c>
      <c r="M925" s="7" t="n">
        <v>5</v>
      </c>
      <c r="N925" s="27" t="n">
        <v>7999</v>
      </c>
      <c r="O925" s="28" t="n">
        <v>0.05</v>
      </c>
      <c r="P925" s="27" t="n">
        <v>37995</v>
      </c>
      <c r="Q925" s="27" t="n">
        <v>28000</v>
      </c>
      <c r="R925" s="27" t="n">
        <v>9995</v>
      </c>
      <c r="S925" s="7" t="s">
        <v>60</v>
      </c>
      <c r="T925" s="7" t="str">
        <f aca="false">IF(O925=0,"No discount",IF(O925&lt;=0.2,"Up to 20%","Above 20%"))</f>
        <v>Up to 20%</v>
      </c>
    </row>
    <row r="926" customFormat="false" ht="15" hidden="false" customHeight="true" outlineLevel="0" collapsed="false">
      <c r="A926" s="7" t="s">
        <v>1623</v>
      </c>
      <c r="B926" s="26" t="n">
        <v>45963</v>
      </c>
      <c r="C926" s="26" t="n">
        <v>45966</v>
      </c>
      <c r="D926" s="7" t="s">
        <v>792</v>
      </c>
      <c r="E926" s="7" t="s">
        <v>793</v>
      </c>
      <c r="F926" s="7" t="s">
        <v>219</v>
      </c>
      <c r="G926" s="7" t="s">
        <v>160</v>
      </c>
      <c r="H926" s="7" t="s">
        <v>161</v>
      </c>
      <c r="I926" s="7" t="s">
        <v>282</v>
      </c>
      <c r="J926" s="7" t="s">
        <v>427</v>
      </c>
      <c r="K926" s="7" t="s">
        <v>428</v>
      </c>
      <c r="L926" s="7" t="s">
        <v>429</v>
      </c>
      <c r="M926" s="7" t="n">
        <v>2</v>
      </c>
      <c r="N926" s="27" t="n">
        <v>149</v>
      </c>
      <c r="O926" s="28" t="n">
        <v>0</v>
      </c>
      <c r="P926" s="27" t="n">
        <v>298</v>
      </c>
      <c r="Q926" s="27" t="n">
        <v>140</v>
      </c>
      <c r="R926" s="27" t="n">
        <v>158</v>
      </c>
      <c r="S926" s="7" t="s">
        <v>60</v>
      </c>
      <c r="T926" s="7" t="str">
        <f aca="false">IF(O926=0,"No discount",IF(O926&lt;=0.2,"Up to 20%","Above 20%"))</f>
        <v>No discount</v>
      </c>
    </row>
    <row r="927" customFormat="false" ht="15" hidden="false" customHeight="true" outlineLevel="0" collapsed="false">
      <c r="A927" s="7" t="s">
        <v>1624</v>
      </c>
      <c r="B927" s="26" t="n">
        <v>45963</v>
      </c>
      <c r="C927" s="26" t="n">
        <v>45970</v>
      </c>
      <c r="D927" s="7" t="s">
        <v>535</v>
      </c>
      <c r="E927" s="7" t="s">
        <v>536</v>
      </c>
      <c r="F927" s="7" t="s">
        <v>159</v>
      </c>
      <c r="G927" s="7" t="s">
        <v>206</v>
      </c>
      <c r="H927" s="7" t="s">
        <v>207</v>
      </c>
      <c r="I927" s="7" t="s">
        <v>192</v>
      </c>
      <c r="J927" s="7" t="s">
        <v>193</v>
      </c>
      <c r="K927" s="7" t="s">
        <v>194</v>
      </c>
      <c r="L927" s="7" t="s">
        <v>195</v>
      </c>
      <c r="M927" s="7" t="n">
        <v>2</v>
      </c>
      <c r="N927" s="27" t="n">
        <v>8999</v>
      </c>
      <c r="O927" s="28" t="n">
        <v>0.1</v>
      </c>
      <c r="P927" s="27" t="n">
        <v>16198</v>
      </c>
      <c r="Q927" s="27" t="n">
        <v>13600</v>
      </c>
      <c r="R927" s="27" t="n">
        <v>2598</v>
      </c>
      <c r="S927" s="7" t="s">
        <v>60</v>
      </c>
      <c r="T927" s="7" t="str">
        <f aca="false">IF(O927=0,"No discount",IF(O927&lt;=0.2,"Up to 20%","Above 20%"))</f>
        <v>Up to 20%</v>
      </c>
    </row>
    <row r="928" customFormat="false" ht="15" hidden="false" customHeight="true" outlineLevel="0" collapsed="false">
      <c r="A928" s="7" t="s">
        <v>1625</v>
      </c>
      <c r="B928" s="26" t="n">
        <v>45963</v>
      </c>
      <c r="C928" s="26" t="n">
        <v>45968</v>
      </c>
      <c r="D928" s="7" t="s">
        <v>339</v>
      </c>
      <c r="E928" s="7" t="s">
        <v>340</v>
      </c>
      <c r="F928" s="7" t="s">
        <v>178</v>
      </c>
      <c r="G928" s="7" t="s">
        <v>169</v>
      </c>
      <c r="H928" s="7" t="s">
        <v>179</v>
      </c>
      <c r="I928" s="7" t="s">
        <v>171</v>
      </c>
      <c r="J928" s="7" t="s">
        <v>172</v>
      </c>
      <c r="K928" s="7" t="s">
        <v>173</v>
      </c>
      <c r="L928" s="7" t="s">
        <v>174</v>
      </c>
      <c r="M928" s="7" t="n">
        <v>1</v>
      </c>
      <c r="N928" s="27" t="n">
        <v>699</v>
      </c>
      <c r="O928" s="28" t="n">
        <v>0.2</v>
      </c>
      <c r="P928" s="27" t="n">
        <v>559</v>
      </c>
      <c r="Q928" s="27" t="n">
        <v>320</v>
      </c>
      <c r="R928" s="27" t="n">
        <v>239</v>
      </c>
      <c r="S928" s="7" t="s">
        <v>60</v>
      </c>
      <c r="T928" s="7" t="str">
        <f aca="false">IF(O928=0,"No discount",IF(O928&lt;=0.2,"Up to 20%","Above 20%"))</f>
        <v>Up to 20%</v>
      </c>
    </row>
    <row r="929" customFormat="false" ht="15" hidden="false" customHeight="true" outlineLevel="0" collapsed="false">
      <c r="A929" s="7" t="s">
        <v>1626</v>
      </c>
      <c r="B929" s="26" t="n">
        <v>45963</v>
      </c>
      <c r="C929" s="26" t="n">
        <v>45964</v>
      </c>
      <c r="D929" s="7" t="s">
        <v>351</v>
      </c>
      <c r="E929" s="7" t="s">
        <v>352</v>
      </c>
      <c r="F929" s="7" t="s">
        <v>178</v>
      </c>
      <c r="G929" s="7" t="s">
        <v>169</v>
      </c>
      <c r="H929" s="7" t="s">
        <v>179</v>
      </c>
      <c r="I929" s="7" t="s">
        <v>192</v>
      </c>
      <c r="J929" s="7" t="s">
        <v>213</v>
      </c>
      <c r="K929" s="7" t="s">
        <v>214</v>
      </c>
      <c r="L929" s="7" t="s">
        <v>215</v>
      </c>
      <c r="M929" s="7" t="n">
        <v>5</v>
      </c>
      <c r="N929" s="27" t="n">
        <v>5999</v>
      </c>
      <c r="O929" s="28" t="n">
        <v>0.2</v>
      </c>
      <c r="P929" s="27" t="n">
        <v>23996</v>
      </c>
      <c r="Q929" s="27" t="n">
        <v>23000</v>
      </c>
      <c r="R929" s="27" t="n">
        <v>996</v>
      </c>
      <c r="S929" s="7" t="s">
        <v>60</v>
      </c>
      <c r="T929" s="7" t="str">
        <f aca="false">IF(O929=0,"No discount",IF(O929&lt;=0.2,"Up to 20%","Above 20%"))</f>
        <v>Up to 20%</v>
      </c>
    </row>
    <row r="930" customFormat="false" ht="15" hidden="false" customHeight="true" outlineLevel="0" collapsed="false">
      <c r="A930" s="7" t="s">
        <v>1627</v>
      </c>
      <c r="B930" s="26" t="n">
        <v>45963</v>
      </c>
      <c r="C930" s="26" t="n">
        <v>45964</v>
      </c>
      <c r="D930" s="7" t="s">
        <v>197</v>
      </c>
      <c r="E930" s="7" t="s">
        <v>198</v>
      </c>
      <c r="F930" s="7" t="s">
        <v>178</v>
      </c>
      <c r="G930" s="7" t="s">
        <v>169</v>
      </c>
      <c r="H930" s="7" t="s">
        <v>191</v>
      </c>
      <c r="I930" s="7" t="s">
        <v>192</v>
      </c>
      <c r="J930" s="7" t="s">
        <v>502</v>
      </c>
      <c r="K930" s="7" t="s">
        <v>503</v>
      </c>
      <c r="L930" s="7" t="s">
        <v>504</v>
      </c>
      <c r="M930" s="7" t="n">
        <v>4</v>
      </c>
      <c r="N930" s="27" t="n">
        <v>3499</v>
      </c>
      <c r="O930" s="28" t="n">
        <v>0</v>
      </c>
      <c r="P930" s="27" t="n">
        <v>13996</v>
      </c>
      <c r="Q930" s="27" t="n">
        <v>10000</v>
      </c>
      <c r="R930" s="27" t="n">
        <v>3996</v>
      </c>
      <c r="S930" s="7" t="s">
        <v>60</v>
      </c>
      <c r="T930" s="7" t="str">
        <f aca="false">IF(O930=0,"No discount",IF(O930&lt;=0.2,"Up to 20%","Above 20%"))</f>
        <v>No discount</v>
      </c>
    </row>
    <row r="931" customFormat="false" ht="15" hidden="false" customHeight="true" outlineLevel="0" collapsed="false">
      <c r="A931" s="7" t="s">
        <v>1628</v>
      </c>
      <c r="B931" s="26" t="n">
        <v>45963</v>
      </c>
      <c r="C931" s="26" t="n">
        <v>45965</v>
      </c>
      <c r="D931" s="7" t="s">
        <v>1629</v>
      </c>
      <c r="E931" s="7" t="s">
        <v>1630</v>
      </c>
      <c r="F931" s="7" t="s">
        <v>159</v>
      </c>
      <c r="G931" s="7" t="s">
        <v>169</v>
      </c>
      <c r="H931" s="7" t="s">
        <v>179</v>
      </c>
      <c r="I931" s="7" t="s">
        <v>282</v>
      </c>
      <c r="J931" s="7" t="s">
        <v>283</v>
      </c>
      <c r="K931" s="7" t="s">
        <v>284</v>
      </c>
      <c r="L931" s="7" t="s">
        <v>285</v>
      </c>
      <c r="M931" s="7" t="n">
        <v>2</v>
      </c>
      <c r="N931" s="27" t="n">
        <v>199</v>
      </c>
      <c r="O931" s="28" t="n">
        <v>0.05</v>
      </c>
      <c r="P931" s="27" t="n">
        <v>378</v>
      </c>
      <c r="Q931" s="27" t="n">
        <v>180</v>
      </c>
      <c r="R931" s="27" t="n">
        <v>198</v>
      </c>
      <c r="S931" s="7" t="s">
        <v>60</v>
      </c>
      <c r="T931" s="7" t="str">
        <f aca="false">IF(O931=0,"No discount",IF(O931&lt;=0.2,"Up to 20%","Above 20%"))</f>
        <v>Up to 20%</v>
      </c>
    </row>
    <row r="932" customFormat="false" ht="15" hidden="false" customHeight="true" outlineLevel="0" collapsed="false">
      <c r="A932" s="7" t="s">
        <v>1631</v>
      </c>
      <c r="B932" s="26" t="n">
        <v>45963</v>
      </c>
      <c r="C932" s="26" t="n">
        <v>45965</v>
      </c>
      <c r="D932" s="7" t="s">
        <v>459</v>
      </c>
      <c r="E932" s="7" t="s">
        <v>460</v>
      </c>
      <c r="F932" s="7" t="s">
        <v>219</v>
      </c>
      <c r="G932" s="7" t="s">
        <v>160</v>
      </c>
      <c r="H932" s="7" t="s">
        <v>269</v>
      </c>
      <c r="I932" s="7" t="s">
        <v>162</v>
      </c>
      <c r="J932" s="7" t="s">
        <v>251</v>
      </c>
      <c r="K932" s="7" t="s">
        <v>252</v>
      </c>
      <c r="L932" s="7" t="s">
        <v>253</v>
      </c>
      <c r="M932" s="7" t="n">
        <v>2</v>
      </c>
      <c r="N932" s="27" t="n">
        <v>3999</v>
      </c>
      <c r="O932" s="28" t="n">
        <v>0.4</v>
      </c>
      <c r="P932" s="27" t="n">
        <v>4799</v>
      </c>
      <c r="Q932" s="27" t="n">
        <v>4800</v>
      </c>
      <c r="R932" s="27" t="n">
        <v>-1</v>
      </c>
      <c r="S932" s="7" t="s">
        <v>60</v>
      </c>
      <c r="T932" s="7" t="str">
        <f aca="false">IF(O932=0,"No discount",IF(O932&lt;=0.2,"Up to 20%","Above 20%"))</f>
        <v>Above 20%</v>
      </c>
    </row>
    <row r="933" customFormat="false" ht="15" hidden="false" customHeight="true" outlineLevel="0" collapsed="false">
      <c r="A933" s="7" t="s">
        <v>1632</v>
      </c>
      <c r="B933" s="26" t="n">
        <v>45963</v>
      </c>
      <c r="C933" s="26" t="n">
        <v>45968</v>
      </c>
      <c r="D933" s="7" t="s">
        <v>753</v>
      </c>
      <c r="E933" s="7" t="s">
        <v>754</v>
      </c>
      <c r="F933" s="7" t="s">
        <v>159</v>
      </c>
      <c r="G933" s="7" t="s">
        <v>169</v>
      </c>
      <c r="H933" s="7" t="s">
        <v>191</v>
      </c>
      <c r="I933" s="7" t="s">
        <v>282</v>
      </c>
      <c r="J933" s="7" t="s">
        <v>387</v>
      </c>
      <c r="K933" s="7" t="s">
        <v>388</v>
      </c>
      <c r="L933" s="7" t="s">
        <v>389</v>
      </c>
      <c r="M933" s="7" t="n">
        <v>1</v>
      </c>
      <c r="N933" s="27" t="n">
        <v>1299</v>
      </c>
      <c r="O933" s="28" t="n">
        <v>0</v>
      </c>
      <c r="P933" s="27" t="n">
        <v>1299</v>
      </c>
      <c r="Q933" s="27" t="n">
        <v>780</v>
      </c>
      <c r="R933" s="27" t="n">
        <v>519</v>
      </c>
      <c r="S933" s="7" t="s">
        <v>60</v>
      </c>
      <c r="T933" s="7" t="str">
        <f aca="false">IF(O933=0,"No discount",IF(O933&lt;=0.2,"Up to 20%","Above 20%"))</f>
        <v>No discount</v>
      </c>
    </row>
    <row r="934" customFormat="false" ht="15" hidden="false" customHeight="true" outlineLevel="0" collapsed="false">
      <c r="A934" s="7" t="s">
        <v>1633</v>
      </c>
      <c r="B934" s="26" t="n">
        <v>45964</v>
      </c>
      <c r="C934" s="26" t="n">
        <v>45971</v>
      </c>
      <c r="D934" s="7" t="s">
        <v>1492</v>
      </c>
      <c r="E934" s="7" t="s">
        <v>1493</v>
      </c>
      <c r="F934" s="7" t="s">
        <v>219</v>
      </c>
      <c r="G934" s="7" t="s">
        <v>169</v>
      </c>
      <c r="H934" s="7" t="s">
        <v>170</v>
      </c>
      <c r="I934" s="7" t="s">
        <v>208</v>
      </c>
      <c r="J934" s="7" t="s">
        <v>209</v>
      </c>
      <c r="K934" s="7" t="s">
        <v>637</v>
      </c>
      <c r="L934" s="7" t="s">
        <v>638</v>
      </c>
      <c r="M934" s="7" t="n">
        <v>1</v>
      </c>
      <c r="N934" s="27" t="n">
        <v>899</v>
      </c>
      <c r="O934" s="28" t="n">
        <v>0.15</v>
      </c>
      <c r="P934" s="27" t="n">
        <v>764</v>
      </c>
      <c r="Q934" s="27" t="n">
        <v>480</v>
      </c>
      <c r="R934" s="27" t="n">
        <v>284</v>
      </c>
      <c r="S934" s="7" t="s">
        <v>60</v>
      </c>
      <c r="T934" s="7" t="str">
        <f aca="false">IF(O934=0,"No discount",IF(O934&lt;=0.2,"Up to 20%","Above 20%"))</f>
        <v>Up to 20%</v>
      </c>
    </row>
    <row r="935" customFormat="false" ht="15" hidden="false" customHeight="true" outlineLevel="0" collapsed="false">
      <c r="A935" s="7" t="s">
        <v>1634</v>
      </c>
      <c r="B935" s="26" t="n">
        <v>45964</v>
      </c>
      <c r="C935" s="26" t="n">
        <v>45969</v>
      </c>
      <c r="D935" s="7" t="s">
        <v>321</v>
      </c>
      <c r="E935" s="7" t="s">
        <v>322</v>
      </c>
      <c r="F935" s="7" t="s">
        <v>219</v>
      </c>
      <c r="G935" s="7" t="s">
        <v>323</v>
      </c>
      <c r="H935" s="7" t="s">
        <v>324</v>
      </c>
      <c r="I935" s="7" t="s">
        <v>162</v>
      </c>
      <c r="J935" s="7" t="s">
        <v>185</v>
      </c>
      <c r="K935" s="7" t="s">
        <v>186</v>
      </c>
      <c r="L935" s="7" t="s">
        <v>187</v>
      </c>
      <c r="M935" s="7" t="n">
        <v>1</v>
      </c>
      <c r="N935" s="27" t="n">
        <v>3299</v>
      </c>
      <c r="O935" s="28" t="n">
        <v>0.4</v>
      </c>
      <c r="P935" s="27" t="n">
        <v>1979</v>
      </c>
      <c r="Q935" s="27" t="n">
        <v>1900</v>
      </c>
      <c r="R935" s="27" t="n">
        <v>79</v>
      </c>
      <c r="S935" s="7" t="s">
        <v>60</v>
      </c>
      <c r="T935" s="7" t="str">
        <f aca="false">IF(O935=0,"No discount",IF(O935&lt;=0.2,"Up to 20%","Above 20%"))</f>
        <v>Above 20%</v>
      </c>
    </row>
    <row r="936" customFormat="false" ht="15" hidden="false" customHeight="true" outlineLevel="0" collapsed="false">
      <c r="A936" s="7" t="s">
        <v>1635</v>
      </c>
      <c r="B936" s="26" t="n">
        <v>45964</v>
      </c>
      <c r="C936" s="26" t="n">
        <v>45968</v>
      </c>
      <c r="D936" s="7" t="s">
        <v>459</v>
      </c>
      <c r="E936" s="7" t="s">
        <v>460</v>
      </c>
      <c r="F936" s="7" t="s">
        <v>219</v>
      </c>
      <c r="G936" s="7" t="s">
        <v>160</v>
      </c>
      <c r="H936" s="7" t="s">
        <v>269</v>
      </c>
      <c r="I936" s="7" t="s">
        <v>171</v>
      </c>
      <c r="J936" s="7" t="s">
        <v>304</v>
      </c>
      <c r="K936" s="7" t="s">
        <v>305</v>
      </c>
      <c r="L936" s="7" t="s">
        <v>306</v>
      </c>
      <c r="M936" s="7" t="n">
        <v>1</v>
      </c>
      <c r="N936" s="27" t="n">
        <v>2999</v>
      </c>
      <c r="O936" s="28" t="n">
        <v>0.2</v>
      </c>
      <c r="P936" s="27" t="n">
        <v>2399</v>
      </c>
      <c r="Q936" s="27" t="n">
        <v>2000</v>
      </c>
      <c r="R936" s="27" t="n">
        <v>399</v>
      </c>
      <c r="S936" s="7" t="s">
        <v>60</v>
      </c>
      <c r="T936" s="7" t="str">
        <f aca="false">IF(O936=0,"No discount",IF(O936&lt;=0.2,"Up to 20%","Above 20%"))</f>
        <v>Up to 20%</v>
      </c>
    </row>
    <row r="937" customFormat="false" ht="15" hidden="false" customHeight="true" outlineLevel="0" collapsed="false">
      <c r="A937" s="7" t="s">
        <v>1636</v>
      </c>
      <c r="B937" s="26" t="n">
        <v>45964</v>
      </c>
      <c r="C937" s="26" t="n">
        <v>45965</v>
      </c>
      <c r="D937" s="7" t="s">
        <v>1216</v>
      </c>
      <c r="E937" s="7" t="s">
        <v>1217</v>
      </c>
      <c r="F937" s="7" t="s">
        <v>159</v>
      </c>
      <c r="G937" s="7" t="s">
        <v>160</v>
      </c>
      <c r="H937" s="7" t="s">
        <v>161</v>
      </c>
      <c r="I937" s="7" t="s">
        <v>162</v>
      </c>
      <c r="J937" s="7" t="s">
        <v>163</v>
      </c>
      <c r="K937" s="7" t="s">
        <v>164</v>
      </c>
      <c r="L937" s="7" t="s">
        <v>165</v>
      </c>
      <c r="M937" s="7" t="n">
        <v>1</v>
      </c>
      <c r="N937" s="27" t="n">
        <v>1999</v>
      </c>
      <c r="O937" s="28" t="n">
        <v>0.1</v>
      </c>
      <c r="P937" s="27" t="n">
        <v>1799</v>
      </c>
      <c r="Q937" s="27" t="n">
        <v>1050</v>
      </c>
      <c r="R937" s="27" t="n">
        <v>749</v>
      </c>
      <c r="S937" s="7" t="s">
        <v>60</v>
      </c>
      <c r="T937" s="7" t="str">
        <f aca="false">IF(O937=0,"No discount",IF(O937&lt;=0.2,"Up to 20%","Above 20%"))</f>
        <v>Up to 20%</v>
      </c>
    </row>
    <row r="938" customFormat="false" ht="15" hidden="false" customHeight="true" outlineLevel="0" collapsed="false">
      <c r="A938" s="7" t="s">
        <v>1637</v>
      </c>
      <c r="B938" s="26" t="n">
        <v>45964</v>
      </c>
      <c r="C938" s="26" t="n">
        <v>45971</v>
      </c>
      <c r="D938" s="7" t="s">
        <v>726</v>
      </c>
      <c r="E938" s="7" t="s">
        <v>727</v>
      </c>
      <c r="F938" s="7" t="s">
        <v>178</v>
      </c>
      <c r="G938" s="7" t="s">
        <v>206</v>
      </c>
      <c r="H938" s="7" t="s">
        <v>207</v>
      </c>
      <c r="I938" s="7" t="s">
        <v>192</v>
      </c>
      <c r="J938" s="7" t="s">
        <v>502</v>
      </c>
      <c r="K938" s="7" t="s">
        <v>526</v>
      </c>
      <c r="L938" s="7" t="s">
        <v>527</v>
      </c>
      <c r="M938" s="7" t="n">
        <v>1</v>
      </c>
      <c r="N938" s="27" t="n">
        <v>6499</v>
      </c>
      <c r="O938" s="28" t="n">
        <v>0.4</v>
      </c>
      <c r="P938" s="27" t="n">
        <v>3899</v>
      </c>
      <c r="Q938" s="27" t="n">
        <v>5000</v>
      </c>
      <c r="R938" s="27" t="n">
        <v>-1101</v>
      </c>
      <c r="S938" s="7" t="s">
        <v>60</v>
      </c>
      <c r="T938" s="7" t="str">
        <f aca="false">IF(O938=0,"No discount",IF(O938&lt;=0.2,"Up to 20%","Above 20%"))</f>
        <v>Above 20%</v>
      </c>
    </row>
    <row r="939" customFormat="false" ht="15" hidden="false" customHeight="true" outlineLevel="0" collapsed="false">
      <c r="A939" s="7" t="s">
        <v>1638</v>
      </c>
      <c r="B939" s="26" t="n">
        <v>45964</v>
      </c>
      <c r="C939" s="26" t="n">
        <v>45969</v>
      </c>
      <c r="D939" s="7" t="s">
        <v>462</v>
      </c>
      <c r="E939" s="7" t="s">
        <v>463</v>
      </c>
      <c r="F939" s="7" t="s">
        <v>159</v>
      </c>
      <c r="G939" s="7" t="s">
        <v>169</v>
      </c>
      <c r="H939" s="7" t="s">
        <v>191</v>
      </c>
      <c r="I939" s="7" t="s">
        <v>192</v>
      </c>
      <c r="J939" s="7" t="s">
        <v>193</v>
      </c>
      <c r="K939" s="7" t="s">
        <v>194</v>
      </c>
      <c r="L939" s="7" t="s">
        <v>195</v>
      </c>
      <c r="M939" s="7" t="n">
        <v>1</v>
      </c>
      <c r="N939" s="27" t="n">
        <v>8999</v>
      </c>
      <c r="O939" s="28" t="n">
        <v>0.4</v>
      </c>
      <c r="P939" s="27" t="n">
        <v>5399</v>
      </c>
      <c r="Q939" s="27" t="n">
        <v>6800</v>
      </c>
      <c r="R939" s="27" t="n">
        <v>-1401</v>
      </c>
      <c r="S939" s="7" t="s">
        <v>60</v>
      </c>
      <c r="T939" s="7" t="str">
        <f aca="false">IF(O939=0,"No discount",IF(O939&lt;=0.2,"Up to 20%","Above 20%"))</f>
        <v>Above 20%</v>
      </c>
    </row>
    <row r="940" customFormat="false" ht="15" hidden="false" customHeight="true" outlineLevel="0" collapsed="false">
      <c r="A940" s="7" t="s">
        <v>1639</v>
      </c>
      <c r="B940" s="26" t="n">
        <v>45964</v>
      </c>
      <c r="C940" s="26" t="n">
        <v>45967</v>
      </c>
      <c r="D940" s="7" t="s">
        <v>542</v>
      </c>
      <c r="E940" s="7" t="s">
        <v>543</v>
      </c>
      <c r="F940" s="7" t="s">
        <v>159</v>
      </c>
      <c r="G940" s="7" t="s">
        <v>160</v>
      </c>
      <c r="H940" s="7" t="s">
        <v>269</v>
      </c>
      <c r="I940" s="7" t="s">
        <v>208</v>
      </c>
      <c r="J940" s="7" t="s">
        <v>232</v>
      </c>
      <c r="K940" s="7" t="s">
        <v>233</v>
      </c>
      <c r="L940" s="7" t="s">
        <v>234</v>
      </c>
      <c r="M940" s="7" t="n">
        <v>1</v>
      </c>
      <c r="N940" s="27" t="n">
        <v>7999</v>
      </c>
      <c r="O940" s="28" t="n">
        <v>0</v>
      </c>
      <c r="P940" s="27" t="n">
        <v>7999</v>
      </c>
      <c r="Q940" s="27" t="n">
        <v>5600</v>
      </c>
      <c r="R940" s="27" t="n">
        <v>2399</v>
      </c>
      <c r="S940" s="7" t="s">
        <v>60</v>
      </c>
      <c r="T940" s="7" t="str">
        <f aca="false">IF(O940=0,"No discount",IF(O940&lt;=0.2,"Up to 20%","Above 20%"))</f>
        <v>No discount</v>
      </c>
    </row>
    <row r="941" customFormat="false" ht="15" hidden="false" customHeight="true" outlineLevel="0" collapsed="false">
      <c r="A941" s="7" t="s">
        <v>1640</v>
      </c>
      <c r="B941" s="26" t="n">
        <v>45965</v>
      </c>
      <c r="C941" s="26" t="n">
        <v>45971</v>
      </c>
      <c r="D941" s="7" t="s">
        <v>271</v>
      </c>
      <c r="E941" s="7" t="s">
        <v>272</v>
      </c>
      <c r="F941" s="7" t="s">
        <v>159</v>
      </c>
      <c r="G941" s="7" t="s">
        <v>169</v>
      </c>
      <c r="H941" s="7" t="s">
        <v>179</v>
      </c>
      <c r="I941" s="7" t="s">
        <v>282</v>
      </c>
      <c r="J941" s="7" t="s">
        <v>283</v>
      </c>
      <c r="K941" s="7" t="s">
        <v>284</v>
      </c>
      <c r="L941" s="7" t="s">
        <v>285</v>
      </c>
      <c r="M941" s="7" t="n">
        <v>2</v>
      </c>
      <c r="N941" s="27" t="n">
        <v>199</v>
      </c>
      <c r="O941" s="28" t="n">
        <v>0</v>
      </c>
      <c r="P941" s="27" t="n">
        <v>398</v>
      </c>
      <c r="Q941" s="27" t="n">
        <v>180</v>
      </c>
      <c r="R941" s="27" t="n">
        <v>218</v>
      </c>
      <c r="S941" s="7" t="s">
        <v>60</v>
      </c>
      <c r="T941" s="7" t="str">
        <f aca="false">IF(O941=0,"No discount",IF(O941&lt;=0.2,"Up to 20%","Above 20%"))</f>
        <v>No discount</v>
      </c>
    </row>
    <row r="942" customFormat="false" ht="15" hidden="false" customHeight="true" outlineLevel="0" collapsed="false">
      <c r="A942" s="7" t="s">
        <v>1641</v>
      </c>
      <c r="B942" s="26" t="n">
        <v>45965</v>
      </c>
      <c r="C942" s="26" t="n">
        <v>45968</v>
      </c>
      <c r="D942" s="7" t="s">
        <v>345</v>
      </c>
      <c r="E942" s="7" t="s">
        <v>346</v>
      </c>
      <c r="F942" s="7" t="s">
        <v>159</v>
      </c>
      <c r="G942" s="7" t="s">
        <v>160</v>
      </c>
      <c r="H942" s="7" t="s">
        <v>161</v>
      </c>
      <c r="I942" s="7" t="s">
        <v>171</v>
      </c>
      <c r="J942" s="7" t="s">
        <v>172</v>
      </c>
      <c r="K942" s="7" t="s">
        <v>180</v>
      </c>
      <c r="L942" s="7" t="s">
        <v>181</v>
      </c>
      <c r="M942" s="7" t="n">
        <v>5</v>
      </c>
      <c r="N942" s="27" t="n">
        <v>999</v>
      </c>
      <c r="O942" s="28" t="n">
        <v>0.05</v>
      </c>
      <c r="P942" s="27" t="n">
        <v>4745</v>
      </c>
      <c r="Q942" s="27" t="n">
        <v>2600</v>
      </c>
      <c r="R942" s="27" t="n">
        <v>2145</v>
      </c>
      <c r="S942" s="7" t="s">
        <v>60</v>
      </c>
      <c r="T942" s="7" t="str">
        <f aca="false">IF(O942=0,"No discount",IF(O942&lt;=0.2,"Up to 20%","Above 20%"))</f>
        <v>Up to 20%</v>
      </c>
    </row>
    <row r="943" customFormat="false" ht="15" hidden="false" customHeight="true" outlineLevel="0" collapsed="false">
      <c r="A943" s="7" t="s">
        <v>1642</v>
      </c>
      <c r="B943" s="26" t="n">
        <v>45965</v>
      </c>
      <c r="C943" s="26" t="n">
        <v>45972</v>
      </c>
      <c r="D943" s="7" t="s">
        <v>1073</v>
      </c>
      <c r="E943" s="7" t="s">
        <v>1074</v>
      </c>
      <c r="F943" s="7" t="s">
        <v>159</v>
      </c>
      <c r="G943" s="7" t="s">
        <v>206</v>
      </c>
      <c r="H943" s="7" t="s">
        <v>207</v>
      </c>
      <c r="I943" s="7" t="s">
        <v>282</v>
      </c>
      <c r="J943" s="7" t="s">
        <v>387</v>
      </c>
      <c r="K943" s="7" t="s">
        <v>691</v>
      </c>
      <c r="L943" s="7" t="s">
        <v>692</v>
      </c>
      <c r="M943" s="7" t="n">
        <v>3</v>
      </c>
      <c r="N943" s="27" t="n">
        <v>499</v>
      </c>
      <c r="O943" s="28" t="n">
        <v>0.1</v>
      </c>
      <c r="P943" s="27" t="n">
        <v>1347</v>
      </c>
      <c r="Q943" s="27" t="n">
        <v>780</v>
      </c>
      <c r="R943" s="27" t="n">
        <v>567</v>
      </c>
      <c r="S943" s="7" t="s">
        <v>60</v>
      </c>
      <c r="T943" s="7" t="str">
        <f aca="false">IF(O943=0,"No discount",IF(O943&lt;=0.2,"Up to 20%","Above 20%"))</f>
        <v>Up to 20%</v>
      </c>
    </row>
    <row r="944" customFormat="false" ht="15" hidden="false" customHeight="true" outlineLevel="0" collapsed="false">
      <c r="A944" s="7" t="s">
        <v>1643</v>
      </c>
      <c r="B944" s="26" t="n">
        <v>45965</v>
      </c>
      <c r="C944" s="26" t="n">
        <v>45967</v>
      </c>
      <c r="D944" s="7" t="s">
        <v>167</v>
      </c>
      <c r="E944" s="7" t="s">
        <v>168</v>
      </c>
      <c r="F944" s="7" t="s">
        <v>159</v>
      </c>
      <c r="G944" s="7" t="s">
        <v>169</v>
      </c>
      <c r="H944" s="7" t="s">
        <v>170</v>
      </c>
      <c r="I944" s="7" t="s">
        <v>162</v>
      </c>
      <c r="J944" s="7" t="s">
        <v>185</v>
      </c>
      <c r="K944" s="7" t="s">
        <v>186</v>
      </c>
      <c r="L944" s="7" t="s">
        <v>187</v>
      </c>
      <c r="M944" s="7" t="n">
        <v>1</v>
      </c>
      <c r="N944" s="27" t="n">
        <v>3299</v>
      </c>
      <c r="O944" s="28" t="n">
        <v>0.2</v>
      </c>
      <c r="P944" s="27" t="n">
        <v>2639</v>
      </c>
      <c r="Q944" s="27" t="n">
        <v>1900</v>
      </c>
      <c r="R944" s="27" t="n">
        <v>739</v>
      </c>
      <c r="S944" s="7" t="s">
        <v>60</v>
      </c>
      <c r="T944" s="7" t="str">
        <f aca="false">IF(O944=0,"No discount",IF(O944&lt;=0.2,"Up to 20%","Above 20%"))</f>
        <v>Up to 20%</v>
      </c>
    </row>
    <row r="945" customFormat="false" ht="15" hidden="false" customHeight="true" outlineLevel="0" collapsed="false">
      <c r="A945" s="7" t="s">
        <v>1644</v>
      </c>
      <c r="B945" s="26" t="n">
        <v>45965</v>
      </c>
      <c r="C945" s="26" t="n">
        <v>45970</v>
      </c>
      <c r="D945" s="7" t="s">
        <v>796</v>
      </c>
      <c r="E945" s="7" t="s">
        <v>797</v>
      </c>
      <c r="F945" s="7" t="s">
        <v>219</v>
      </c>
      <c r="G945" s="7" t="s">
        <v>169</v>
      </c>
      <c r="H945" s="7" t="s">
        <v>170</v>
      </c>
      <c r="I945" s="7" t="s">
        <v>208</v>
      </c>
      <c r="J945" s="7" t="s">
        <v>232</v>
      </c>
      <c r="K945" s="7" t="s">
        <v>233</v>
      </c>
      <c r="L945" s="7" t="s">
        <v>234</v>
      </c>
      <c r="M945" s="7" t="n">
        <v>2</v>
      </c>
      <c r="N945" s="27" t="n">
        <v>7999</v>
      </c>
      <c r="O945" s="28" t="n">
        <v>0.05</v>
      </c>
      <c r="P945" s="27" t="n">
        <v>15198</v>
      </c>
      <c r="Q945" s="27" t="n">
        <v>11200</v>
      </c>
      <c r="R945" s="27" t="n">
        <v>3998</v>
      </c>
      <c r="S945" s="7" t="s">
        <v>60</v>
      </c>
      <c r="T945" s="7" t="str">
        <f aca="false">IF(O945=0,"No discount",IF(O945&lt;=0.2,"Up to 20%","Above 20%"))</f>
        <v>Up to 20%</v>
      </c>
    </row>
    <row r="946" customFormat="false" ht="15" hidden="false" customHeight="true" outlineLevel="0" collapsed="false">
      <c r="A946" s="7" t="s">
        <v>1645</v>
      </c>
      <c r="B946" s="26" t="n">
        <v>45965</v>
      </c>
      <c r="C946" s="26" t="n">
        <v>45972</v>
      </c>
      <c r="D946" s="7" t="s">
        <v>764</v>
      </c>
      <c r="E946" s="7" t="s">
        <v>765</v>
      </c>
      <c r="F946" s="7" t="s">
        <v>159</v>
      </c>
      <c r="G946" s="7" t="s">
        <v>169</v>
      </c>
      <c r="H946" s="7" t="s">
        <v>170</v>
      </c>
      <c r="I946" s="7" t="s">
        <v>192</v>
      </c>
      <c r="J946" s="7" t="s">
        <v>502</v>
      </c>
      <c r="K946" s="7" t="s">
        <v>526</v>
      </c>
      <c r="L946" s="7" t="s">
        <v>527</v>
      </c>
      <c r="M946" s="7" t="n">
        <v>1</v>
      </c>
      <c r="N946" s="27" t="n">
        <v>6499</v>
      </c>
      <c r="O946" s="28" t="n">
        <v>0.2</v>
      </c>
      <c r="P946" s="27" t="n">
        <v>5199</v>
      </c>
      <c r="Q946" s="27" t="n">
        <v>5000</v>
      </c>
      <c r="R946" s="27" t="n">
        <v>199</v>
      </c>
      <c r="S946" s="7" t="s">
        <v>60</v>
      </c>
      <c r="T946" s="7" t="str">
        <f aca="false">IF(O946=0,"No discount",IF(O946&lt;=0.2,"Up to 20%","Above 20%"))</f>
        <v>Up to 20%</v>
      </c>
    </row>
    <row r="947" customFormat="false" ht="15" hidden="false" customHeight="true" outlineLevel="0" collapsed="false">
      <c r="A947" s="7" t="s">
        <v>1646</v>
      </c>
      <c r="B947" s="26" t="n">
        <v>45965</v>
      </c>
      <c r="C947" s="26" t="n">
        <v>45966</v>
      </c>
      <c r="D947" s="7" t="s">
        <v>648</v>
      </c>
      <c r="E947" s="7" t="s">
        <v>649</v>
      </c>
      <c r="F947" s="7" t="s">
        <v>159</v>
      </c>
      <c r="G947" s="7" t="s">
        <v>160</v>
      </c>
      <c r="H947" s="7" t="s">
        <v>161</v>
      </c>
      <c r="I947" s="7" t="s">
        <v>171</v>
      </c>
      <c r="J947" s="7" t="s">
        <v>172</v>
      </c>
      <c r="K947" s="7" t="s">
        <v>173</v>
      </c>
      <c r="L947" s="7" t="s">
        <v>174</v>
      </c>
      <c r="M947" s="7" t="n">
        <v>3</v>
      </c>
      <c r="N947" s="27" t="n">
        <v>699</v>
      </c>
      <c r="O947" s="28" t="n">
        <v>0</v>
      </c>
      <c r="P947" s="27" t="n">
        <v>2097</v>
      </c>
      <c r="Q947" s="27" t="n">
        <v>960</v>
      </c>
      <c r="R947" s="27" t="n">
        <v>1137</v>
      </c>
      <c r="S947" s="7" t="s">
        <v>60</v>
      </c>
      <c r="T947" s="7" t="str">
        <f aca="false">IF(O947=0,"No discount",IF(O947&lt;=0.2,"Up to 20%","Above 20%"))</f>
        <v>No discount</v>
      </c>
    </row>
    <row r="948" customFormat="false" ht="15" hidden="false" customHeight="true" outlineLevel="0" collapsed="false">
      <c r="A948" s="7" t="s">
        <v>1647</v>
      </c>
      <c r="B948" s="26" t="n">
        <v>45966</v>
      </c>
      <c r="C948" s="26" t="n">
        <v>45970</v>
      </c>
      <c r="D948" s="7" t="s">
        <v>277</v>
      </c>
      <c r="E948" s="7" t="s">
        <v>278</v>
      </c>
      <c r="F948" s="7" t="s">
        <v>159</v>
      </c>
      <c r="G948" s="7" t="s">
        <v>206</v>
      </c>
      <c r="H948" s="7" t="s">
        <v>207</v>
      </c>
      <c r="I948" s="7" t="s">
        <v>192</v>
      </c>
      <c r="J948" s="7" t="s">
        <v>502</v>
      </c>
      <c r="K948" s="7" t="s">
        <v>526</v>
      </c>
      <c r="L948" s="7" t="s">
        <v>527</v>
      </c>
      <c r="M948" s="7" t="n">
        <v>1</v>
      </c>
      <c r="N948" s="27" t="n">
        <v>6499</v>
      </c>
      <c r="O948" s="28" t="n">
        <v>0.2</v>
      </c>
      <c r="P948" s="27" t="n">
        <v>5199</v>
      </c>
      <c r="Q948" s="27" t="n">
        <v>5000</v>
      </c>
      <c r="R948" s="27" t="n">
        <v>199</v>
      </c>
      <c r="S948" s="7" t="s">
        <v>60</v>
      </c>
      <c r="T948" s="7" t="str">
        <f aca="false">IF(O948=0,"No discount",IF(O948&lt;=0.2,"Up to 20%","Above 20%"))</f>
        <v>Up to 20%</v>
      </c>
    </row>
    <row r="949" customFormat="false" ht="15" hidden="false" customHeight="true" outlineLevel="0" collapsed="false">
      <c r="A949" s="7" t="s">
        <v>1648</v>
      </c>
      <c r="B949" s="26" t="n">
        <v>45966</v>
      </c>
      <c r="C949" s="26" t="n">
        <v>45970</v>
      </c>
      <c r="D949" s="7" t="s">
        <v>760</v>
      </c>
      <c r="E949" s="7" t="s">
        <v>761</v>
      </c>
      <c r="F949" s="7" t="s">
        <v>159</v>
      </c>
      <c r="G949" s="7" t="s">
        <v>169</v>
      </c>
      <c r="H949" s="7" t="s">
        <v>170</v>
      </c>
      <c r="I949" s="7" t="s">
        <v>171</v>
      </c>
      <c r="J949" s="7" t="s">
        <v>304</v>
      </c>
      <c r="K949" s="7" t="s">
        <v>305</v>
      </c>
      <c r="L949" s="7" t="s">
        <v>306</v>
      </c>
      <c r="M949" s="7" t="n">
        <v>5</v>
      </c>
      <c r="N949" s="27" t="n">
        <v>2999</v>
      </c>
      <c r="O949" s="28" t="n">
        <v>0.2</v>
      </c>
      <c r="P949" s="27" t="n">
        <v>11996</v>
      </c>
      <c r="Q949" s="27" t="n">
        <v>10000</v>
      </c>
      <c r="R949" s="27" t="n">
        <v>1996</v>
      </c>
      <c r="S949" s="7" t="s">
        <v>60</v>
      </c>
      <c r="T949" s="7" t="str">
        <f aca="false">IF(O949=0,"No discount",IF(O949&lt;=0.2,"Up to 20%","Above 20%"))</f>
        <v>Up to 20%</v>
      </c>
    </row>
    <row r="950" customFormat="false" ht="15" hidden="false" customHeight="true" outlineLevel="0" collapsed="false">
      <c r="A950" s="7" t="s">
        <v>1649</v>
      </c>
      <c r="B950" s="26" t="n">
        <v>45966</v>
      </c>
      <c r="C950" s="26" t="n">
        <v>45971</v>
      </c>
      <c r="D950" s="7" t="s">
        <v>375</v>
      </c>
      <c r="E950" s="7" t="s">
        <v>376</v>
      </c>
      <c r="F950" s="7" t="s">
        <v>159</v>
      </c>
      <c r="G950" s="7" t="s">
        <v>160</v>
      </c>
      <c r="H950" s="7" t="s">
        <v>269</v>
      </c>
      <c r="I950" s="7" t="s">
        <v>208</v>
      </c>
      <c r="J950" s="7" t="s">
        <v>232</v>
      </c>
      <c r="K950" s="7" t="s">
        <v>233</v>
      </c>
      <c r="L950" s="7" t="s">
        <v>234</v>
      </c>
      <c r="M950" s="7" t="n">
        <v>2</v>
      </c>
      <c r="N950" s="27" t="n">
        <v>7999</v>
      </c>
      <c r="O950" s="28" t="n">
        <v>0.05</v>
      </c>
      <c r="P950" s="27" t="n">
        <v>15198</v>
      </c>
      <c r="Q950" s="27" t="n">
        <v>11200</v>
      </c>
      <c r="R950" s="27" t="n">
        <v>3998</v>
      </c>
      <c r="S950" s="7" t="s">
        <v>60</v>
      </c>
      <c r="T950" s="7" t="str">
        <f aca="false">IF(O950=0,"No discount",IF(O950&lt;=0.2,"Up to 20%","Above 20%"))</f>
        <v>Up to 20%</v>
      </c>
    </row>
    <row r="951" customFormat="false" ht="15" hidden="false" customHeight="true" outlineLevel="0" collapsed="false">
      <c r="A951" s="7" t="s">
        <v>1650</v>
      </c>
      <c r="B951" s="26" t="n">
        <v>45966</v>
      </c>
      <c r="C951" s="26" t="n">
        <v>45971</v>
      </c>
      <c r="D951" s="7" t="s">
        <v>167</v>
      </c>
      <c r="E951" s="7" t="s">
        <v>168</v>
      </c>
      <c r="F951" s="7" t="s">
        <v>159</v>
      </c>
      <c r="G951" s="7" t="s">
        <v>169</v>
      </c>
      <c r="H951" s="7" t="s">
        <v>170</v>
      </c>
      <c r="I951" s="7" t="s">
        <v>199</v>
      </c>
      <c r="J951" s="7" t="s">
        <v>292</v>
      </c>
      <c r="K951" s="7" t="s">
        <v>293</v>
      </c>
      <c r="L951" s="7" t="s">
        <v>294</v>
      </c>
      <c r="M951" s="7" t="n">
        <v>1</v>
      </c>
      <c r="N951" s="27" t="n">
        <v>1599</v>
      </c>
      <c r="O951" s="28" t="n">
        <v>0.1</v>
      </c>
      <c r="P951" s="27" t="n">
        <v>1439</v>
      </c>
      <c r="Q951" s="27" t="n">
        <v>750</v>
      </c>
      <c r="R951" s="27" t="n">
        <v>689</v>
      </c>
      <c r="S951" s="7" t="s">
        <v>60</v>
      </c>
      <c r="T951" s="7" t="str">
        <f aca="false">IF(O951=0,"No discount",IF(O951&lt;=0.2,"Up to 20%","Above 20%"))</f>
        <v>Up to 20%</v>
      </c>
    </row>
    <row r="952" customFormat="false" ht="15" hidden="false" customHeight="true" outlineLevel="0" collapsed="false">
      <c r="A952" s="7" t="s">
        <v>1651</v>
      </c>
      <c r="B952" s="26" t="n">
        <v>45966</v>
      </c>
      <c r="C952" s="26" t="n">
        <v>45969</v>
      </c>
      <c r="D952" s="7" t="s">
        <v>896</v>
      </c>
      <c r="E952" s="7" t="s">
        <v>897</v>
      </c>
      <c r="F952" s="7" t="s">
        <v>159</v>
      </c>
      <c r="G952" s="7" t="s">
        <v>160</v>
      </c>
      <c r="H952" s="7" t="s">
        <v>269</v>
      </c>
      <c r="I952" s="7" t="s">
        <v>208</v>
      </c>
      <c r="J952" s="7" t="s">
        <v>421</v>
      </c>
      <c r="K952" s="7" t="s">
        <v>422</v>
      </c>
      <c r="L952" s="7" t="s">
        <v>423</v>
      </c>
      <c r="M952" s="7" t="n">
        <v>1</v>
      </c>
      <c r="N952" s="27" t="n">
        <v>5999</v>
      </c>
      <c r="O952" s="28" t="n">
        <v>0</v>
      </c>
      <c r="P952" s="27" t="n">
        <v>5999</v>
      </c>
      <c r="Q952" s="27" t="n">
        <v>4300</v>
      </c>
      <c r="R952" s="27" t="n">
        <v>1699</v>
      </c>
      <c r="S952" s="7" t="s">
        <v>60</v>
      </c>
      <c r="T952" s="7" t="str">
        <f aca="false">IF(O952=0,"No discount",IF(O952&lt;=0.2,"Up to 20%","Above 20%"))</f>
        <v>No discount</v>
      </c>
    </row>
    <row r="953" customFormat="false" ht="15" hidden="false" customHeight="true" outlineLevel="0" collapsed="false">
      <c r="A953" s="7" t="s">
        <v>1652</v>
      </c>
      <c r="B953" s="26" t="n">
        <v>45966</v>
      </c>
      <c r="C953" s="26" t="n">
        <v>45969</v>
      </c>
      <c r="D953" s="7" t="s">
        <v>318</v>
      </c>
      <c r="E953" s="7" t="s">
        <v>319</v>
      </c>
      <c r="F953" s="7" t="s">
        <v>219</v>
      </c>
      <c r="G953" s="7" t="s">
        <v>160</v>
      </c>
      <c r="H953" s="7" t="s">
        <v>263</v>
      </c>
      <c r="I953" s="7" t="s">
        <v>208</v>
      </c>
      <c r="J953" s="7" t="s">
        <v>209</v>
      </c>
      <c r="K953" s="7" t="s">
        <v>641</v>
      </c>
      <c r="L953" s="7" t="s">
        <v>642</v>
      </c>
      <c r="M953" s="7" t="n">
        <v>2</v>
      </c>
      <c r="N953" s="27" t="n">
        <v>1499</v>
      </c>
      <c r="O953" s="28" t="n">
        <v>0.2</v>
      </c>
      <c r="P953" s="27" t="n">
        <v>2398</v>
      </c>
      <c r="Q953" s="27" t="n">
        <v>1800</v>
      </c>
      <c r="R953" s="27" t="n">
        <v>598</v>
      </c>
      <c r="S953" s="7" t="s">
        <v>60</v>
      </c>
      <c r="T953" s="7" t="str">
        <f aca="false">IF(O953=0,"No discount",IF(O953&lt;=0.2,"Up to 20%","Above 20%"))</f>
        <v>Up to 20%</v>
      </c>
    </row>
    <row r="954" customFormat="false" ht="15" hidden="false" customHeight="true" outlineLevel="0" collapsed="false">
      <c r="A954" s="7" t="s">
        <v>1653</v>
      </c>
      <c r="B954" s="26" t="n">
        <v>45966</v>
      </c>
      <c r="C954" s="26" t="n">
        <v>45967</v>
      </c>
      <c r="D954" s="7" t="s">
        <v>1099</v>
      </c>
      <c r="E954" s="7" t="s">
        <v>1100</v>
      </c>
      <c r="F954" s="7" t="s">
        <v>219</v>
      </c>
      <c r="G954" s="7" t="s">
        <v>169</v>
      </c>
      <c r="H954" s="7" t="s">
        <v>179</v>
      </c>
      <c r="I954" s="7" t="s">
        <v>171</v>
      </c>
      <c r="J954" s="7" t="s">
        <v>304</v>
      </c>
      <c r="K954" s="7" t="s">
        <v>499</v>
      </c>
      <c r="L954" s="7" t="s">
        <v>500</v>
      </c>
      <c r="M954" s="7" t="n">
        <v>2</v>
      </c>
      <c r="N954" s="27" t="n">
        <v>5499</v>
      </c>
      <c r="O954" s="28" t="n">
        <v>0</v>
      </c>
      <c r="P954" s="27" t="n">
        <v>10998</v>
      </c>
      <c r="Q954" s="27" t="n">
        <v>7800</v>
      </c>
      <c r="R954" s="27" t="n">
        <v>3198</v>
      </c>
      <c r="S954" s="7" t="s">
        <v>60</v>
      </c>
      <c r="T954" s="7" t="str">
        <f aca="false">IF(O954=0,"No discount",IF(O954&lt;=0.2,"Up to 20%","Above 20%"))</f>
        <v>No discount</v>
      </c>
    </row>
    <row r="955" customFormat="false" ht="15" hidden="false" customHeight="true" outlineLevel="0" collapsed="false">
      <c r="A955" s="7" t="s">
        <v>1654</v>
      </c>
      <c r="B955" s="26" t="n">
        <v>45967</v>
      </c>
      <c r="C955" s="26" t="n">
        <v>45972</v>
      </c>
      <c r="D955" s="7" t="s">
        <v>914</v>
      </c>
      <c r="E955" s="7" t="s">
        <v>915</v>
      </c>
      <c r="F955" s="7" t="s">
        <v>159</v>
      </c>
      <c r="G955" s="7" t="s">
        <v>160</v>
      </c>
      <c r="H955" s="7" t="s">
        <v>269</v>
      </c>
      <c r="I955" s="7" t="s">
        <v>199</v>
      </c>
      <c r="J955" s="7" t="s">
        <v>398</v>
      </c>
      <c r="K955" s="7" t="s">
        <v>399</v>
      </c>
      <c r="L955" s="7" t="s">
        <v>400</v>
      </c>
      <c r="M955" s="7" t="n">
        <v>3</v>
      </c>
      <c r="N955" s="27" t="n">
        <v>749</v>
      </c>
      <c r="O955" s="28" t="n">
        <v>0</v>
      </c>
      <c r="P955" s="27" t="n">
        <v>2247</v>
      </c>
      <c r="Q955" s="27" t="n">
        <v>1050</v>
      </c>
      <c r="R955" s="27" t="n">
        <v>1197</v>
      </c>
      <c r="S955" s="7" t="s">
        <v>60</v>
      </c>
      <c r="T955" s="7" t="str">
        <f aca="false">IF(O955=0,"No discount",IF(O955&lt;=0.2,"Up to 20%","Above 20%"))</f>
        <v>No discount</v>
      </c>
    </row>
    <row r="956" customFormat="false" ht="15" hidden="false" customHeight="true" outlineLevel="0" collapsed="false">
      <c r="A956" s="7" t="s">
        <v>1655</v>
      </c>
      <c r="B956" s="26" t="n">
        <v>45967</v>
      </c>
      <c r="C956" s="26" t="n">
        <v>45970</v>
      </c>
      <c r="D956" s="7" t="s">
        <v>1212</v>
      </c>
      <c r="E956" s="7" t="s">
        <v>1213</v>
      </c>
      <c r="F956" s="7" t="s">
        <v>159</v>
      </c>
      <c r="G956" s="7" t="s">
        <v>160</v>
      </c>
      <c r="H956" s="7" t="s">
        <v>263</v>
      </c>
      <c r="I956" s="7" t="s">
        <v>162</v>
      </c>
      <c r="J956" s="7" t="s">
        <v>185</v>
      </c>
      <c r="K956" s="7" t="s">
        <v>186</v>
      </c>
      <c r="L956" s="7" t="s">
        <v>187</v>
      </c>
      <c r="M956" s="7" t="n">
        <v>1</v>
      </c>
      <c r="N956" s="27" t="n">
        <v>3299</v>
      </c>
      <c r="O956" s="28" t="n">
        <v>0.1</v>
      </c>
      <c r="P956" s="27" t="n">
        <v>2969</v>
      </c>
      <c r="Q956" s="27" t="n">
        <v>1900</v>
      </c>
      <c r="R956" s="27" t="n">
        <v>1069</v>
      </c>
      <c r="S956" s="7" t="s">
        <v>60</v>
      </c>
      <c r="T956" s="7" t="str">
        <f aca="false">IF(O956=0,"No discount",IF(O956&lt;=0.2,"Up to 20%","Above 20%"))</f>
        <v>Up to 20%</v>
      </c>
    </row>
    <row r="957" customFormat="false" ht="15" hidden="false" customHeight="true" outlineLevel="0" collapsed="false">
      <c r="A957" s="7" t="s">
        <v>1656</v>
      </c>
      <c r="B957" s="26" t="n">
        <v>45967</v>
      </c>
      <c r="C957" s="26" t="n">
        <v>45973</v>
      </c>
      <c r="D957" s="7" t="s">
        <v>357</v>
      </c>
      <c r="E957" s="7" t="s">
        <v>358</v>
      </c>
      <c r="F957" s="7" t="s">
        <v>219</v>
      </c>
      <c r="G957" s="7" t="s">
        <v>160</v>
      </c>
      <c r="H957" s="7" t="s">
        <v>161</v>
      </c>
      <c r="I957" s="7" t="s">
        <v>171</v>
      </c>
      <c r="J957" s="7" t="s">
        <v>172</v>
      </c>
      <c r="K957" s="7" t="s">
        <v>173</v>
      </c>
      <c r="L957" s="7" t="s">
        <v>174</v>
      </c>
      <c r="M957" s="7" t="n">
        <v>4</v>
      </c>
      <c r="N957" s="27" t="n">
        <v>699</v>
      </c>
      <c r="O957" s="28" t="n">
        <v>0.2</v>
      </c>
      <c r="P957" s="27" t="n">
        <v>2237</v>
      </c>
      <c r="Q957" s="27" t="n">
        <v>1280</v>
      </c>
      <c r="R957" s="27" t="n">
        <v>957</v>
      </c>
      <c r="S957" s="7" t="s">
        <v>60</v>
      </c>
      <c r="T957" s="7" t="str">
        <f aca="false">IF(O957=0,"No discount",IF(O957&lt;=0.2,"Up to 20%","Above 20%"))</f>
        <v>Up to 20%</v>
      </c>
    </row>
    <row r="958" customFormat="false" ht="15" hidden="false" customHeight="true" outlineLevel="0" collapsed="false">
      <c r="A958" s="7" t="s">
        <v>1657</v>
      </c>
      <c r="B958" s="26" t="n">
        <v>45967</v>
      </c>
      <c r="C958" s="26" t="n">
        <v>45974</v>
      </c>
      <c r="D958" s="7" t="s">
        <v>815</v>
      </c>
      <c r="E958" s="7" t="s">
        <v>816</v>
      </c>
      <c r="F958" s="7" t="s">
        <v>219</v>
      </c>
      <c r="G958" s="7" t="s">
        <v>160</v>
      </c>
      <c r="H958" s="7" t="s">
        <v>269</v>
      </c>
      <c r="I958" s="7" t="s">
        <v>171</v>
      </c>
      <c r="J958" s="7" t="s">
        <v>304</v>
      </c>
      <c r="K958" s="7" t="s">
        <v>1658</v>
      </c>
      <c r="L958" s="7" t="s">
        <v>1659</v>
      </c>
      <c r="M958" s="7" t="n">
        <v>3</v>
      </c>
      <c r="N958" s="27" t="n">
        <v>599</v>
      </c>
      <c r="O958" s="28" t="n">
        <v>0.05</v>
      </c>
      <c r="P958" s="27" t="n">
        <v>1707</v>
      </c>
      <c r="Q958" s="27" t="n">
        <v>900</v>
      </c>
      <c r="R958" s="27" t="n">
        <v>807</v>
      </c>
      <c r="S958" s="7" t="s">
        <v>60</v>
      </c>
      <c r="T958" s="7" t="str">
        <f aca="false">IF(O958=0,"No discount",IF(O958&lt;=0.2,"Up to 20%","Above 20%"))</f>
        <v>Up to 20%</v>
      </c>
    </row>
    <row r="959" customFormat="false" ht="15" hidden="false" customHeight="true" outlineLevel="0" collapsed="false">
      <c r="A959" s="7" t="s">
        <v>1660</v>
      </c>
      <c r="B959" s="26" t="n">
        <v>45967</v>
      </c>
      <c r="C959" s="26" t="n">
        <v>45972</v>
      </c>
      <c r="D959" s="7" t="s">
        <v>601</v>
      </c>
      <c r="E959" s="7" t="s">
        <v>602</v>
      </c>
      <c r="F959" s="7" t="s">
        <v>159</v>
      </c>
      <c r="G959" s="7" t="s">
        <v>160</v>
      </c>
      <c r="H959" s="7" t="s">
        <v>263</v>
      </c>
      <c r="I959" s="7" t="s">
        <v>162</v>
      </c>
      <c r="J959" s="7" t="s">
        <v>325</v>
      </c>
      <c r="K959" s="7" t="s">
        <v>381</v>
      </c>
      <c r="L959" s="7" t="s">
        <v>382</v>
      </c>
      <c r="M959" s="7" t="n">
        <v>1</v>
      </c>
      <c r="N959" s="27" t="n">
        <v>1799</v>
      </c>
      <c r="O959" s="28" t="n">
        <v>0</v>
      </c>
      <c r="P959" s="27" t="n">
        <v>1799</v>
      </c>
      <c r="Q959" s="27" t="n">
        <v>950</v>
      </c>
      <c r="R959" s="27" t="n">
        <v>849</v>
      </c>
      <c r="S959" s="7" t="s">
        <v>60</v>
      </c>
      <c r="T959" s="7" t="str">
        <f aca="false">IF(O959=0,"No discount",IF(O959&lt;=0.2,"Up to 20%","Above 20%"))</f>
        <v>No discount</v>
      </c>
    </row>
    <row r="960" customFormat="false" ht="15" hidden="false" customHeight="true" outlineLevel="0" collapsed="false">
      <c r="A960" s="7" t="s">
        <v>1661</v>
      </c>
      <c r="B960" s="26" t="n">
        <v>45967</v>
      </c>
      <c r="C960" s="26" t="n">
        <v>45969</v>
      </c>
      <c r="D960" s="7" t="s">
        <v>183</v>
      </c>
      <c r="E960" s="7" t="s">
        <v>184</v>
      </c>
      <c r="F960" s="7" t="s">
        <v>178</v>
      </c>
      <c r="G960" s="7" t="s">
        <v>160</v>
      </c>
      <c r="H960" s="7" t="s">
        <v>161</v>
      </c>
      <c r="I960" s="7" t="s">
        <v>282</v>
      </c>
      <c r="J960" s="7" t="s">
        <v>387</v>
      </c>
      <c r="K960" s="7" t="s">
        <v>388</v>
      </c>
      <c r="L960" s="7" t="s">
        <v>389</v>
      </c>
      <c r="M960" s="7" t="n">
        <v>3</v>
      </c>
      <c r="N960" s="27" t="n">
        <v>1299</v>
      </c>
      <c r="O960" s="28" t="n">
        <v>0.1</v>
      </c>
      <c r="P960" s="27" t="n">
        <v>3507</v>
      </c>
      <c r="Q960" s="27" t="n">
        <v>2340</v>
      </c>
      <c r="R960" s="27" t="n">
        <v>1167</v>
      </c>
      <c r="S960" s="7" t="s">
        <v>60</v>
      </c>
      <c r="T960" s="7" t="str">
        <f aca="false">IF(O960=0,"No discount",IF(O960&lt;=0.2,"Up to 20%","Above 20%"))</f>
        <v>Up to 20%</v>
      </c>
    </row>
    <row r="961" customFormat="false" ht="15" hidden="false" customHeight="true" outlineLevel="0" collapsed="false">
      <c r="A961" s="7" t="s">
        <v>1662</v>
      </c>
      <c r="B961" s="26" t="n">
        <v>45967</v>
      </c>
      <c r="C961" s="26" t="n">
        <v>45974</v>
      </c>
      <c r="D961" s="7" t="s">
        <v>597</v>
      </c>
      <c r="E961" s="7" t="s">
        <v>598</v>
      </c>
      <c r="F961" s="7" t="s">
        <v>159</v>
      </c>
      <c r="G961" s="7" t="s">
        <v>160</v>
      </c>
      <c r="H961" s="7" t="s">
        <v>269</v>
      </c>
      <c r="I961" s="7" t="s">
        <v>192</v>
      </c>
      <c r="J961" s="7" t="s">
        <v>502</v>
      </c>
      <c r="K961" s="7" t="s">
        <v>503</v>
      </c>
      <c r="L961" s="7" t="s">
        <v>504</v>
      </c>
      <c r="M961" s="7" t="n">
        <v>2</v>
      </c>
      <c r="N961" s="27" t="n">
        <v>3499</v>
      </c>
      <c r="O961" s="28" t="n">
        <v>0.2</v>
      </c>
      <c r="P961" s="27" t="n">
        <v>5598</v>
      </c>
      <c r="Q961" s="27" t="n">
        <v>5000</v>
      </c>
      <c r="R961" s="27" t="n">
        <v>598</v>
      </c>
      <c r="S961" s="7" t="s">
        <v>60</v>
      </c>
      <c r="T961" s="7" t="str">
        <f aca="false">IF(O961=0,"No discount",IF(O961&lt;=0.2,"Up to 20%","Above 20%"))</f>
        <v>Up to 20%</v>
      </c>
    </row>
    <row r="962" customFormat="false" ht="15" hidden="false" customHeight="true" outlineLevel="0" collapsed="false">
      <c r="A962" s="7" t="s">
        <v>1663</v>
      </c>
      <c r="B962" s="26" t="n">
        <v>45968</v>
      </c>
      <c r="C962" s="26" t="n">
        <v>45974</v>
      </c>
      <c r="D962" s="7" t="s">
        <v>796</v>
      </c>
      <c r="E962" s="7" t="s">
        <v>797</v>
      </c>
      <c r="F962" s="7" t="s">
        <v>219</v>
      </c>
      <c r="G962" s="7" t="s">
        <v>169</v>
      </c>
      <c r="H962" s="7" t="s">
        <v>170</v>
      </c>
      <c r="I962" s="7" t="s">
        <v>162</v>
      </c>
      <c r="J962" s="7" t="s">
        <v>185</v>
      </c>
      <c r="K962" s="7" t="s">
        <v>186</v>
      </c>
      <c r="L962" s="7" t="s">
        <v>187</v>
      </c>
      <c r="M962" s="7" t="n">
        <v>1</v>
      </c>
      <c r="N962" s="27" t="n">
        <v>3299</v>
      </c>
      <c r="O962" s="28" t="n">
        <v>0</v>
      </c>
      <c r="P962" s="27" t="n">
        <v>3299</v>
      </c>
      <c r="Q962" s="27" t="n">
        <v>1900</v>
      </c>
      <c r="R962" s="27" t="n">
        <v>1399</v>
      </c>
      <c r="S962" s="7" t="s">
        <v>60</v>
      </c>
      <c r="T962" s="7" t="str">
        <f aca="false">IF(O962=0,"No discount",IF(O962&lt;=0.2,"Up to 20%","Above 20%"))</f>
        <v>No discount</v>
      </c>
    </row>
    <row r="963" customFormat="false" ht="15" hidden="false" customHeight="true" outlineLevel="0" collapsed="false">
      <c r="A963" s="7" t="s">
        <v>1664</v>
      </c>
      <c r="B963" s="26" t="n">
        <v>45968</v>
      </c>
      <c r="C963" s="26" t="n">
        <v>45972</v>
      </c>
      <c r="D963" s="7" t="s">
        <v>517</v>
      </c>
      <c r="E963" s="7" t="s">
        <v>518</v>
      </c>
      <c r="F963" s="7" t="s">
        <v>159</v>
      </c>
      <c r="G963" s="7" t="s">
        <v>206</v>
      </c>
      <c r="H963" s="7" t="s">
        <v>207</v>
      </c>
      <c r="I963" s="7" t="s">
        <v>171</v>
      </c>
      <c r="J963" s="7" t="s">
        <v>172</v>
      </c>
      <c r="K963" s="7" t="s">
        <v>173</v>
      </c>
      <c r="L963" s="7" t="s">
        <v>174</v>
      </c>
      <c r="M963" s="7" t="n">
        <v>2</v>
      </c>
      <c r="N963" s="27" t="n">
        <v>699</v>
      </c>
      <c r="O963" s="28" t="n">
        <v>0.2</v>
      </c>
      <c r="P963" s="27" t="n">
        <v>1118</v>
      </c>
      <c r="Q963" s="27" t="n">
        <v>640</v>
      </c>
      <c r="R963" s="27" t="n">
        <v>478</v>
      </c>
      <c r="S963" s="7" t="s">
        <v>60</v>
      </c>
      <c r="T963" s="7" t="str">
        <f aca="false">IF(O963=0,"No discount",IF(O963&lt;=0.2,"Up to 20%","Above 20%"))</f>
        <v>Up to 20%</v>
      </c>
    </row>
    <row r="964" customFormat="false" ht="15" hidden="false" customHeight="true" outlineLevel="0" collapsed="false">
      <c r="A964" s="7" t="s">
        <v>1665</v>
      </c>
      <c r="B964" s="26" t="n">
        <v>45968</v>
      </c>
      <c r="C964" s="26" t="n">
        <v>45973</v>
      </c>
      <c r="D964" s="7" t="s">
        <v>866</v>
      </c>
      <c r="E964" s="7" t="s">
        <v>867</v>
      </c>
      <c r="F964" s="7" t="s">
        <v>159</v>
      </c>
      <c r="G964" s="7" t="s">
        <v>169</v>
      </c>
      <c r="H964" s="7" t="s">
        <v>170</v>
      </c>
      <c r="I964" s="7" t="s">
        <v>162</v>
      </c>
      <c r="J964" s="7" t="s">
        <v>251</v>
      </c>
      <c r="K964" s="7" t="s">
        <v>252</v>
      </c>
      <c r="L964" s="7" t="s">
        <v>253</v>
      </c>
      <c r="M964" s="7" t="n">
        <v>1</v>
      </c>
      <c r="N964" s="27" t="n">
        <v>3999</v>
      </c>
      <c r="O964" s="28" t="n">
        <v>0.2</v>
      </c>
      <c r="P964" s="27" t="n">
        <v>3199</v>
      </c>
      <c r="Q964" s="27" t="n">
        <v>2400</v>
      </c>
      <c r="R964" s="27" t="n">
        <v>799</v>
      </c>
      <c r="S964" s="7" t="s">
        <v>60</v>
      </c>
      <c r="T964" s="7" t="str">
        <f aca="false">IF(O964=0,"No discount",IF(O964&lt;=0.2,"Up to 20%","Above 20%"))</f>
        <v>Up to 20%</v>
      </c>
    </row>
    <row r="965" customFormat="false" ht="15" hidden="false" customHeight="true" outlineLevel="0" collapsed="false">
      <c r="A965" s="7" t="s">
        <v>1666</v>
      </c>
      <c r="B965" s="26" t="n">
        <v>45968</v>
      </c>
      <c r="C965" s="26" t="n">
        <v>45974</v>
      </c>
      <c r="D965" s="7" t="s">
        <v>1212</v>
      </c>
      <c r="E965" s="7" t="s">
        <v>1213</v>
      </c>
      <c r="F965" s="7" t="s">
        <v>159</v>
      </c>
      <c r="G965" s="7" t="s">
        <v>160</v>
      </c>
      <c r="H965" s="7" t="s">
        <v>263</v>
      </c>
      <c r="I965" s="7" t="s">
        <v>208</v>
      </c>
      <c r="J965" s="7" t="s">
        <v>232</v>
      </c>
      <c r="K965" s="7" t="s">
        <v>233</v>
      </c>
      <c r="L965" s="7" t="s">
        <v>234</v>
      </c>
      <c r="M965" s="7" t="n">
        <v>1</v>
      </c>
      <c r="N965" s="27" t="n">
        <v>7999</v>
      </c>
      <c r="O965" s="28" t="n">
        <v>0.2</v>
      </c>
      <c r="P965" s="27" t="n">
        <v>6399</v>
      </c>
      <c r="Q965" s="27" t="n">
        <v>5600</v>
      </c>
      <c r="R965" s="27" t="n">
        <v>799</v>
      </c>
      <c r="S965" s="7" t="s">
        <v>60</v>
      </c>
      <c r="T965" s="7" t="str">
        <f aca="false">IF(O965=0,"No discount",IF(O965&lt;=0.2,"Up to 20%","Above 20%"))</f>
        <v>Up to 20%</v>
      </c>
    </row>
    <row r="966" customFormat="false" ht="15" hidden="false" customHeight="true" outlineLevel="0" collapsed="false">
      <c r="A966" s="7" t="s">
        <v>1667</v>
      </c>
      <c r="B966" s="26" t="n">
        <v>45968</v>
      </c>
      <c r="C966" s="26" t="n">
        <v>45975</v>
      </c>
      <c r="D966" s="7" t="s">
        <v>648</v>
      </c>
      <c r="E966" s="7" t="s">
        <v>649</v>
      </c>
      <c r="F966" s="7" t="s">
        <v>159</v>
      </c>
      <c r="G966" s="7" t="s">
        <v>160</v>
      </c>
      <c r="H966" s="7" t="s">
        <v>161</v>
      </c>
      <c r="I966" s="7" t="s">
        <v>162</v>
      </c>
      <c r="J966" s="7" t="s">
        <v>163</v>
      </c>
      <c r="K966" s="7" t="s">
        <v>164</v>
      </c>
      <c r="L966" s="7" t="s">
        <v>165</v>
      </c>
      <c r="M966" s="7" t="n">
        <v>3</v>
      </c>
      <c r="N966" s="27" t="n">
        <v>1999</v>
      </c>
      <c r="O966" s="28" t="n">
        <v>0.1</v>
      </c>
      <c r="P966" s="27" t="n">
        <v>5397</v>
      </c>
      <c r="Q966" s="27" t="n">
        <v>3150</v>
      </c>
      <c r="R966" s="27" t="n">
        <v>2247</v>
      </c>
      <c r="S966" s="7" t="s">
        <v>60</v>
      </c>
      <c r="T966" s="7" t="str">
        <f aca="false">IF(O966=0,"No discount",IF(O966&lt;=0.2,"Up to 20%","Above 20%"))</f>
        <v>Up to 20%</v>
      </c>
    </row>
    <row r="967" customFormat="false" ht="15" hidden="false" customHeight="true" outlineLevel="0" collapsed="false">
      <c r="A967" s="7" t="s">
        <v>1668</v>
      </c>
      <c r="B967" s="26" t="n">
        <v>45969</v>
      </c>
      <c r="C967" s="26" t="n">
        <v>45976</v>
      </c>
      <c r="D967" s="7" t="s">
        <v>1191</v>
      </c>
      <c r="E967" s="7" t="s">
        <v>1192</v>
      </c>
      <c r="F967" s="7" t="s">
        <v>219</v>
      </c>
      <c r="G967" s="7" t="s">
        <v>160</v>
      </c>
      <c r="H967" s="7" t="s">
        <v>269</v>
      </c>
      <c r="I967" s="7" t="s">
        <v>199</v>
      </c>
      <c r="J967" s="7" t="s">
        <v>292</v>
      </c>
      <c r="K967" s="7" t="s">
        <v>293</v>
      </c>
      <c r="L967" s="7" t="s">
        <v>294</v>
      </c>
      <c r="M967" s="7" t="n">
        <v>2</v>
      </c>
      <c r="N967" s="27" t="n">
        <v>1599</v>
      </c>
      <c r="O967" s="28" t="n">
        <v>0.3</v>
      </c>
      <c r="P967" s="27" t="n">
        <v>2239</v>
      </c>
      <c r="Q967" s="27" t="n">
        <v>1500</v>
      </c>
      <c r="R967" s="27" t="n">
        <v>739</v>
      </c>
      <c r="S967" s="7" t="s">
        <v>60</v>
      </c>
      <c r="T967" s="7" t="str">
        <f aca="false">IF(O967=0,"No discount",IF(O967&lt;=0.2,"Up to 20%","Above 20%"))</f>
        <v>Above 20%</v>
      </c>
    </row>
    <row r="968" customFormat="false" ht="15" hidden="false" customHeight="true" outlineLevel="0" collapsed="false">
      <c r="A968" s="7" t="s">
        <v>1669</v>
      </c>
      <c r="B968" s="26" t="n">
        <v>45969</v>
      </c>
      <c r="C968" s="26" t="n">
        <v>45976</v>
      </c>
      <c r="D968" s="7" t="s">
        <v>906</v>
      </c>
      <c r="E968" s="7" t="s">
        <v>907</v>
      </c>
      <c r="F968" s="7" t="s">
        <v>159</v>
      </c>
      <c r="G968" s="7" t="s">
        <v>160</v>
      </c>
      <c r="H968" s="7" t="s">
        <v>263</v>
      </c>
      <c r="I968" s="7" t="s">
        <v>192</v>
      </c>
      <c r="J968" s="7" t="s">
        <v>502</v>
      </c>
      <c r="K968" s="7" t="s">
        <v>526</v>
      </c>
      <c r="L968" s="7" t="s">
        <v>527</v>
      </c>
      <c r="M968" s="7" t="n">
        <v>1</v>
      </c>
      <c r="N968" s="27" t="n">
        <v>6499</v>
      </c>
      <c r="O968" s="28" t="n">
        <v>0.1</v>
      </c>
      <c r="P968" s="27" t="n">
        <v>5849</v>
      </c>
      <c r="Q968" s="27" t="n">
        <v>5000</v>
      </c>
      <c r="R968" s="27" t="n">
        <v>849</v>
      </c>
      <c r="S968" s="7" t="s">
        <v>60</v>
      </c>
      <c r="T968" s="7" t="str">
        <f aca="false">IF(O968=0,"No discount",IF(O968&lt;=0.2,"Up to 20%","Above 20%"))</f>
        <v>Up to 20%</v>
      </c>
    </row>
    <row r="969" customFormat="false" ht="15" hidden="false" customHeight="true" outlineLevel="0" collapsed="false">
      <c r="A969" s="7" t="s">
        <v>1670</v>
      </c>
      <c r="B969" s="26" t="n">
        <v>45969</v>
      </c>
      <c r="C969" s="26" t="n">
        <v>45970</v>
      </c>
      <c r="D969" s="7" t="s">
        <v>354</v>
      </c>
      <c r="E969" s="7" t="s">
        <v>355</v>
      </c>
      <c r="F969" s="7" t="s">
        <v>159</v>
      </c>
      <c r="G969" s="7" t="s">
        <v>323</v>
      </c>
      <c r="H969" s="7" t="s">
        <v>324</v>
      </c>
      <c r="I969" s="7" t="s">
        <v>192</v>
      </c>
      <c r="J969" s="7" t="s">
        <v>502</v>
      </c>
      <c r="K969" s="7" t="s">
        <v>526</v>
      </c>
      <c r="L969" s="7" t="s">
        <v>527</v>
      </c>
      <c r="M969" s="7" t="n">
        <v>3</v>
      </c>
      <c r="N969" s="27" t="n">
        <v>6499</v>
      </c>
      <c r="O969" s="28" t="n">
        <v>0.2</v>
      </c>
      <c r="P969" s="27" t="n">
        <v>15598</v>
      </c>
      <c r="Q969" s="27" t="n">
        <v>15000</v>
      </c>
      <c r="R969" s="27" t="n">
        <v>598</v>
      </c>
      <c r="S969" s="7" t="s">
        <v>60</v>
      </c>
      <c r="T969" s="7" t="str">
        <f aca="false">IF(O969=0,"No discount",IF(O969&lt;=0.2,"Up to 20%","Above 20%"))</f>
        <v>Up to 20%</v>
      </c>
    </row>
    <row r="970" customFormat="false" ht="15" hidden="false" customHeight="true" outlineLevel="0" collapsed="false">
      <c r="A970" s="7" t="s">
        <v>1671</v>
      </c>
      <c r="B970" s="26" t="n">
        <v>45969</v>
      </c>
      <c r="C970" s="26" t="n">
        <v>45973</v>
      </c>
      <c r="D970" s="7" t="s">
        <v>345</v>
      </c>
      <c r="E970" s="7" t="s">
        <v>346</v>
      </c>
      <c r="F970" s="7" t="s">
        <v>159</v>
      </c>
      <c r="G970" s="7" t="s">
        <v>160</v>
      </c>
      <c r="H970" s="7" t="s">
        <v>161</v>
      </c>
      <c r="I970" s="7" t="s">
        <v>208</v>
      </c>
      <c r="J970" s="7" t="s">
        <v>232</v>
      </c>
      <c r="K970" s="7" t="s">
        <v>233</v>
      </c>
      <c r="L970" s="7" t="s">
        <v>234</v>
      </c>
      <c r="M970" s="7" t="n">
        <v>1</v>
      </c>
      <c r="N970" s="27" t="n">
        <v>7999</v>
      </c>
      <c r="O970" s="28" t="n">
        <v>0.1</v>
      </c>
      <c r="P970" s="27" t="n">
        <v>7199</v>
      </c>
      <c r="Q970" s="27" t="n">
        <v>5600</v>
      </c>
      <c r="R970" s="27" t="n">
        <v>1599</v>
      </c>
      <c r="S970" s="7" t="s">
        <v>60</v>
      </c>
      <c r="T970" s="7" t="str">
        <f aca="false">IF(O970=0,"No discount",IF(O970&lt;=0.2,"Up to 20%","Above 20%"))</f>
        <v>Up to 20%</v>
      </c>
    </row>
    <row r="971" customFormat="false" ht="15" hidden="false" customHeight="true" outlineLevel="0" collapsed="false">
      <c r="A971" s="7" t="s">
        <v>1672</v>
      </c>
      <c r="B971" s="26" t="n">
        <v>45969</v>
      </c>
      <c r="C971" s="26" t="n">
        <v>45974</v>
      </c>
      <c r="D971" s="7" t="s">
        <v>734</v>
      </c>
      <c r="E971" s="7" t="s">
        <v>735</v>
      </c>
      <c r="F971" s="7" t="s">
        <v>159</v>
      </c>
      <c r="G971" s="7" t="s">
        <v>206</v>
      </c>
      <c r="H971" s="7" t="s">
        <v>207</v>
      </c>
      <c r="I971" s="7" t="s">
        <v>208</v>
      </c>
      <c r="J971" s="7" t="s">
        <v>421</v>
      </c>
      <c r="K971" s="7" t="s">
        <v>422</v>
      </c>
      <c r="L971" s="7" t="s">
        <v>423</v>
      </c>
      <c r="M971" s="7" t="n">
        <v>2</v>
      </c>
      <c r="N971" s="27" t="n">
        <v>5999</v>
      </c>
      <c r="O971" s="28" t="n">
        <v>0</v>
      </c>
      <c r="P971" s="27" t="n">
        <v>11998</v>
      </c>
      <c r="Q971" s="27" t="n">
        <v>8600</v>
      </c>
      <c r="R971" s="27" t="n">
        <v>3398</v>
      </c>
      <c r="S971" s="7" t="s">
        <v>60</v>
      </c>
      <c r="T971" s="7" t="str">
        <f aca="false">IF(O971=0,"No discount",IF(O971&lt;=0.2,"Up to 20%","Above 20%"))</f>
        <v>No discount</v>
      </c>
    </row>
    <row r="972" customFormat="false" ht="15" hidden="false" customHeight="true" outlineLevel="0" collapsed="false">
      <c r="A972" s="7" t="s">
        <v>1673</v>
      </c>
      <c r="B972" s="26" t="n">
        <v>45970</v>
      </c>
      <c r="C972" s="26" t="n">
        <v>45973</v>
      </c>
      <c r="D972" s="7" t="s">
        <v>296</v>
      </c>
      <c r="E972" s="7" t="s">
        <v>297</v>
      </c>
      <c r="F972" s="7" t="s">
        <v>178</v>
      </c>
      <c r="G972" s="7" t="s">
        <v>169</v>
      </c>
      <c r="H972" s="7" t="s">
        <v>179</v>
      </c>
      <c r="I972" s="7" t="s">
        <v>208</v>
      </c>
      <c r="J972" s="7" t="s">
        <v>421</v>
      </c>
      <c r="K972" s="7" t="s">
        <v>422</v>
      </c>
      <c r="L972" s="7" t="s">
        <v>423</v>
      </c>
      <c r="M972" s="7" t="n">
        <v>1</v>
      </c>
      <c r="N972" s="27" t="n">
        <v>5999</v>
      </c>
      <c r="O972" s="28" t="n">
        <v>0</v>
      </c>
      <c r="P972" s="27" t="n">
        <v>5999</v>
      </c>
      <c r="Q972" s="27" t="n">
        <v>4300</v>
      </c>
      <c r="R972" s="27" t="n">
        <v>1699</v>
      </c>
      <c r="S972" s="7" t="s">
        <v>60</v>
      </c>
      <c r="T972" s="7" t="str">
        <f aca="false">IF(O972=0,"No discount",IF(O972&lt;=0.2,"Up to 20%","Above 20%"))</f>
        <v>No discount</v>
      </c>
    </row>
    <row r="973" customFormat="false" ht="15" hidden="false" customHeight="true" outlineLevel="0" collapsed="false">
      <c r="A973" s="7" t="s">
        <v>1674</v>
      </c>
      <c r="B973" s="26" t="n">
        <v>45970</v>
      </c>
      <c r="C973" s="26" t="n">
        <v>45971</v>
      </c>
      <c r="D973" s="7" t="s">
        <v>485</v>
      </c>
      <c r="E973" s="7" t="s">
        <v>486</v>
      </c>
      <c r="F973" s="7" t="s">
        <v>159</v>
      </c>
      <c r="G973" s="7" t="s">
        <v>169</v>
      </c>
      <c r="H973" s="7" t="s">
        <v>179</v>
      </c>
      <c r="I973" s="7" t="s">
        <v>171</v>
      </c>
      <c r="J973" s="7" t="s">
        <v>314</v>
      </c>
      <c r="K973" s="7" t="s">
        <v>315</v>
      </c>
      <c r="L973" s="7" t="s">
        <v>316</v>
      </c>
      <c r="M973" s="7" t="n">
        <v>1</v>
      </c>
      <c r="N973" s="27" t="n">
        <v>1299</v>
      </c>
      <c r="O973" s="28" t="n">
        <v>0.05</v>
      </c>
      <c r="P973" s="27" t="n">
        <v>1234</v>
      </c>
      <c r="Q973" s="27" t="n">
        <v>700</v>
      </c>
      <c r="R973" s="27" t="n">
        <v>534</v>
      </c>
      <c r="S973" s="7" t="s">
        <v>60</v>
      </c>
      <c r="T973" s="7" t="str">
        <f aca="false">IF(O973=0,"No discount",IF(O973&lt;=0.2,"Up to 20%","Above 20%"))</f>
        <v>Up to 20%</v>
      </c>
    </row>
    <row r="974" customFormat="false" ht="15" hidden="false" customHeight="true" outlineLevel="0" collapsed="false">
      <c r="A974" s="7" t="s">
        <v>1675</v>
      </c>
      <c r="B974" s="26" t="n">
        <v>45970</v>
      </c>
      <c r="C974" s="26" t="n">
        <v>45976</v>
      </c>
      <c r="D974" s="7" t="s">
        <v>789</v>
      </c>
      <c r="E974" s="7" t="s">
        <v>790</v>
      </c>
      <c r="F974" s="7" t="s">
        <v>159</v>
      </c>
      <c r="G974" s="7" t="s">
        <v>160</v>
      </c>
      <c r="H974" s="7" t="s">
        <v>161</v>
      </c>
      <c r="I974" s="7" t="s">
        <v>208</v>
      </c>
      <c r="J974" s="7" t="s">
        <v>209</v>
      </c>
      <c r="K974" s="7" t="s">
        <v>637</v>
      </c>
      <c r="L974" s="7" t="s">
        <v>638</v>
      </c>
      <c r="M974" s="7" t="n">
        <v>1</v>
      </c>
      <c r="N974" s="27" t="n">
        <v>899</v>
      </c>
      <c r="O974" s="28" t="n">
        <v>0</v>
      </c>
      <c r="P974" s="27" t="n">
        <v>899</v>
      </c>
      <c r="Q974" s="27" t="n">
        <v>480</v>
      </c>
      <c r="R974" s="27" t="n">
        <v>419</v>
      </c>
      <c r="S974" s="7" t="s">
        <v>60</v>
      </c>
      <c r="T974" s="7" t="str">
        <f aca="false">IF(O974=0,"No discount",IF(O974&lt;=0.2,"Up to 20%","Above 20%"))</f>
        <v>No discount</v>
      </c>
    </row>
    <row r="975" customFormat="false" ht="15" hidden="false" customHeight="true" outlineLevel="0" collapsed="false">
      <c r="A975" s="7" t="s">
        <v>1676</v>
      </c>
      <c r="B975" s="26" t="n">
        <v>45970</v>
      </c>
      <c r="C975" s="26" t="n">
        <v>45972</v>
      </c>
      <c r="D975" s="7" t="s">
        <v>729</v>
      </c>
      <c r="E975" s="7" t="s">
        <v>730</v>
      </c>
      <c r="F975" s="7" t="s">
        <v>159</v>
      </c>
      <c r="G975" s="7" t="s">
        <v>160</v>
      </c>
      <c r="H975" s="7" t="s">
        <v>269</v>
      </c>
      <c r="I975" s="7" t="s">
        <v>192</v>
      </c>
      <c r="J975" s="7" t="s">
        <v>213</v>
      </c>
      <c r="K975" s="7" t="s">
        <v>264</v>
      </c>
      <c r="L975" s="7" t="s">
        <v>265</v>
      </c>
      <c r="M975" s="7" t="n">
        <v>3</v>
      </c>
      <c r="N975" s="27" t="n">
        <v>2499</v>
      </c>
      <c r="O975" s="28" t="n">
        <v>0.1</v>
      </c>
      <c r="P975" s="27" t="n">
        <v>6747</v>
      </c>
      <c r="Q975" s="27" t="n">
        <v>5100</v>
      </c>
      <c r="R975" s="27" t="n">
        <v>1647</v>
      </c>
      <c r="S975" s="7" t="s">
        <v>60</v>
      </c>
      <c r="T975" s="7" t="str">
        <f aca="false">IF(O975=0,"No discount",IF(O975&lt;=0.2,"Up to 20%","Above 20%"))</f>
        <v>Up to 20%</v>
      </c>
    </row>
    <row r="976" customFormat="false" ht="15" hidden="false" customHeight="true" outlineLevel="0" collapsed="false">
      <c r="A976" s="7" t="s">
        <v>1677</v>
      </c>
      <c r="B976" s="26" t="n">
        <v>45970</v>
      </c>
      <c r="C976" s="26" t="n">
        <v>45975</v>
      </c>
      <c r="D976" s="7" t="s">
        <v>318</v>
      </c>
      <c r="E976" s="7" t="s">
        <v>319</v>
      </c>
      <c r="F976" s="7" t="s">
        <v>219</v>
      </c>
      <c r="G976" s="7" t="s">
        <v>160</v>
      </c>
      <c r="H976" s="7" t="s">
        <v>263</v>
      </c>
      <c r="I976" s="7" t="s">
        <v>192</v>
      </c>
      <c r="J976" s="7" t="s">
        <v>213</v>
      </c>
      <c r="K976" s="7" t="s">
        <v>214</v>
      </c>
      <c r="L976" s="7" t="s">
        <v>215</v>
      </c>
      <c r="M976" s="7" t="n">
        <v>3</v>
      </c>
      <c r="N976" s="27" t="n">
        <v>5999</v>
      </c>
      <c r="O976" s="28" t="n">
        <v>0.3</v>
      </c>
      <c r="P976" s="27" t="n">
        <v>12598</v>
      </c>
      <c r="Q976" s="27" t="n">
        <v>13800</v>
      </c>
      <c r="R976" s="27" t="n">
        <v>-1202</v>
      </c>
      <c r="S976" s="7" t="s">
        <v>60</v>
      </c>
      <c r="T976" s="7" t="str">
        <f aca="false">IF(O976=0,"No discount",IF(O976&lt;=0.2,"Up to 20%","Above 20%"))</f>
        <v>Above 20%</v>
      </c>
    </row>
    <row r="977" customFormat="false" ht="15" hidden="false" customHeight="true" outlineLevel="0" collapsed="false">
      <c r="A977" s="7" t="s">
        <v>1678</v>
      </c>
      <c r="B977" s="26" t="n">
        <v>45970</v>
      </c>
      <c r="C977" s="26" t="n">
        <v>45975</v>
      </c>
      <c r="D977" s="7" t="s">
        <v>1679</v>
      </c>
      <c r="E977" s="7" t="s">
        <v>1680</v>
      </c>
      <c r="F977" s="7" t="s">
        <v>159</v>
      </c>
      <c r="G977" s="7" t="s">
        <v>206</v>
      </c>
      <c r="H977" s="7" t="s">
        <v>207</v>
      </c>
      <c r="I977" s="7" t="s">
        <v>282</v>
      </c>
      <c r="J977" s="7" t="s">
        <v>427</v>
      </c>
      <c r="K977" s="7" t="s">
        <v>428</v>
      </c>
      <c r="L977" s="7" t="s">
        <v>429</v>
      </c>
      <c r="M977" s="7" t="n">
        <v>3</v>
      </c>
      <c r="N977" s="27" t="n">
        <v>149</v>
      </c>
      <c r="O977" s="28" t="n">
        <v>0</v>
      </c>
      <c r="P977" s="27" t="n">
        <v>447</v>
      </c>
      <c r="Q977" s="27" t="n">
        <v>210</v>
      </c>
      <c r="R977" s="27" t="n">
        <v>237</v>
      </c>
      <c r="S977" s="7" t="s">
        <v>60</v>
      </c>
      <c r="T977" s="7" t="str">
        <f aca="false">IF(O977=0,"No discount",IF(O977&lt;=0.2,"Up to 20%","Above 20%"))</f>
        <v>No discount</v>
      </c>
    </row>
    <row r="978" customFormat="false" ht="15" hidden="false" customHeight="true" outlineLevel="0" collapsed="false">
      <c r="A978" s="7" t="s">
        <v>1681</v>
      </c>
      <c r="B978" s="26" t="n">
        <v>45970</v>
      </c>
      <c r="C978" s="26" t="n">
        <v>45976</v>
      </c>
      <c r="D978" s="7" t="s">
        <v>479</v>
      </c>
      <c r="E978" s="7" t="s">
        <v>480</v>
      </c>
      <c r="F978" s="7" t="s">
        <v>178</v>
      </c>
      <c r="G978" s="7" t="s">
        <v>169</v>
      </c>
      <c r="H978" s="7" t="s">
        <v>179</v>
      </c>
      <c r="I978" s="7" t="s">
        <v>282</v>
      </c>
      <c r="J978" s="7" t="s">
        <v>427</v>
      </c>
      <c r="K978" s="7" t="s">
        <v>428</v>
      </c>
      <c r="L978" s="7" t="s">
        <v>429</v>
      </c>
      <c r="M978" s="7" t="n">
        <v>2</v>
      </c>
      <c r="N978" s="27" t="n">
        <v>149</v>
      </c>
      <c r="O978" s="28" t="n">
        <v>0</v>
      </c>
      <c r="P978" s="27" t="n">
        <v>298</v>
      </c>
      <c r="Q978" s="27" t="n">
        <v>140</v>
      </c>
      <c r="R978" s="27" t="n">
        <v>158</v>
      </c>
      <c r="S978" s="7" t="s">
        <v>60</v>
      </c>
      <c r="T978" s="7" t="str">
        <f aca="false">IF(O978=0,"No discount",IF(O978&lt;=0.2,"Up to 20%","Above 20%"))</f>
        <v>No discount</v>
      </c>
    </row>
    <row r="979" customFormat="false" ht="15" hidden="false" customHeight="true" outlineLevel="0" collapsed="false">
      <c r="A979" s="7" t="s">
        <v>1682</v>
      </c>
      <c r="B979" s="26" t="n">
        <v>45971</v>
      </c>
      <c r="C979" s="26" t="n">
        <v>45975</v>
      </c>
      <c r="D979" s="7" t="s">
        <v>591</v>
      </c>
      <c r="E979" s="7" t="s">
        <v>592</v>
      </c>
      <c r="F979" s="7" t="s">
        <v>159</v>
      </c>
      <c r="G979" s="7" t="s">
        <v>169</v>
      </c>
      <c r="H979" s="7" t="s">
        <v>179</v>
      </c>
      <c r="I979" s="7" t="s">
        <v>199</v>
      </c>
      <c r="J979" s="7" t="s">
        <v>200</v>
      </c>
      <c r="K979" s="7" t="s">
        <v>201</v>
      </c>
      <c r="L979" s="7" t="s">
        <v>202</v>
      </c>
      <c r="M979" s="7" t="n">
        <v>2</v>
      </c>
      <c r="N979" s="27" t="n">
        <v>399</v>
      </c>
      <c r="O979" s="28" t="n">
        <v>0.1</v>
      </c>
      <c r="P979" s="27" t="n">
        <v>718</v>
      </c>
      <c r="Q979" s="27" t="n">
        <v>320</v>
      </c>
      <c r="R979" s="27" t="n">
        <v>398</v>
      </c>
      <c r="S979" s="7" t="s">
        <v>60</v>
      </c>
      <c r="T979" s="7" t="str">
        <f aca="false">IF(O979=0,"No discount",IF(O979&lt;=0.2,"Up to 20%","Above 20%"))</f>
        <v>Up to 20%</v>
      </c>
    </row>
    <row r="980" customFormat="false" ht="15" hidden="false" customHeight="true" outlineLevel="0" collapsed="false">
      <c r="A980" s="7" t="s">
        <v>1683</v>
      </c>
      <c r="B980" s="26" t="n">
        <v>45971</v>
      </c>
      <c r="C980" s="26" t="n">
        <v>45975</v>
      </c>
      <c r="D980" s="7" t="s">
        <v>973</v>
      </c>
      <c r="E980" s="7" t="s">
        <v>974</v>
      </c>
      <c r="F980" s="7" t="s">
        <v>159</v>
      </c>
      <c r="G980" s="7" t="s">
        <v>160</v>
      </c>
      <c r="H980" s="7" t="s">
        <v>269</v>
      </c>
      <c r="I980" s="7" t="s">
        <v>208</v>
      </c>
      <c r="J980" s="7" t="s">
        <v>232</v>
      </c>
      <c r="K980" s="7" t="s">
        <v>233</v>
      </c>
      <c r="L980" s="7" t="s">
        <v>234</v>
      </c>
      <c r="M980" s="7" t="n">
        <v>2</v>
      </c>
      <c r="N980" s="27" t="n">
        <v>7999</v>
      </c>
      <c r="O980" s="28" t="n">
        <v>0</v>
      </c>
      <c r="P980" s="27" t="n">
        <v>15998</v>
      </c>
      <c r="Q980" s="27" t="n">
        <v>11200</v>
      </c>
      <c r="R980" s="27" t="n">
        <v>4798</v>
      </c>
      <c r="S980" s="7" t="s">
        <v>60</v>
      </c>
      <c r="T980" s="7" t="str">
        <f aca="false">IF(O980=0,"No discount",IF(O980&lt;=0.2,"Up to 20%","Above 20%"))</f>
        <v>No discount</v>
      </c>
    </row>
    <row r="981" customFormat="false" ht="15" hidden="false" customHeight="true" outlineLevel="0" collapsed="false">
      <c r="A981" s="7" t="s">
        <v>1684</v>
      </c>
      <c r="B981" s="26" t="n">
        <v>45971</v>
      </c>
      <c r="C981" s="26" t="n">
        <v>45972</v>
      </c>
      <c r="D981" s="7" t="s">
        <v>441</v>
      </c>
      <c r="E981" s="7" t="s">
        <v>442</v>
      </c>
      <c r="F981" s="7" t="s">
        <v>159</v>
      </c>
      <c r="G981" s="7" t="s">
        <v>169</v>
      </c>
      <c r="H981" s="7" t="s">
        <v>191</v>
      </c>
      <c r="I981" s="7" t="s">
        <v>208</v>
      </c>
      <c r="J981" s="7" t="s">
        <v>209</v>
      </c>
      <c r="K981" s="7" t="s">
        <v>641</v>
      </c>
      <c r="L981" s="7" t="s">
        <v>642</v>
      </c>
      <c r="M981" s="7" t="n">
        <v>5</v>
      </c>
      <c r="N981" s="27" t="n">
        <v>1499</v>
      </c>
      <c r="O981" s="28" t="n">
        <v>0.05</v>
      </c>
      <c r="P981" s="27" t="n">
        <v>7120</v>
      </c>
      <c r="Q981" s="27" t="n">
        <v>4500</v>
      </c>
      <c r="R981" s="27" t="n">
        <v>2620</v>
      </c>
      <c r="S981" s="7" t="s">
        <v>60</v>
      </c>
      <c r="T981" s="7" t="str">
        <f aca="false">IF(O981=0,"No discount",IF(O981&lt;=0.2,"Up to 20%","Above 20%"))</f>
        <v>Up to 20%</v>
      </c>
    </row>
    <row r="982" customFormat="false" ht="15" hidden="false" customHeight="true" outlineLevel="0" collapsed="false">
      <c r="A982" s="7" t="s">
        <v>1685</v>
      </c>
      <c r="B982" s="26" t="n">
        <v>45971</v>
      </c>
      <c r="C982" s="26" t="n">
        <v>45973</v>
      </c>
      <c r="D982" s="7" t="s">
        <v>1395</v>
      </c>
      <c r="E982" s="7" t="s">
        <v>1396</v>
      </c>
      <c r="F982" s="7" t="s">
        <v>159</v>
      </c>
      <c r="G982" s="7" t="s">
        <v>206</v>
      </c>
      <c r="H982" s="7" t="s">
        <v>207</v>
      </c>
      <c r="I982" s="7" t="s">
        <v>192</v>
      </c>
      <c r="J982" s="7" t="s">
        <v>193</v>
      </c>
      <c r="K982" s="7" t="s">
        <v>194</v>
      </c>
      <c r="L982" s="7" t="s">
        <v>195</v>
      </c>
      <c r="M982" s="7" t="n">
        <v>1</v>
      </c>
      <c r="N982" s="27" t="n">
        <v>8999</v>
      </c>
      <c r="O982" s="28" t="n">
        <v>0.3</v>
      </c>
      <c r="P982" s="27" t="n">
        <v>6299</v>
      </c>
      <c r="Q982" s="27" t="n">
        <v>6800</v>
      </c>
      <c r="R982" s="27" t="n">
        <v>-501</v>
      </c>
      <c r="S982" s="7" t="s">
        <v>60</v>
      </c>
      <c r="T982" s="7" t="str">
        <f aca="false">IF(O982=0,"No discount",IF(O982&lt;=0.2,"Up to 20%","Above 20%"))</f>
        <v>Above 20%</v>
      </c>
    </row>
    <row r="983" customFormat="false" ht="15" hidden="false" customHeight="true" outlineLevel="0" collapsed="false">
      <c r="A983" s="7" t="s">
        <v>1686</v>
      </c>
      <c r="B983" s="26" t="n">
        <v>45971</v>
      </c>
      <c r="C983" s="26" t="n">
        <v>45975</v>
      </c>
      <c r="D983" s="7" t="s">
        <v>767</v>
      </c>
      <c r="E983" s="7" t="s">
        <v>768</v>
      </c>
      <c r="F983" s="7" t="s">
        <v>159</v>
      </c>
      <c r="G983" s="7" t="s">
        <v>160</v>
      </c>
      <c r="H983" s="7" t="s">
        <v>269</v>
      </c>
      <c r="I983" s="7" t="s">
        <v>192</v>
      </c>
      <c r="J983" s="7" t="s">
        <v>213</v>
      </c>
      <c r="K983" s="7" t="s">
        <v>264</v>
      </c>
      <c r="L983" s="7" t="s">
        <v>265</v>
      </c>
      <c r="M983" s="7" t="n">
        <v>2</v>
      </c>
      <c r="N983" s="27" t="n">
        <v>2499</v>
      </c>
      <c r="O983" s="28" t="n">
        <v>0.4</v>
      </c>
      <c r="P983" s="27" t="n">
        <v>2999</v>
      </c>
      <c r="Q983" s="27" t="n">
        <v>3400</v>
      </c>
      <c r="R983" s="27" t="n">
        <v>-401</v>
      </c>
      <c r="S983" s="7" t="s">
        <v>60</v>
      </c>
      <c r="T983" s="7" t="str">
        <f aca="false">IF(O983=0,"No discount",IF(O983&lt;=0.2,"Up to 20%","Above 20%"))</f>
        <v>Above 20%</v>
      </c>
    </row>
    <row r="984" customFormat="false" ht="15" hidden="false" customHeight="true" outlineLevel="0" collapsed="false">
      <c r="A984" s="7" t="s">
        <v>1687</v>
      </c>
      <c r="B984" s="26" t="n">
        <v>45972</v>
      </c>
      <c r="C984" s="26" t="n">
        <v>45978</v>
      </c>
      <c r="D984" s="7" t="s">
        <v>1688</v>
      </c>
      <c r="E984" s="7" t="s">
        <v>1689</v>
      </c>
      <c r="F984" s="7" t="s">
        <v>178</v>
      </c>
      <c r="G984" s="7" t="s">
        <v>323</v>
      </c>
      <c r="H984" s="7" t="s">
        <v>324</v>
      </c>
      <c r="I984" s="7" t="s">
        <v>282</v>
      </c>
      <c r="J984" s="7" t="s">
        <v>427</v>
      </c>
      <c r="K984" s="7" t="s">
        <v>428</v>
      </c>
      <c r="L984" s="7" t="s">
        <v>429</v>
      </c>
      <c r="M984" s="7" t="n">
        <v>1</v>
      </c>
      <c r="N984" s="27" t="n">
        <v>149</v>
      </c>
      <c r="O984" s="28" t="n">
        <v>0</v>
      </c>
      <c r="P984" s="27" t="n">
        <v>149</v>
      </c>
      <c r="Q984" s="27" t="n">
        <v>70</v>
      </c>
      <c r="R984" s="27" t="n">
        <v>79</v>
      </c>
      <c r="S984" s="7" t="s">
        <v>60</v>
      </c>
      <c r="T984" s="7" t="str">
        <f aca="false">IF(O984=0,"No discount",IF(O984&lt;=0.2,"Up to 20%","Above 20%"))</f>
        <v>No discount</v>
      </c>
    </row>
    <row r="985" customFormat="false" ht="15" hidden="false" customHeight="true" outlineLevel="0" collapsed="false">
      <c r="A985" s="7" t="s">
        <v>1690</v>
      </c>
      <c r="B985" s="26" t="n">
        <v>45972</v>
      </c>
      <c r="C985" s="26" t="n">
        <v>45973</v>
      </c>
      <c r="D985" s="7" t="s">
        <v>806</v>
      </c>
      <c r="E985" s="7" t="s">
        <v>807</v>
      </c>
      <c r="F985" s="7" t="s">
        <v>159</v>
      </c>
      <c r="G985" s="7" t="s">
        <v>160</v>
      </c>
      <c r="H985" s="7" t="s">
        <v>161</v>
      </c>
      <c r="I985" s="7" t="s">
        <v>192</v>
      </c>
      <c r="J985" s="7" t="s">
        <v>213</v>
      </c>
      <c r="K985" s="7" t="s">
        <v>214</v>
      </c>
      <c r="L985" s="7" t="s">
        <v>215</v>
      </c>
      <c r="M985" s="7" t="n">
        <v>2</v>
      </c>
      <c r="N985" s="27" t="n">
        <v>5999</v>
      </c>
      <c r="O985" s="28" t="n">
        <v>0.3</v>
      </c>
      <c r="P985" s="27" t="n">
        <v>8399</v>
      </c>
      <c r="Q985" s="27" t="n">
        <v>9200</v>
      </c>
      <c r="R985" s="27" t="n">
        <v>-801</v>
      </c>
      <c r="S985" s="7" t="s">
        <v>60</v>
      </c>
      <c r="T985" s="7" t="str">
        <f aca="false">IF(O985=0,"No discount",IF(O985&lt;=0.2,"Up to 20%","Above 20%"))</f>
        <v>Above 20%</v>
      </c>
    </row>
    <row r="986" customFormat="false" ht="15" hidden="false" customHeight="true" outlineLevel="0" collapsed="false">
      <c r="A986" s="7" t="s">
        <v>1691</v>
      </c>
      <c r="B986" s="26" t="n">
        <v>45973</v>
      </c>
      <c r="C986" s="26" t="n">
        <v>45974</v>
      </c>
      <c r="D986" s="7" t="s">
        <v>277</v>
      </c>
      <c r="E986" s="7" t="s">
        <v>278</v>
      </c>
      <c r="F986" s="7" t="s">
        <v>159</v>
      </c>
      <c r="G986" s="7" t="s">
        <v>206</v>
      </c>
      <c r="H986" s="7" t="s">
        <v>207</v>
      </c>
      <c r="I986" s="7" t="s">
        <v>199</v>
      </c>
      <c r="J986" s="7" t="s">
        <v>223</v>
      </c>
      <c r="K986" s="7" t="s">
        <v>246</v>
      </c>
      <c r="L986" s="7" t="s">
        <v>247</v>
      </c>
      <c r="M986" s="7" t="n">
        <v>1</v>
      </c>
      <c r="N986" s="27" t="n">
        <v>599</v>
      </c>
      <c r="O986" s="28" t="n">
        <v>0</v>
      </c>
      <c r="P986" s="27" t="n">
        <v>599</v>
      </c>
      <c r="Q986" s="27" t="n">
        <v>270</v>
      </c>
      <c r="R986" s="27" t="n">
        <v>329</v>
      </c>
      <c r="S986" s="7" t="s">
        <v>60</v>
      </c>
      <c r="T986" s="7" t="str">
        <f aca="false">IF(O986=0,"No discount",IF(O986&lt;=0.2,"Up to 20%","Above 20%"))</f>
        <v>No discount</v>
      </c>
    </row>
    <row r="987" customFormat="false" ht="15" hidden="false" customHeight="true" outlineLevel="0" collapsed="false">
      <c r="A987" s="7" t="s">
        <v>1692</v>
      </c>
      <c r="B987" s="26" t="n">
        <v>45973</v>
      </c>
      <c r="C987" s="26" t="n">
        <v>45980</v>
      </c>
      <c r="D987" s="7" t="s">
        <v>796</v>
      </c>
      <c r="E987" s="7" t="s">
        <v>797</v>
      </c>
      <c r="F987" s="7" t="s">
        <v>219</v>
      </c>
      <c r="G987" s="7" t="s">
        <v>169</v>
      </c>
      <c r="H987" s="7" t="s">
        <v>170</v>
      </c>
      <c r="I987" s="7" t="s">
        <v>208</v>
      </c>
      <c r="J987" s="7" t="s">
        <v>421</v>
      </c>
      <c r="K987" s="7" t="s">
        <v>422</v>
      </c>
      <c r="L987" s="7" t="s">
        <v>423</v>
      </c>
      <c r="M987" s="7" t="n">
        <v>1</v>
      </c>
      <c r="N987" s="27" t="n">
        <v>5999</v>
      </c>
      <c r="O987" s="28" t="n">
        <v>0.05</v>
      </c>
      <c r="P987" s="27" t="n">
        <v>5699</v>
      </c>
      <c r="Q987" s="27" t="n">
        <v>4300</v>
      </c>
      <c r="R987" s="27" t="n">
        <v>1399</v>
      </c>
      <c r="S987" s="7" t="s">
        <v>60</v>
      </c>
      <c r="T987" s="7" t="str">
        <f aca="false">IF(O987=0,"No discount",IF(O987&lt;=0.2,"Up to 20%","Above 20%"))</f>
        <v>Up to 20%</v>
      </c>
    </row>
    <row r="988" customFormat="false" ht="15" hidden="false" customHeight="true" outlineLevel="0" collapsed="false">
      <c r="A988" s="7" t="s">
        <v>1693</v>
      </c>
      <c r="B988" s="26" t="n">
        <v>45973</v>
      </c>
      <c r="C988" s="26" t="n">
        <v>45976</v>
      </c>
      <c r="D988" s="7" t="s">
        <v>1191</v>
      </c>
      <c r="E988" s="7" t="s">
        <v>1192</v>
      </c>
      <c r="F988" s="7" t="s">
        <v>219</v>
      </c>
      <c r="G988" s="7" t="s">
        <v>160</v>
      </c>
      <c r="H988" s="7" t="s">
        <v>269</v>
      </c>
      <c r="I988" s="7" t="s">
        <v>199</v>
      </c>
      <c r="J988" s="7" t="s">
        <v>200</v>
      </c>
      <c r="K988" s="7" t="s">
        <v>201</v>
      </c>
      <c r="L988" s="7" t="s">
        <v>202</v>
      </c>
      <c r="M988" s="7" t="n">
        <v>1</v>
      </c>
      <c r="N988" s="27" t="n">
        <v>399</v>
      </c>
      <c r="O988" s="28" t="n">
        <v>0</v>
      </c>
      <c r="P988" s="27" t="n">
        <v>399</v>
      </c>
      <c r="Q988" s="27" t="n">
        <v>160</v>
      </c>
      <c r="R988" s="27" t="n">
        <v>239</v>
      </c>
      <c r="S988" s="7" t="s">
        <v>60</v>
      </c>
      <c r="T988" s="7" t="str">
        <f aca="false">IF(O988=0,"No discount",IF(O988&lt;=0.2,"Up to 20%","Above 20%"))</f>
        <v>No discount</v>
      </c>
    </row>
    <row r="989" customFormat="false" ht="15" hidden="false" customHeight="true" outlineLevel="0" collapsed="false">
      <c r="A989" s="7" t="s">
        <v>1694</v>
      </c>
      <c r="B989" s="26" t="n">
        <v>45973</v>
      </c>
      <c r="C989" s="26" t="n">
        <v>45980</v>
      </c>
      <c r="D989" s="7" t="s">
        <v>1003</v>
      </c>
      <c r="E989" s="7" t="s">
        <v>1004</v>
      </c>
      <c r="F989" s="7" t="s">
        <v>159</v>
      </c>
      <c r="G989" s="7" t="s">
        <v>206</v>
      </c>
      <c r="H989" s="7" t="s">
        <v>207</v>
      </c>
      <c r="I989" s="7" t="s">
        <v>171</v>
      </c>
      <c r="J989" s="7" t="s">
        <v>172</v>
      </c>
      <c r="K989" s="7" t="s">
        <v>180</v>
      </c>
      <c r="L989" s="7" t="s">
        <v>181</v>
      </c>
      <c r="M989" s="7" t="n">
        <v>2</v>
      </c>
      <c r="N989" s="27" t="n">
        <v>999</v>
      </c>
      <c r="O989" s="28" t="n">
        <v>0.2</v>
      </c>
      <c r="P989" s="27" t="n">
        <v>1598</v>
      </c>
      <c r="Q989" s="27" t="n">
        <v>1040</v>
      </c>
      <c r="R989" s="27" t="n">
        <v>558</v>
      </c>
      <c r="S989" s="7" t="s">
        <v>60</v>
      </c>
      <c r="T989" s="7" t="str">
        <f aca="false">IF(O989=0,"No discount",IF(O989&lt;=0.2,"Up to 20%","Above 20%"))</f>
        <v>Up to 20%</v>
      </c>
    </row>
    <row r="990" customFormat="false" ht="15" hidden="false" customHeight="true" outlineLevel="0" collapsed="false">
      <c r="A990" s="7" t="s">
        <v>1695</v>
      </c>
      <c r="B990" s="26" t="n">
        <v>45973</v>
      </c>
      <c r="C990" s="26" t="n">
        <v>45978</v>
      </c>
      <c r="D990" s="7" t="s">
        <v>719</v>
      </c>
      <c r="E990" s="7" t="s">
        <v>720</v>
      </c>
      <c r="F990" s="7" t="s">
        <v>159</v>
      </c>
      <c r="G990" s="7" t="s">
        <v>323</v>
      </c>
      <c r="H990" s="7" t="s">
        <v>324</v>
      </c>
      <c r="I990" s="7" t="s">
        <v>282</v>
      </c>
      <c r="J990" s="7" t="s">
        <v>387</v>
      </c>
      <c r="K990" s="7" t="s">
        <v>547</v>
      </c>
      <c r="L990" s="7" t="s">
        <v>548</v>
      </c>
      <c r="M990" s="7" t="n">
        <v>1</v>
      </c>
      <c r="N990" s="27" t="n">
        <v>249</v>
      </c>
      <c r="O990" s="28" t="n">
        <v>0.05</v>
      </c>
      <c r="P990" s="27" t="n">
        <v>237</v>
      </c>
      <c r="Q990" s="27" t="n">
        <v>120</v>
      </c>
      <c r="R990" s="27" t="n">
        <v>117</v>
      </c>
      <c r="S990" s="7" t="s">
        <v>60</v>
      </c>
      <c r="T990" s="7" t="str">
        <f aca="false">IF(O990=0,"No discount",IF(O990&lt;=0.2,"Up to 20%","Above 20%"))</f>
        <v>Up to 20%</v>
      </c>
    </row>
    <row r="991" customFormat="false" ht="15" hidden="false" customHeight="true" outlineLevel="0" collapsed="false">
      <c r="A991" s="7" t="s">
        <v>1696</v>
      </c>
      <c r="B991" s="26" t="n">
        <v>45973</v>
      </c>
      <c r="C991" s="26" t="n">
        <v>45977</v>
      </c>
      <c r="D991" s="7" t="s">
        <v>330</v>
      </c>
      <c r="E991" s="7" t="s">
        <v>331</v>
      </c>
      <c r="F991" s="7" t="s">
        <v>219</v>
      </c>
      <c r="G991" s="7" t="s">
        <v>206</v>
      </c>
      <c r="H991" s="7" t="s">
        <v>207</v>
      </c>
      <c r="I991" s="7" t="s">
        <v>199</v>
      </c>
      <c r="J991" s="7" t="s">
        <v>223</v>
      </c>
      <c r="K991" s="7" t="s">
        <v>246</v>
      </c>
      <c r="L991" s="7" t="s">
        <v>247</v>
      </c>
      <c r="M991" s="7" t="n">
        <v>1</v>
      </c>
      <c r="N991" s="27" t="n">
        <v>599</v>
      </c>
      <c r="O991" s="28" t="n">
        <v>0.1</v>
      </c>
      <c r="P991" s="27" t="n">
        <v>539</v>
      </c>
      <c r="Q991" s="27" t="n">
        <v>270</v>
      </c>
      <c r="R991" s="27" t="n">
        <v>269</v>
      </c>
      <c r="S991" s="7" t="s">
        <v>60</v>
      </c>
      <c r="T991" s="7" t="str">
        <f aca="false">IF(O991=0,"No discount",IF(O991&lt;=0.2,"Up to 20%","Above 20%"))</f>
        <v>Up to 20%</v>
      </c>
    </row>
    <row r="992" customFormat="false" ht="15" hidden="false" customHeight="true" outlineLevel="0" collapsed="false">
      <c r="A992" s="7" t="s">
        <v>1697</v>
      </c>
      <c r="B992" s="26" t="n">
        <v>45974</v>
      </c>
      <c r="C992" s="26" t="n">
        <v>45978</v>
      </c>
      <c r="D992" s="7" t="s">
        <v>560</v>
      </c>
      <c r="E992" s="7" t="s">
        <v>561</v>
      </c>
      <c r="F992" s="7" t="s">
        <v>219</v>
      </c>
      <c r="G992" s="7" t="s">
        <v>160</v>
      </c>
      <c r="H992" s="7" t="s">
        <v>269</v>
      </c>
      <c r="I992" s="7" t="s">
        <v>162</v>
      </c>
      <c r="J992" s="7" t="s">
        <v>325</v>
      </c>
      <c r="K992" s="7" t="s">
        <v>583</v>
      </c>
      <c r="L992" s="7" t="s">
        <v>584</v>
      </c>
      <c r="M992" s="7" t="n">
        <v>1</v>
      </c>
      <c r="N992" s="27" t="n">
        <v>1499</v>
      </c>
      <c r="O992" s="28" t="n">
        <v>0.5</v>
      </c>
      <c r="P992" s="27" t="n">
        <v>750</v>
      </c>
      <c r="Q992" s="27" t="n">
        <v>750</v>
      </c>
      <c r="R992" s="27" t="n">
        <v>0</v>
      </c>
      <c r="S992" s="7" t="s">
        <v>60</v>
      </c>
      <c r="T992" s="7" t="str">
        <f aca="false">IF(O992=0,"No discount",IF(O992&lt;=0.2,"Up to 20%","Above 20%"))</f>
        <v>Above 20%</v>
      </c>
    </row>
    <row r="993" customFormat="false" ht="15" hidden="false" customHeight="true" outlineLevel="0" collapsed="false">
      <c r="A993" s="7" t="s">
        <v>1698</v>
      </c>
      <c r="B993" s="26" t="n">
        <v>45974</v>
      </c>
      <c r="C993" s="26" t="n">
        <v>45976</v>
      </c>
      <c r="D993" s="7" t="s">
        <v>459</v>
      </c>
      <c r="E993" s="7" t="s">
        <v>460</v>
      </c>
      <c r="F993" s="7" t="s">
        <v>219</v>
      </c>
      <c r="G993" s="7" t="s">
        <v>160</v>
      </c>
      <c r="H993" s="7" t="s">
        <v>269</v>
      </c>
      <c r="I993" s="7" t="s">
        <v>192</v>
      </c>
      <c r="J993" s="7" t="s">
        <v>193</v>
      </c>
      <c r="K993" s="7" t="s">
        <v>194</v>
      </c>
      <c r="L993" s="7" t="s">
        <v>195</v>
      </c>
      <c r="M993" s="7" t="n">
        <v>4</v>
      </c>
      <c r="N993" s="27" t="n">
        <v>8999</v>
      </c>
      <c r="O993" s="28" t="n">
        <v>0.1</v>
      </c>
      <c r="P993" s="27" t="n">
        <v>32396</v>
      </c>
      <c r="Q993" s="27" t="n">
        <v>27200</v>
      </c>
      <c r="R993" s="27" t="n">
        <v>5196</v>
      </c>
      <c r="S993" s="7" t="s">
        <v>60</v>
      </c>
      <c r="T993" s="7" t="str">
        <f aca="false">IF(O993=0,"No discount",IF(O993&lt;=0.2,"Up to 20%","Above 20%"))</f>
        <v>Up to 20%</v>
      </c>
    </row>
    <row r="994" customFormat="false" ht="15" hidden="false" customHeight="true" outlineLevel="0" collapsed="false">
      <c r="A994" s="7" t="s">
        <v>1699</v>
      </c>
      <c r="B994" s="26" t="n">
        <v>45974</v>
      </c>
      <c r="C994" s="26" t="n">
        <v>45975</v>
      </c>
      <c r="D994" s="7" t="s">
        <v>197</v>
      </c>
      <c r="E994" s="7" t="s">
        <v>198</v>
      </c>
      <c r="F994" s="7" t="s">
        <v>178</v>
      </c>
      <c r="G994" s="7" t="s">
        <v>169</v>
      </c>
      <c r="H994" s="7" t="s">
        <v>191</v>
      </c>
      <c r="I994" s="7" t="s">
        <v>208</v>
      </c>
      <c r="J994" s="7" t="s">
        <v>209</v>
      </c>
      <c r="K994" s="7" t="s">
        <v>210</v>
      </c>
      <c r="L994" s="7" t="s">
        <v>211</v>
      </c>
      <c r="M994" s="7" t="n">
        <v>2</v>
      </c>
      <c r="N994" s="27" t="n">
        <v>3499</v>
      </c>
      <c r="O994" s="28" t="n">
        <v>0.05</v>
      </c>
      <c r="P994" s="27" t="n">
        <v>6648</v>
      </c>
      <c r="Q994" s="27" t="n">
        <v>4400</v>
      </c>
      <c r="R994" s="27" t="n">
        <v>2248</v>
      </c>
      <c r="S994" s="7" t="s">
        <v>47</v>
      </c>
      <c r="T994" s="7" t="str">
        <f aca="false">IF(O994=0,"No discount",IF(O994&lt;=0.2,"Up to 20%","Above 20%"))</f>
        <v>Up to 20%</v>
      </c>
    </row>
    <row r="995" customFormat="false" ht="15" hidden="false" customHeight="true" outlineLevel="0" collapsed="false">
      <c r="A995" s="7" t="s">
        <v>1700</v>
      </c>
      <c r="B995" s="26" t="n">
        <v>45975</v>
      </c>
      <c r="C995" s="26" t="n">
        <v>45980</v>
      </c>
      <c r="D995" s="7" t="s">
        <v>545</v>
      </c>
      <c r="E995" s="7" t="s">
        <v>546</v>
      </c>
      <c r="F995" s="7" t="s">
        <v>219</v>
      </c>
      <c r="G995" s="7" t="s">
        <v>169</v>
      </c>
      <c r="H995" s="7" t="s">
        <v>179</v>
      </c>
      <c r="I995" s="7" t="s">
        <v>208</v>
      </c>
      <c r="J995" s="7" t="s">
        <v>209</v>
      </c>
      <c r="K995" s="7" t="s">
        <v>238</v>
      </c>
      <c r="L995" s="7" t="s">
        <v>239</v>
      </c>
      <c r="M995" s="7" t="n">
        <v>1</v>
      </c>
      <c r="N995" s="27" t="n">
        <v>2199</v>
      </c>
      <c r="O995" s="28" t="n">
        <v>0.05</v>
      </c>
      <c r="P995" s="27" t="n">
        <v>2089</v>
      </c>
      <c r="Q995" s="27" t="n">
        <v>1400</v>
      </c>
      <c r="R995" s="27" t="n">
        <v>689</v>
      </c>
      <c r="S995" s="7" t="s">
        <v>60</v>
      </c>
      <c r="T995" s="7" t="str">
        <f aca="false">IF(O995=0,"No discount",IF(O995&lt;=0.2,"Up to 20%","Above 20%"))</f>
        <v>Up to 20%</v>
      </c>
    </row>
    <row r="996" customFormat="false" ht="15" hidden="false" customHeight="true" outlineLevel="0" collapsed="false">
      <c r="A996" s="7" t="s">
        <v>1701</v>
      </c>
      <c r="B996" s="26" t="n">
        <v>45975</v>
      </c>
      <c r="C996" s="26" t="n">
        <v>45982</v>
      </c>
      <c r="D996" s="7" t="s">
        <v>469</v>
      </c>
      <c r="E996" s="7" t="s">
        <v>470</v>
      </c>
      <c r="F996" s="7" t="s">
        <v>219</v>
      </c>
      <c r="G996" s="7" t="s">
        <v>160</v>
      </c>
      <c r="H996" s="7" t="s">
        <v>269</v>
      </c>
      <c r="I996" s="7" t="s">
        <v>199</v>
      </c>
      <c r="J996" s="7" t="s">
        <v>292</v>
      </c>
      <c r="K996" s="7" t="s">
        <v>293</v>
      </c>
      <c r="L996" s="7" t="s">
        <v>294</v>
      </c>
      <c r="M996" s="7" t="n">
        <v>3</v>
      </c>
      <c r="N996" s="27" t="n">
        <v>1599</v>
      </c>
      <c r="O996" s="28" t="n">
        <v>0.1</v>
      </c>
      <c r="P996" s="27" t="n">
        <v>4317</v>
      </c>
      <c r="Q996" s="27" t="n">
        <v>2250</v>
      </c>
      <c r="R996" s="27" t="n">
        <v>2067</v>
      </c>
      <c r="S996" s="7" t="s">
        <v>60</v>
      </c>
      <c r="T996" s="7" t="str">
        <f aca="false">IF(O996=0,"No discount",IF(O996&lt;=0.2,"Up to 20%","Above 20%"))</f>
        <v>Up to 20%</v>
      </c>
    </row>
    <row r="997" customFormat="false" ht="15" hidden="false" customHeight="true" outlineLevel="0" collapsed="false">
      <c r="A997" s="7" t="s">
        <v>1702</v>
      </c>
      <c r="B997" s="26" t="n">
        <v>45976</v>
      </c>
      <c r="C997" s="26" t="n">
        <v>45983</v>
      </c>
      <c r="D997" s="7" t="s">
        <v>336</v>
      </c>
      <c r="E997" s="7" t="s">
        <v>337</v>
      </c>
      <c r="F997" s="7" t="s">
        <v>219</v>
      </c>
      <c r="G997" s="7" t="s">
        <v>206</v>
      </c>
      <c r="H997" s="7" t="s">
        <v>207</v>
      </c>
      <c r="I997" s="7" t="s">
        <v>162</v>
      </c>
      <c r="J997" s="7" t="s">
        <v>325</v>
      </c>
      <c r="K997" s="7" t="s">
        <v>326</v>
      </c>
      <c r="L997" s="7" t="s">
        <v>327</v>
      </c>
      <c r="M997" s="7" t="n">
        <v>2</v>
      </c>
      <c r="N997" s="27" t="n">
        <v>799</v>
      </c>
      <c r="O997" s="28" t="n">
        <v>0.5</v>
      </c>
      <c r="P997" s="27" t="n">
        <v>799</v>
      </c>
      <c r="Q997" s="27" t="n">
        <v>760</v>
      </c>
      <c r="R997" s="27" t="n">
        <v>39</v>
      </c>
      <c r="S997" s="7" t="s">
        <v>60</v>
      </c>
      <c r="T997" s="7" t="str">
        <f aca="false">IF(O997=0,"No discount",IF(O997&lt;=0.2,"Up to 20%","Above 20%"))</f>
        <v>Above 20%</v>
      </c>
    </row>
    <row r="998" customFormat="false" ht="15" hidden="false" customHeight="true" outlineLevel="0" collapsed="false">
      <c r="A998" s="7" t="s">
        <v>1703</v>
      </c>
      <c r="B998" s="26" t="n">
        <v>45976</v>
      </c>
      <c r="C998" s="26" t="n">
        <v>45979</v>
      </c>
      <c r="D998" s="7" t="s">
        <v>722</v>
      </c>
      <c r="E998" s="7" t="s">
        <v>723</v>
      </c>
      <c r="F998" s="7" t="s">
        <v>159</v>
      </c>
      <c r="G998" s="7" t="s">
        <v>160</v>
      </c>
      <c r="H998" s="7" t="s">
        <v>161</v>
      </c>
      <c r="I998" s="7" t="s">
        <v>199</v>
      </c>
      <c r="J998" s="7" t="s">
        <v>200</v>
      </c>
      <c r="K998" s="7" t="s">
        <v>201</v>
      </c>
      <c r="L998" s="7" t="s">
        <v>202</v>
      </c>
      <c r="M998" s="7" t="n">
        <v>3</v>
      </c>
      <c r="N998" s="27" t="n">
        <v>399</v>
      </c>
      <c r="O998" s="28" t="n">
        <v>0</v>
      </c>
      <c r="P998" s="27" t="n">
        <v>1197</v>
      </c>
      <c r="Q998" s="27" t="n">
        <v>480</v>
      </c>
      <c r="R998" s="27" t="n">
        <v>717</v>
      </c>
      <c r="S998" s="7" t="s">
        <v>60</v>
      </c>
      <c r="T998" s="7" t="str">
        <f aca="false">IF(O998=0,"No discount",IF(O998&lt;=0.2,"Up to 20%","Above 20%"))</f>
        <v>No discount</v>
      </c>
    </row>
    <row r="999" customFormat="false" ht="15" hidden="false" customHeight="true" outlineLevel="0" collapsed="false">
      <c r="A999" s="7" t="s">
        <v>1704</v>
      </c>
      <c r="B999" s="26" t="n">
        <v>45976</v>
      </c>
      <c r="C999" s="26" t="n">
        <v>45978</v>
      </c>
      <c r="D999" s="7" t="s">
        <v>1168</v>
      </c>
      <c r="E999" s="7" t="s">
        <v>1169</v>
      </c>
      <c r="F999" s="7" t="s">
        <v>159</v>
      </c>
      <c r="G999" s="7" t="s">
        <v>160</v>
      </c>
      <c r="H999" s="7" t="s">
        <v>161</v>
      </c>
      <c r="I999" s="7" t="s">
        <v>162</v>
      </c>
      <c r="J999" s="7" t="s">
        <v>185</v>
      </c>
      <c r="K999" s="7" t="s">
        <v>186</v>
      </c>
      <c r="L999" s="7" t="s">
        <v>187</v>
      </c>
      <c r="M999" s="7" t="n">
        <v>1</v>
      </c>
      <c r="N999" s="27" t="n">
        <v>3299</v>
      </c>
      <c r="O999" s="28" t="n">
        <v>0.4</v>
      </c>
      <c r="P999" s="27" t="n">
        <v>1979</v>
      </c>
      <c r="Q999" s="27" t="n">
        <v>1900</v>
      </c>
      <c r="R999" s="27" t="n">
        <v>79</v>
      </c>
      <c r="S999" s="7" t="s">
        <v>60</v>
      </c>
      <c r="T999" s="7" t="str">
        <f aca="false">IF(O999=0,"No discount",IF(O999&lt;=0.2,"Up to 20%","Above 20%"))</f>
        <v>Above 20%</v>
      </c>
    </row>
    <row r="1000" customFormat="false" ht="15" hidden="false" customHeight="true" outlineLevel="0" collapsed="false">
      <c r="A1000" s="7" t="s">
        <v>1705</v>
      </c>
      <c r="B1000" s="26" t="n">
        <v>45976</v>
      </c>
      <c r="C1000" s="26" t="n">
        <v>45979</v>
      </c>
      <c r="D1000" s="7" t="s">
        <v>1582</v>
      </c>
      <c r="E1000" s="7" t="s">
        <v>1583</v>
      </c>
      <c r="F1000" s="7" t="s">
        <v>159</v>
      </c>
      <c r="G1000" s="7" t="s">
        <v>160</v>
      </c>
      <c r="H1000" s="7" t="s">
        <v>161</v>
      </c>
      <c r="I1000" s="7" t="s">
        <v>162</v>
      </c>
      <c r="J1000" s="7" t="s">
        <v>251</v>
      </c>
      <c r="K1000" s="7" t="s">
        <v>252</v>
      </c>
      <c r="L1000" s="7" t="s">
        <v>253</v>
      </c>
      <c r="M1000" s="7" t="n">
        <v>2</v>
      </c>
      <c r="N1000" s="27" t="n">
        <v>3999</v>
      </c>
      <c r="O1000" s="28" t="n">
        <v>0.5</v>
      </c>
      <c r="P1000" s="27" t="n">
        <v>3999</v>
      </c>
      <c r="Q1000" s="27" t="n">
        <v>4800</v>
      </c>
      <c r="R1000" s="27" t="n">
        <v>-801</v>
      </c>
      <c r="S1000" s="7" t="s">
        <v>60</v>
      </c>
      <c r="T1000" s="7" t="str">
        <f aca="false">IF(O1000=0,"No discount",IF(O1000&lt;=0.2,"Up to 20%","Above 20%"))</f>
        <v>Above 20%</v>
      </c>
    </row>
    <row r="1001" customFormat="false" ht="15" hidden="false" customHeight="true" outlineLevel="0" collapsed="false">
      <c r="A1001" s="7" t="s">
        <v>1706</v>
      </c>
      <c r="B1001" s="26" t="n">
        <v>45976</v>
      </c>
      <c r="C1001" s="26" t="n">
        <v>45983</v>
      </c>
      <c r="D1001" s="7" t="s">
        <v>1361</v>
      </c>
      <c r="E1001" s="7" t="s">
        <v>1362</v>
      </c>
      <c r="F1001" s="7" t="s">
        <v>159</v>
      </c>
      <c r="G1001" s="7" t="s">
        <v>160</v>
      </c>
      <c r="H1001" s="7" t="s">
        <v>269</v>
      </c>
      <c r="I1001" s="7" t="s">
        <v>199</v>
      </c>
      <c r="J1001" s="7" t="s">
        <v>200</v>
      </c>
      <c r="K1001" s="7" t="s">
        <v>201</v>
      </c>
      <c r="L1001" s="7" t="s">
        <v>202</v>
      </c>
      <c r="M1001" s="7" t="n">
        <v>1</v>
      </c>
      <c r="N1001" s="27" t="n">
        <v>399</v>
      </c>
      <c r="O1001" s="28" t="n">
        <v>0</v>
      </c>
      <c r="P1001" s="27" t="n">
        <v>399</v>
      </c>
      <c r="Q1001" s="27" t="n">
        <v>160</v>
      </c>
      <c r="R1001" s="27" t="n">
        <v>239</v>
      </c>
      <c r="S1001" s="7" t="s">
        <v>60</v>
      </c>
      <c r="T1001" s="7" t="str">
        <f aca="false">IF(O1001=0,"No discount",IF(O1001&lt;=0.2,"Up to 20%","Above 20%"))</f>
        <v>No discount</v>
      </c>
    </row>
    <row r="1002" customFormat="false" ht="15" hidden="false" customHeight="true" outlineLevel="0" collapsed="false">
      <c r="A1002" s="7" t="s">
        <v>1707</v>
      </c>
      <c r="B1002" s="26" t="n">
        <v>45976</v>
      </c>
      <c r="C1002" s="26" t="n">
        <v>45981</v>
      </c>
      <c r="D1002" s="7" t="s">
        <v>482</v>
      </c>
      <c r="E1002" s="7" t="s">
        <v>483</v>
      </c>
      <c r="F1002" s="7" t="s">
        <v>178</v>
      </c>
      <c r="G1002" s="7" t="s">
        <v>160</v>
      </c>
      <c r="H1002" s="7" t="s">
        <v>269</v>
      </c>
      <c r="I1002" s="7" t="s">
        <v>282</v>
      </c>
      <c r="J1002" s="7" t="s">
        <v>283</v>
      </c>
      <c r="K1002" s="7" t="s">
        <v>284</v>
      </c>
      <c r="L1002" s="7" t="s">
        <v>285</v>
      </c>
      <c r="M1002" s="7" t="n">
        <v>2</v>
      </c>
      <c r="N1002" s="27" t="n">
        <v>199</v>
      </c>
      <c r="O1002" s="28" t="n">
        <v>0.1</v>
      </c>
      <c r="P1002" s="27" t="n">
        <v>358</v>
      </c>
      <c r="Q1002" s="27" t="n">
        <v>180</v>
      </c>
      <c r="R1002" s="27" t="n">
        <v>178</v>
      </c>
      <c r="S1002" s="7" t="s">
        <v>60</v>
      </c>
      <c r="T1002" s="7" t="str">
        <f aca="false">IF(O1002=0,"No discount",IF(O1002&lt;=0.2,"Up to 20%","Above 20%"))</f>
        <v>Up to 20%</v>
      </c>
    </row>
    <row r="1003" customFormat="false" ht="15" hidden="false" customHeight="true" outlineLevel="0" collapsed="false">
      <c r="A1003" s="7" t="s">
        <v>1708</v>
      </c>
      <c r="B1003" s="26" t="n">
        <v>45976</v>
      </c>
      <c r="C1003" s="26" t="n">
        <v>45983</v>
      </c>
      <c r="D1003" s="7" t="s">
        <v>419</v>
      </c>
      <c r="E1003" s="7" t="s">
        <v>420</v>
      </c>
      <c r="F1003" s="7" t="s">
        <v>178</v>
      </c>
      <c r="G1003" s="7" t="s">
        <v>169</v>
      </c>
      <c r="H1003" s="7" t="s">
        <v>179</v>
      </c>
      <c r="I1003" s="7" t="s">
        <v>199</v>
      </c>
      <c r="J1003" s="7" t="s">
        <v>292</v>
      </c>
      <c r="K1003" s="7" t="s">
        <v>293</v>
      </c>
      <c r="L1003" s="7" t="s">
        <v>294</v>
      </c>
      <c r="M1003" s="7" t="n">
        <v>1</v>
      </c>
      <c r="N1003" s="27" t="n">
        <v>1599</v>
      </c>
      <c r="O1003" s="28" t="n">
        <v>0.15</v>
      </c>
      <c r="P1003" s="27" t="n">
        <v>1359</v>
      </c>
      <c r="Q1003" s="27" t="n">
        <v>750</v>
      </c>
      <c r="R1003" s="27" t="n">
        <v>609</v>
      </c>
      <c r="S1003" s="7" t="s">
        <v>60</v>
      </c>
      <c r="T1003" s="7" t="str">
        <f aca="false">IF(O1003=0,"No discount",IF(O1003&lt;=0.2,"Up to 20%","Above 20%"))</f>
        <v>Up to 20%</v>
      </c>
    </row>
    <row r="1004" customFormat="false" ht="15" hidden="false" customHeight="true" outlineLevel="0" collapsed="false">
      <c r="A1004" s="7" t="s">
        <v>1709</v>
      </c>
      <c r="B1004" s="26" t="n">
        <v>45976</v>
      </c>
      <c r="C1004" s="26" t="n">
        <v>45978</v>
      </c>
      <c r="D1004" s="7" t="s">
        <v>920</v>
      </c>
      <c r="E1004" s="7" t="s">
        <v>921</v>
      </c>
      <c r="F1004" s="7" t="s">
        <v>159</v>
      </c>
      <c r="G1004" s="7" t="s">
        <v>169</v>
      </c>
      <c r="H1004" s="7" t="s">
        <v>170</v>
      </c>
      <c r="I1004" s="7" t="s">
        <v>199</v>
      </c>
      <c r="J1004" s="7" t="s">
        <v>398</v>
      </c>
      <c r="K1004" s="7" t="s">
        <v>399</v>
      </c>
      <c r="L1004" s="7" t="s">
        <v>400</v>
      </c>
      <c r="M1004" s="7" t="n">
        <v>1</v>
      </c>
      <c r="N1004" s="27" t="n">
        <v>749</v>
      </c>
      <c r="O1004" s="28" t="n">
        <v>0.2</v>
      </c>
      <c r="P1004" s="27" t="n">
        <v>599</v>
      </c>
      <c r="Q1004" s="27" t="n">
        <v>350</v>
      </c>
      <c r="R1004" s="27" t="n">
        <v>249</v>
      </c>
      <c r="S1004" s="7" t="s">
        <v>60</v>
      </c>
      <c r="T1004" s="7" t="str">
        <f aca="false">IF(O1004=0,"No discount",IF(O1004&lt;=0.2,"Up to 20%","Above 20%"))</f>
        <v>Up to 20%</v>
      </c>
    </row>
    <row r="1005" customFormat="false" ht="15" hidden="false" customHeight="true" outlineLevel="0" collapsed="false">
      <c r="A1005" s="7" t="s">
        <v>1710</v>
      </c>
      <c r="B1005" s="26" t="n">
        <v>45977</v>
      </c>
      <c r="C1005" s="26" t="n">
        <v>45983</v>
      </c>
      <c r="D1005" s="7" t="s">
        <v>391</v>
      </c>
      <c r="E1005" s="7" t="s">
        <v>392</v>
      </c>
      <c r="F1005" s="7" t="s">
        <v>159</v>
      </c>
      <c r="G1005" s="7" t="s">
        <v>206</v>
      </c>
      <c r="H1005" s="7" t="s">
        <v>207</v>
      </c>
      <c r="I1005" s="7" t="s">
        <v>162</v>
      </c>
      <c r="J1005" s="7" t="s">
        <v>185</v>
      </c>
      <c r="K1005" s="7" t="s">
        <v>186</v>
      </c>
      <c r="L1005" s="7" t="s">
        <v>187</v>
      </c>
      <c r="M1005" s="7" t="n">
        <v>4</v>
      </c>
      <c r="N1005" s="27" t="n">
        <v>3299</v>
      </c>
      <c r="O1005" s="28" t="n">
        <v>0.3</v>
      </c>
      <c r="P1005" s="27" t="n">
        <v>9237</v>
      </c>
      <c r="Q1005" s="27" t="n">
        <v>7600</v>
      </c>
      <c r="R1005" s="27" t="n">
        <v>1637</v>
      </c>
      <c r="S1005" s="7" t="s">
        <v>60</v>
      </c>
      <c r="T1005" s="7" t="str">
        <f aca="false">IF(O1005=0,"No discount",IF(O1005&lt;=0.2,"Up to 20%","Above 20%"))</f>
        <v>Above 20%</v>
      </c>
    </row>
    <row r="1006" customFormat="false" ht="15" hidden="false" customHeight="true" outlineLevel="0" collapsed="false">
      <c r="A1006" s="7" t="s">
        <v>1711</v>
      </c>
      <c r="B1006" s="26" t="n">
        <v>45977</v>
      </c>
      <c r="C1006" s="26" t="n">
        <v>45979</v>
      </c>
      <c r="D1006" s="7" t="s">
        <v>1124</v>
      </c>
      <c r="E1006" s="7" t="s">
        <v>1125</v>
      </c>
      <c r="F1006" s="7" t="s">
        <v>159</v>
      </c>
      <c r="G1006" s="7" t="s">
        <v>169</v>
      </c>
      <c r="H1006" s="7" t="s">
        <v>191</v>
      </c>
      <c r="I1006" s="7" t="s">
        <v>208</v>
      </c>
      <c r="J1006" s="7" t="s">
        <v>209</v>
      </c>
      <c r="K1006" s="7" t="s">
        <v>238</v>
      </c>
      <c r="L1006" s="7" t="s">
        <v>239</v>
      </c>
      <c r="M1006" s="7" t="n">
        <v>1</v>
      </c>
      <c r="N1006" s="27" t="n">
        <v>2199</v>
      </c>
      <c r="O1006" s="28" t="n">
        <v>0</v>
      </c>
      <c r="P1006" s="27" t="n">
        <v>2199</v>
      </c>
      <c r="Q1006" s="27" t="n">
        <v>1400</v>
      </c>
      <c r="R1006" s="27" t="n">
        <v>799</v>
      </c>
      <c r="S1006" s="7" t="s">
        <v>60</v>
      </c>
      <c r="T1006" s="7" t="str">
        <f aca="false">IF(O1006=0,"No discount",IF(O1006&lt;=0.2,"Up to 20%","Above 20%"))</f>
        <v>No discount</v>
      </c>
    </row>
    <row r="1007" customFormat="false" ht="15" hidden="false" customHeight="true" outlineLevel="0" collapsed="false">
      <c r="A1007" s="7" t="s">
        <v>1712</v>
      </c>
      <c r="B1007" s="26" t="n">
        <v>45977</v>
      </c>
      <c r="C1007" s="26" t="n">
        <v>45979</v>
      </c>
      <c r="D1007" s="7" t="s">
        <v>491</v>
      </c>
      <c r="E1007" s="7" t="s">
        <v>492</v>
      </c>
      <c r="F1007" s="7" t="s">
        <v>159</v>
      </c>
      <c r="G1007" s="7" t="s">
        <v>169</v>
      </c>
      <c r="H1007" s="7" t="s">
        <v>179</v>
      </c>
      <c r="I1007" s="7" t="s">
        <v>199</v>
      </c>
      <c r="J1007" s="7" t="s">
        <v>200</v>
      </c>
      <c r="K1007" s="7" t="s">
        <v>201</v>
      </c>
      <c r="L1007" s="7" t="s">
        <v>202</v>
      </c>
      <c r="M1007" s="7" t="n">
        <v>1</v>
      </c>
      <c r="N1007" s="27" t="n">
        <v>399</v>
      </c>
      <c r="O1007" s="28" t="n">
        <v>0.15</v>
      </c>
      <c r="P1007" s="27" t="n">
        <v>339</v>
      </c>
      <c r="Q1007" s="27" t="n">
        <v>160</v>
      </c>
      <c r="R1007" s="27" t="n">
        <v>179</v>
      </c>
      <c r="S1007" s="7" t="s">
        <v>60</v>
      </c>
      <c r="T1007" s="7" t="str">
        <f aca="false">IF(O1007=0,"No discount",IF(O1007&lt;=0.2,"Up to 20%","Above 20%"))</f>
        <v>Up to 20%</v>
      </c>
    </row>
    <row r="1008" customFormat="false" ht="15" hidden="false" customHeight="true" outlineLevel="0" collapsed="false">
      <c r="A1008" s="7" t="s">
        <v>1713</v>
      </c>
      <c r="B1008" s="26" t="n">
        <v>45977</v>
      </c>
      <c r="C1008" s="26" t="n">
        <v>45982</v>
      </c>
      <c r="D1008" s="7" t="s">
        <v>1076</v>
      </c>
      <c r="E1008" s="7" t="s">
        <v>1077</v>
      </c>
      <c r="F1008" s="7" t="s">
        <v>219</v>
      </c>
      <c r="G1008" s="7" t="s">
        <v>169</v>
      </c>
      <c r="H1008" s="7" t="s">
        <v>179</v>
      </c>
      <c r="I1008" s="7" t="s">
        <v>208</v>
      </c>
      <c r="J1008" s="7" t="s">
        <v>232</v>
      </c>
      <c r="K1008" s="7" t="s">
        <v>233</v>
      </c>
      <c r="L1008" s="7" t="s">
        <v>234</v>
      </c>
      <c r="M1008" s="7" t="n">
        <v>1</v>
      </c>
      <c r="N1008" s="27" t="n">
        <v>7999</v>
      </c>
      <c r="O1008" s="28" t="n">
        <v>0.1</v>
      </c>
      <c r="P1008" s="27" t="n">
        <v>7199</v>
      </c>
      <c r="Q1008" s="27" t="n">
        <v>5600</v>
      </c>
      <c r="R1008" s="27" t="n">
        <v>1599</v>
      </c>
      <c r="S1008" s="7" t="s">
        <v>60</v>
      </c>
      <c r="T1008" s="7" t="str">
        <f aca="false">IF(O1008=0,"No discount",IF(O1008&lt;=0.2,"Up to 20%","Above 20%"))</f>
        <v>Up to 20%</v>
      </c>
    </row>
    <row r="1009" customFormat="false" ht="15" hidden="false" customHeight="true" outlineLevel="0" collapsed="false">
      <c r="A1009" s="7" t="s">
        <v>1714</v>
      </c>
      <c r="B1009" s="26" t="n">
        <v>45978</v>
      </c>
      <c r="C1009" s="26" t="n">
        <v>45984</v>
      </c>
      <c r="D1009" s="7" t="s">
        <v>1715</v>
      </c>
      <c r="E1009" s="7" t="s">
        <v>1716</v>
      </c>
      <c r="F1009" s="7" t="s">
        <v>178</v>
      </c>
      <c r="G1009" s="7" t="s">
        <v>206</v>
      </c>
      <c r="H1009" s="7" t="s">
        <v>207</v>
      </c>
      <c r="I1009" s="7" t="s">
        <v>282</v>
      </c>
      <c r="J1009" s="7" t="s">
        <v>283</v>
      </c>
      <c r="K1009" s="7" t="s">
        <v>284</v>
      </c>
      <c r="L1009" s="7" t="s">
        <v>285</v>
      </c>
      <c r="M1009" s="7" t="n">
        <v>1</v>
      </c>
      <c r="N1009" s="27" t="n">
        <v>199</v>
      </c>
      <c r="O1009" s="28" t="n">
        <v>0</v>
      </c>
      <c r="P1009" s="27" t="n">
        <v>199</v>
      </c>
      <c r="Q1009" s="27" t="n">
        <v>90</v>
      </c>
      <c r="R1009" s="27" t="n">
        <v>109</v>
      </c>
      <c r="S1009" s="7" t="s">
        <v>60</v>
      </c>
      <c r="T1009" s="7" t="str">
        <f aca="false">IF(O1009=0,"No discount",IF(O1009&lt;=0.2,"Up to 20%","Above 20%"))</f>
        <v>No discount</v>
      </c>
    </row>
    <row r="1010" customFormat="false" ht="15" hidden="false" customHeight="true" outlineLevel="0" collapsed="false">
      <c r="A1010" s="7" t="s">
        <v>1717</v>
      </c>
      <c r="B1010" s="26" t="n">
        <v>45978</v>
      </c>
      <c r="C1010" s="26" t="n">
        <v>45980</v>
      </c>
      <c r="D1010" s="7" t="s">
        <v>339</v>
      </c>
      <c r="E1010" s="7" t="s">
        <v>340</v>
      </c>
      <c r="F1010" s="7" t="s">
        <v>178</v>
      </c>
      <c r="G1010" s="7" t="s">
        <v>169</v>
      </c>
      <c r="H1010" s="7" t="s">
        <v>179</v>
      </c>
      <c r="I1010" s="7" t="s">
        <v>208</v>
      </c>
      <c r="J1010" s="7" t="s">
        <v>232</v>
      </c>
      <c r="K1010" s="7" t="s">
        <v>233</v>
      </c>
      <c r="L1010" s="7" t="s">
        <v>234</v>
      </c>
      <c r="M1010" s="7" t="n">
        <v>4</v>
      </c>
      <c r="N1010" s="27" t="n">
        <v>7999</v>
      </c>
      <c r="O1010" s="28" t="n">
        <v>0</v>
      </c>
      <c r="P1010" s="27" t="n">
        <v>31996</v>
      </c>
      <c r="Q1010" s="27" t="n">
        <v>22400</v>
      </c>
      <c r="R1010" s="27" t="n">
        <v>9596</v>
      </c>
      <c r="S1010" s="7" t="s">
        <v>60</v>
      </c>
      <c r="T1010" s="7" t="str">
        <f aca="false">IF(O1010=0,"No discount",IF(O1010&lt;=0.2,"Up to 20%","Above 20%"))</f>
        <v>No discount</v>
      </c>
    </row>
    <row r="1011" customFormat="false" ht="15" hidden="false" customHeight="true" outlineLevel="0" collapsed="false">
      <c r="A1011" s="7" t="s">
        <v>1718</v>
      </c>
      <c r="B1011" s="26" t="n">
        <v>45978</v>
      </c>
      <c r="C1011" s="26" t="n">
        <v>45982</v>
      </c>
      <c r="D1011" s="7" t="s">
        <v>1395</v>
      </c>
      <c r="E1011" s="7" t="s">
        <v>1396</v>
      </c>
      <c r="F1011" s="7" t="s">
        <v>159</v>
      </c>
      <c r="G1011" s="7" t="s">
        <v>206</v>
      </c>
      <c r="H1011" s="7" t="s">
        <v>207</v>
      </c>
      <c r="I1011" s="7" t="s">
        <v>282</v>
      </c>
      <c r="J1011" s="7" t="s">
        <v>387</v>
      </c>
      <c r="K1011" s="7" t="s">
        <v>547</v>
      </c>
      <c r="L1011" s="7" t="s">
        <v>548</v>
      </c>
      <c r="M1011" s="7" t="n">
        <v>10</v>
      </c>
      <c r="N1011" s="27" t="n">
        <v>249</v>
      </c>
      <c r="O1011" s="28" t="n">
        <v>0.05</v>
      </c>
      <c r="P1011" s="27" t="n">
        <v>2366</v>
      </c>
      <c r="Q1011" s="27" t="n">
        <v>1200</v>
      </c>
      <c r="R1011" s="27" t="n">
        <v>1166</v>
      </c>
      <c r="S1011" s="7" t="s">
        <v>60</v>
      </c>
      <c r="T1011" s="7" t="str">
        <f aca="false">IF(O1011=0,"No discount",IF(O1011&lt;=0.2,"Up to 20%","Above 20%"))</f>
        <v>Up to 20%</v>
      </c>
    </row>
    <row r="1012" customFormat="false" ht="15" hidden="false" customHeight="true" outlineLevel="0" collapsed="false">
      <c r="A1012" s="7" t="s">
        <v>1719</v>
      </c>
      <c r="B1012" s="26" t="n">
        <v>45978</v>
      </c>
      <c r="C1012" s="26" t="n">
        <v>45980</v>
      </c>
      <c r="D1012" s="7" t="s">
        <v>722</v>
      </c>
      <c r="E1012" s="7" t="s">
        <v>723</v>
      </c>
      <c r="F1012" s="7" t="s">
        <v>159</v>
      </c>
      <c r="G1012" s="7" t="s">
        <v>160</v>
      </c>
      <c r="H1012" s="7" t="s">
        <v>161</v>
      </c>
      <c r="I1012" s="7" t="s">
        <v>162</v>
      </c>
      <c r="J1012" s="7" t="s">
        <v>251</v>
      </c>
      <c r="K1012" s="7" t="s">
        <v>252</v>
      </c>
      <c r="L1012" s="7" t="s">
        <v>253</v>
      </c>
      <c r="M1012" s="7" t="n">
        <v>5</v>
      </c>
      <c r="N1012" s="27" t="n">
        <v>3999</v>
      </c>
      <c r="O1012" s="28" t="n">
        <v>0.3</v>
      </c>
      <c r="P1012" s="27" t="n">
        <v>13996</v>
      </c>
      <c r="Q1012" s="27" t="n">
        <v>12000</v>
      </c>
      <c r="R1012" s="27" t="n">
        <v>1996</v>
      </c>
      <c r="S1012" s="7" t="s">
        <v>60</v>
      </c>
      <c r="T1012" s="7" t="str">
        <f aca="false">IF(O1012=0,"No discount",IF(O1012&lt;=0.2,"Up to 20%","Above 20%"))</f>
        <v>Above 20%</v>
      </c>
    </row>
    <row r="1013" customFormat="false" ht="15" hidden="false" customHeight="true" outlineLevel="0" collapsed="false">
      <c r="A1013" s="7" t="s">
        <v>1720</v>
      </c>
      <c r="B1013" s="26" t="n">
        <v>45978</v>
      </c>
      <c r="C1013" s="26" t="n">
        <v>45985</v>
      </c>
      <c r="D1013" s="7" t="s">
        <v>1153</v>
      </c>
      <c r="E1013" s="7" t="s">
        <v>1154</v>
      </c>
      <c r="F1013" s="7" t="s">
        <v>159</v>
      </c>
      <c r="G1013" s="7" t="s">
        <v>160</v>
      </c>
      <c r="H1013" s="7" t="s">
        <v>161</v>
      </c>
      <c r="I1013" s="7" t="s">
        <v>192</v>
      </c>
      <c r="J1013" s="7" t="s">
        <v>502</v>
      </c>
      <c r="K1013" s="7" t="s">
        <v>503</v>
      </c>
      <c r="L1013" s="7" t="s">
        <v>504</v>
      </c>
      <c r="M1013" s="7" t="n">
        <v>1</v>
      </c>
      <c r="N1013" s="27" t="n">
        <v>3499</v>
      </c>
      <c r="O1013" s="28" t="n">
        <v>0.1</v>
      </c>
      <c r="P1013" s="27" t="n">
        <v>3149</v>
      </c>
      <c r="Q1013" s="27" t="n">
        <v>2500</v>
      </c>
      <c r="R1013" s="27" t="n">
        <v>649</v>
      </c>
      <c r="S1013" s="7" t="s">
        <v>60</v>
      </c>
      <c r="T1013" s="7" t="str">
        <f aca="false">IF(O1013=0,"No discount",IF(O1013&lt;=0.2,"Up to 20%","Above 20%"))</f>
        <v>Up to 20%</v>
      </c>
    </row>
    <row r="1014" customFormat="false" ht="15" hidden="false" customHeight="true" outlineLevel="0" collapsed="false">
      <c r="A1014" s="7" t="s">
        <v>1721</v>
      </c>
      <c r="B1014" s="26" t="n">
        <v>45979</v>
      </c>
      <c r="C1014" s="26" t="n">
        <v>45983</v>
      </c>
      <c r="D1014" s="7" t="s">
        <v>277</v>
      </c>
      <c r="E1014" s="7" t="s">
        <v>278</v>
      </c>
      <c r="F1014" s="7" t="s">
        <v>159</v>
      </c>
      <c r="G1014" s="7" t="s">
        <v>206</v>
      </c>
      <c r="H1014" s="7" t="s">
        <v>207</v>
      </c>
      <c r="I1014" s="7" t="s">
        <v>199</v>
      </c>
      <c r="J1014" s="7" t="s">
        <v>200</v>
      </c>
      <c r="K1014" s="7" t="s">
        <v>201</v>
      </c>
      <c r="L1014" s="7" t="s">
        <v>202</v>
      </c>
      <c r="M1014" s="7" t="n">
        <v>1</v>
      </c>
      <c r="N1014" s="27" t="n">
        <v>399</v>
      </c>
      <c r="O1014" s="28" t="n">
        <v>0.1</v>
      </c>
      <c r="P1014" s="27" t="n">
        <v>359</v>
      </c>
      <c r="Q1014" s="27" t="n">
        <v>160</v>
      </c>
      <c r="R1014" s="27" t="n">
        <v>199</v>
      </c>
      <c r="S1014" s="7" t="s">
        <v>60</v>
      </c>
      <c r="T1014" s="7" t="str">
        <f aca="false">IF(O1014=0,"No discount",IF(O1014&lt;=0.2,"Up to 20%","Above 20%"))</f>
        <v>Up to 20%</v>
      </c>
    </row>
    <row r="1015" customFormat="false" ht="15" hidden="false" customHeight="true" outlineLevel="0" collapsed="false">
      <c r="A1015" s="7" t="s">
        <v>1722</v>
      </c>
      <c r="B1015" s="26" t="n">
        <v>45979</v>
      </c>
      <c r="C1015" s="26" t="n">
        <v>45984</v>
      </c>
      <c r="D1015" s="7" t="s">
        <v>485</v>
      </c>
      <c r="E1015" s="7" t="s">
        <v>486</v>
      </c>
      <c r="F1015" s="7" t="s">
        <v>159</v>
      </c>
      <c r="G1015" s="7" t="s">
        <v>169</v>
      </c>
      <c r="H1015" s="7" t="s">
        <v>179</v>
      </c>
      <c r="I1015" s="7" t="s">
        <v>199</v>
      </c>
      <c r="J1015" s="7" t="s">
        <v>200</v>
      </c>
      <c r="K1015" s="7" t="s">
        <v>201</v>
      </c>
      <c r="L1015" s="7" t="s">
        <v>202</v>
      </c>
      <c r="M1015" s="7" t="n">
        <v>3</v>
      </c>
      <c r="N1015" s="27" t="n">
        <v>399</v>
      </c>
      <c r="O1015" s="28" t="n">
        <v>0</v>
      </c>
      <c r="P1015" s="27" t="n">
        <v>1197</v>
      </c>
      <c r="Q1015" s="27" t="n">
        <v>480</v>
      </c>
      <c r="R1015" s="27" t="n">
        <v>717</v>
      </c>
      <c r="S1015" s="7" t="s">
        <v>60</v>
      </c>
      <c r="T1015" s="7" t="str">
        <f aca="false">IF(O1015=0,"No discount",IF(O1015&lt;=0.2,"Up to 20%","Above 20%"))</f>
        <v>No discount</v>
      </c>
    </row>
    <row r="1016" customFormat="false" ht="15" hidden="false" customHeight="true" outlineLevel="0" collapsed="false">
      <c r="A1016" s="7" t="s">
        <v>1723</v>
      </c>
      <c r="B1016" s="26" t="n">
        <v>45979</v>
      </c>
      <c r="C1016" s="26" t="n">
        <v>45986</v>
      </c>
      <c r="D1016" s="7" t="s">
        <v>729</v>
      </c>
      <c r="E1016" s="7" t="s">
        <v>730</v>
      </c>
      <c r="F1016" s="7" t="s">
        <v>159</v>
      </c>
      <c r="G1016" s="7" t="s">
        <v>160</v>
      </c>
      <c r="H1016" s="7" t="s">
        <v>269</v>
      </c>
      <c r="I1016" s="7" t="s">
        <v>162</v>
      </c>
      <c r="J1016" s="7" t="s">
        <v>185</v>
      </c>
      <c r="K1016" s="7" t="s">
        <v>186</v>
      </c>
      <c r="L1016" s="7" t="s">
        <v>187</v>
      </c>
      <c r="M1016" s="7" t="n">
        <v>1</v>
      </c>
      <c r="N1016" s="27" t="n">
        <v>3299</v>
      </c>
      <c r="O1016" s="28" t="n">
        <v>0.5</v>
      </c>
      <c r="P1016" s="27" t="n">
        <v>1650</v>
      </c>
      <c r="Q1016" s="27" t="n">
        <v>1900</v>
      </c>
      <c r="R1016" s="27" t="n">
        <v>-250</v>
      </c>
      <c r="S1016" s="7" t="s">
        <v>60</v>
      </c>
      <c r="T1016" s="7" t="str">
        <f aca="false">IF(O1016=0,"No discount",IF(O1016&lt;=0.2,"Up to 20%","Above 20%"))</f>
        <v>Above 20%</v>
      </c>
    </row>
    <row r="1017" customFormat="false" ht="15" hidden="false" customHeight="true" outlineLevel="0" collapsed="false">
      <c r="A1017" s="7" t="s">
        <v>1724</v>
      </c>
      <c r="B1017" s="26" t="n">
        <v>45980</v>
      </c>
      <c r="C1017" s="26" t="n">
        <v>45985</v>
      </c>
      <c r="D1017" s="7" t="s">
        <v>444</v>
      </c>
      <c r="E1017" s="7" t="s">
        <v>445</v>
      </c>
      <c r="F1017" s="7" t="s">
        <v>159</v>
      </c>
      <c r="G1017" s="7" t="s">
        <v>206</v>
      </c>
      <c r="H1017" s="7" t="s">
        <v>207</v>
      </c>
      <c r="I1017" s="7" t="s">
        <v>192</v>
      </c>
      <c r="J1017" s="7" t="s">
        <v>213</v>
      </c>
      <c r="K1017" s="7" t="s">
        <v>264</v>
      </c>
      <c r="L1017" s="7" t="s">
        <v>265</v>
      </c>
      <c r="M1017" s="7" t="n">
        <v>2</v>
      </c>
      <c r="N1017" s="27" t="n">
        <v>2499</v>
      </c>
      <c r="O1017" s="28" t="n">
        <v>0.3</v>
      </c>
      <c r="P1017" s="27" t="n">
        <v>3499</v>
      </c>
      <c r="Q1017" s="27" t="n">
        <v>3400</v>
      </c>
      <c r="R1017" s="27" t="n">
        <v>99</v>
      </c>
      <c r="S1017" s="7" t="s">
        <v>60</v>
      </c>
      <c r="T1017" s="7" t="str">
        <f aca="false">IF(O1017=0,"No discount",IF(O1017&lt;=0.2,"Up to 20%","Above 20%"))</f>
        <v>Above 20%</v>
      </c>
    </row>
    <row r="1018" customFormat="false" ht="15" hidden="false" customHeight="true" outlineLevel="0" collapsed="false">
      <c r="A1018" s="7" t="s">
        <v>1725</v>
      </c>
      <c r="B1018" s="26" t="n">
        <v>45980</v>
      </c>
      <c r="C1018" s="26" t="n">
        <v>45982</v>
      </c>
      <c r="D1018" s="7" t="s">
        <v>689</v>
      </c>
      <c r="E1018" s="7" t="s">
        <v>690</v>
      </c>
      <c r="F1018" s="7" t="s">
        <v>219</v>
      </c>
      <c r="G1018" s="7" t="s">
        <v>206</v>
      </c>
      <c r="H1018" s="7" t="s">
        <v>207</v>
      </c>
      <c r="I1018" s="7" t="s">
        <v>199</v>
      </c>
      <c r="J1018" s="7" t="s">
        <v>398</v>
      </c>
      <c r="K1018" s="7" t="s">
        <v>399</v>
      </c>
      <c r="L1018" s="7" t="s">
        <v>400</v>
      </c>
      <c r="M1018" s="7" t="n">
        <v>1</v>
      </c>
      <c r="N1018" s="27" t="n">
        <v>749</v>
      </c>
      <c r="O1018" s="28" t="n">
        <v>0.15</v>
      </c>
      <c r="P1018" s="27" t="n">
        <v>637</v>
      </c>
      <c r="Q1018" s="27" t="n">
        <v>350</v>
      </c>
      <c r="R1018" s="27" t="n">
        <v>287</v>
      </c>
      <c r="S1018" s="7" t="s">
        <v>60</v>
      </c>
      <c r="T1018" s="7" t="str">
        <f aca="false">IF(O1018=0,"No discount",IF(O1018&lt;=0.2,"Up to 20%","Above 20%"))</f>
        <v>Up to 20%</v>
      </c>
    </row>
    <row r="1019" customFormat="false" ht="15" hidden="false" customHeight="true" outlineLevel="0" collapsed="false">
      <c r="A1019" s="7" t="s">
        <v>1726</v>
      </c>
      <c r="B1019" s="26" t="n">
        <v>45980</v>
      </c>
      <c r="C1019" s="26" t="n">
        <v>45984</v>
      </c>
      <c r="D1019" s="7" t="s">
        <v>488</v>
      </c>
      <c r="E1019" s="7" t="s">
        <v>489</v>
      </c>
      <c r="F1019" s="7" t="s">
        <v>159</v>
      </c>
      <c r="G1019" s="7" t="s">
        <v>206</v>
      </c>
      <c r="H1019" s="7" t="s">
        <v>207</v>
      </c>
      <c r="I1019" s="7" t="s">
        <v>162</v>
      </c>
      <c r="J1019" s="7" t="s">
        <v>325</v>
      </c>
      <c r="K1019" s="7" t="s">
        <v>381</v>
      </c>
      <c r="L1019" s="7" t="s">
        <v>382</v>
      </c>
      <c r="M1019" s="7" t="n">
        <v>1</v>
      </c>
      <c r="N1019" s="27" t="n">
        <v>1799</v>
      </c>
      <c r="O1019" s="28" t="n">
        <v>0.3</v>
      </c>
      <c r="P1019" s="27" t="n">
        <v>1259</v>
      </c>
      <c r="Q1019" s="27" t="n">
        <v>950</v>
      </c>
      <c r="R1019" s="27" t="n">
        <v>309</v>
      </c>
      <c r="S1019" s="7" t="s">
        <v>60</v>
      </c>
      <c r="T1019" s="7" t="str">
        <f aca="false">IF(O1019=0,"No discount",IF(O1019&lt;=0.2,"Up to 20%","Above 20%"))</f>
        <v>Above 20%</v>
      </c>
    </row>
    <row r="1020" customFormat="false" ht="15" hidden="false" customHeight="true" outlineLevel="0" collapsed="false">
      <c r="A1020" s="7" t="s">
        <v>1727</v>
      </c>
      <c r="B1020" s="26" t="n">
        <v>45980</v>
      </c>
      <c r="C1020" s="26" t="n">
        <v>45984</v>
      </c>
      <c r="D1020" s="7" t="s">
        <v>792</v>
      </c>
      <c r="E1020" s="7" t="s">
        <v>793</v>
      </c>
      <c r="F1020" s="7" t="s">
        <v>219</v>
      </c>
      <c r="G1020" s="7" t="s">
        <v>160</v>
      </c>
      <c r="H1020" s="7" t="s">
        <v>161</v>
      </c>
      <c r="I1020" s="7" t="s">
        <v>208</v>
      </c>
      <c r="J1020" s="7" t="s">
        <v>232</v>
      </c>
      <c r="K1020" s="7" t="s">
        <v>1011</v>
      </c>
      <c r="L1020" s="7" t="s">
        <v>1012</v>
      </c>
      <c r="M1020" s="7" t="n">
        <v>5</v>
      </c>
      <c r="N1020" s="27" t="n">
        <v>2499</v>
      </c>
      <c r="O1020" s="28" t="n">
        <v>0</v>
      </c>
      <c r="P1020" s="27" t="n">
        <v>12495</v>
      </c>
      <c r="Q1020" s="27" t="n">
        <v>7500</v>
      </c>
      <c r="R1020" s="27" t="n">
        <v>4995</v>
      </c>
      <c r="S1020" s="7" t="s">
        <v>60</v>
      </c>
      <c r="T1020" s="7" t="str">
        <f aca="false">IF(O1020=0,"No discount",IF(O1020&lt;=0.2,"Up to 20%","Above 20%"))</f>
        <v>No discount</v>
      </c>
    </row>
    <row r="1021" customFormat="false" ht="15" hidden="false" customHeight="true" outlineLevel="0" collapsed="false">
      <c r="A1021" s="7" t="s">
        <v>1728</v>
      </c>
      <c r="B1021" s="26" t="n">
        <v>45980</v>
      </c>
      <c r="C1021" s="26" t="n">
        <v>45982</v>
      </c>
      <c r="D1021" s="7" t="s">
        <v>438</v>
      </c>
      <c r="E1021" s="7" t="s">
        <v>439</v>
      </c>
      <c r="F1021" s="7" t="s">
        <v>159</v>
      </c>
      <c r="G1021" s="7" t="s">
        <v>323</v>
      </c>
      <c r="H1021" s="7" t="s">
        <v>324</v>
      </c>
      <c r="I1021" s="7" t="s">
        <v>192</v>
      </c>
      <c r="J1021" s="7" t="s">
        <v>502</v>
      </c>
      <c r="K1021" s="7" t="s">
        <v>526</v>
      </c>
      <c r="L1021" s="7" t="s">
        <v>527</v>
      </c>
      <c r="M1021" s="7" t="n">
        <v>1</v>
      </c>
      <c r="N1021" s="27" t="n">
        <v>6499</v>
      </c>
      <c r="O1021" s="28" t="n">
        <v>0.2</v>
      </c>
      <c r="P1021" s="27" t="n">
        <v>5199</v>
      </c>
      <c r="Q1021" s="27" t="n">
        <v>5000</v>
      </c>
      <c r="R1021" s="27" t="n">
        <v>199</v>
      </c>
      <c r="S1021" s="7" t="s">
        <v>60</v>
      </c>
      <c r="T1021" s="7" t="str">
        <f aca="false">IF(O1021=0,"No discount",IF(O1021&lt;=0.2,"Up to 20%","Above 20%"))</f>
        <v>Up to 20%</v>
      </c>
    </row>
    <row r="1022" customFormat="false" ht="15" hidden="false" customHeight="true" outlineLevel="0" collapsed="false">
      <c r="A1022" s="7" t="s">
        <v>1729</v>
      </c>
      <c r="B1022" s="26" t="n">
        <v>45980</v>
      </c>
      <c r="C1022" s="26" t="n">
        <v>45986</v>
      </c>
      <c r="D1022" s="7" t="s">
        <v>792</v>
      </c>
      <c r="E1022" s="7" t="s">
        <v>793</v>
      </c>
      <c r="F1022" s="7" t="s">
        <v>219</v>
      </c>
      <c r="G1022" s="7" t="s">
        <v>160</v>
      </c>
      <c r="H1022" s="7" t="s">
        <v>161</v>
      </c>
      <c r="I1022" s="7" t="s">
        <v>162</v>
      </c>
      <c r="J1022" s="7" t="s">
        <v>185</v>
      </c>
      <c r="K1022" s="7" t="s">
        <v>186</v>
      </c>
      <c r="L1022" s="7" t="s">
        <v>187</v>
      </c>
      <c r="M1022" s="7" t="n">
        <v>2</v>
      </c>
      <c r="N1022" s="27" t="n">
        <v>3299</v>
      </c>
      <c r="O1022" s="28" t="n">
        <v>0.3</v>
      </c>
      <c r="P1022" s="27" t="n">
        <v>4619</v>
      </c>
      <c r="Q1022" s="27" t="n">
        <v>3800</v>
      </c>
      <c r="R1022" s="27" t="n">
        <v>819</v>
      </c>
      <c r="S1022" s="7" t="s">
        <v>60</v>
      </c>
      <c r="T1022" s="7" t="str">
        <f aca="false">IF(O1022=0,"No discount",IF(O1022&lt;=0.2,"Up to 20%","Above 20%"))</f>
        <v>Above 20%</v>
      </c>
    </row>
    <row r="1023" customFormat="false" ht="15" hidden="false" customHeight="true" outlineLevel="0" collapsed="false">
      <c r="A1023" s="7" t="s">
        <v>1730</v>
      </c>
      <c r="B1023" s="26" t="n">
        <v>45980</v>
      </c>
      <c r="C1023" s="26" t="n">
        <v>45984</v>
      </c>
      <c r="D1023" s="7" t="s">
        <v>1361</v>
      </c>
      <c r="E1023" s="7" t="s">
        <v>1362</v>
      </c>
      <c r="F1023" s="7" t="s">
        <v>159</v>
      </c>
      <c r="G1023" s="7" t="s">
        <v>160</v>
      </c>
      <c r="H1023" s="7" t="s">
        <v>269</v>
      </c>
      <c r="I1023" s="7" t="s">
        <v>282</v>
      </c>
      <c r="J1023" s="7" t="s">
        <v>387</v>
      </c>
      <c r="K1023" s="7" t="s">
        <v>547</v>
      </c>
      <c r="L1023" s="7" t="s">
        <v>548</v>
      </c>
      <c r="M1023" s="7" t="n">
        <v>3</v>
      </c>
      <c r="N1023" s="27" t="n">
        <v>249</v>
      </c>
      <c r="O1023" s="28" t="n">
        <v>0.1</v>
      </c>
      <c r="P1023" s="27" t="n">
        <v>672</v>
      </c>
      <c r="Q1023" s="27" t="n">
        <v>360</v>
      </c>
      <c r="R1023" s="27" t="n">
        <v>312</v>
      </c>
      <c r="S1023" s="7" t="s">
        <v>60</v>
      </c>
      <c r="T1023" s="7" t="str">
        <f aca="false">IF(O1023=0,"No discount",IF(O1023&lt;=0.2,"Up to 20%","Above 20%"))</f>
        <v>Up to 20%</v>
      </c>
    </row>
    <row r="1024" customFormat="false" ht="15" hidden="false" customHeight="true" outlineLevel="0" collapsed="false">
      <c r="A1024" s="7" t="s">
        <v>1731</v>
      </c>
      <c r="B1024" s="26" t="n">
        <v>45980</v>
      </c>
      <c r="C1024" s="26" t="n">
        <v>45983</v>
      </c>
      <c r="D1024" s="7" t="s">
        <v>850</v>
      </c>
      <c r="E1024" s="7" t="s">
        <v>851</v>
      </c>
      <c r="F1024" s="7" t="s">
        <v>159</v>
      </c>
      <c r="G1024" s="7" t="s">
        <v>160</v>
      </c>
      <c r="H1024" s="7" t="s">
        <v>269</v>
      </c>
      <c r="I1024" s="7" t="s">
        <v>171</v>
      </c>
      <c r="J1024" s="7" t="s">
        <v>172</v>
      </c>
      <c r="K1024" s="7" t="s">
        <v>180</v>
      </c>
      <c r="L1024" s="7" t="s">
        <v>181</v>
      </c>
      <c r="M1024" s="7" t="n">
        <v>2</v>
      </c>
      <c r="N1024" s="27" t="n">
        <v>999</v>
      </c>
      <c r="O1024" s="28" t="n">
        <v>0.05</v>
      </c>
      <c r="P1024" s="27" t="n">
        <v>1898</v>
      </c>
      <c r="Q1024" s="27" t="n">
        <v>1040</v>
      </c>
      <c r="R1024" s="27" t="n">
        <v>858</v>
      </c>
      <c r="S1024" s="7" t="s">
        <v>60</v>
      </c>
      <c r="T1024" s="7" t="str">
        <f aca="false">IF(O1024=0,"No discount",IF(O1024&lt;=0.2,"Up to 20%","Above 20%"))</f>
        <v>Up to 20%</v>
      </c>
    </row>
    <row r="1025" customFormat="false" ht="15" hidden="false" customHeight="true" outlineLevel="0" collapsed="false">
      <c r="A1025" s="7" t="s">
        <v>1732</v>
      </c>
      <c r="B1025" s="26" t="n">
        <v>45980</v>
      </c>
      <c r="C1025" s="26" t="n">
        <v>45987</v>
      </c>
      <c r="D1025" s="7" t="s">
        <v>1620</v>
      </c>
      <c r="E1025" s="7" t="s">
        <v>1621</v>
      </c>
      <c r="F1025" s="7" t="s">
        <v>219</v>
      </c>
      <c r="G1025" s="7" t="s">
        <v>160</v>
      </c>
      <c r="H1025" s="7" t="s">
        <v>269</v>
      </c>
      <c r="I1025" s="7" t="s">
        <v>208</v>
      </c>
      <c r="J1025" s="7" t="s">
        <v>209</v>
      </c>
      <c r="K1025" s="7" t="s">
        <v>238</v>
      </c>
      <c r="L1025" s="7" t="s">
        <v>239</v>
      </c>
      <c r="M1025" s="7" t="n">
        <v>1</v>
      </c>
      <c r="N1025" s="27" t="n">
        <v>2199</v>
      </c>
      <c r="O1025" s="28" t="n">
        <v>0.05</v>
      </c>
      <c r="P1025" s="27" t="n">
        <v>2089</v>
      </c>
      <c r="Q1025" s="27" t="n">
        <v>1400</v>
      </c>
      <c r="R1025" s="27" t="n">
        <v>689</v>
      </c>
      <c r="S1025" s="7" t="s">
        <v>60</v>
      </c>
      <c r="T1025" s="7" t="str">
        <f aca="false">IF(O1025=0,"No discount",IF(O1025&lt;=0.2,"Up to 20%","Above 20%"))</f>
        <v>Up to 20%</v>
      </c>
    </row>
    <row r="1026" customFormat="false" ht="15" hidden="false" customHeight="true" outlineLevel="0" collapsed="false">
      <c r="A1026" s="7" t="s">
        <v>1733</v>
      </c>
      <c r="B1026" s="26" t="n">
        <v>45980</v>
      </c>
      <c r="C1026" s="26" t="n">
        <v>45987</v>
      </c>
      <c r="D1026" s="7" t="s">
        <v>255</v>
      </c>
      <c r="E1026" s="7" t="s">
        <v>256</v>
      </c>
      <c r="F1026" s="7" t="s">
        <v>159</v>
      </c>
      <c r="G1026" s="7" t="s">
        <v>206</v>
      </c>
      <c r="H1026" s="7" t="s">
        <v>207</v>
      </c>
      <c r="I1026" s="7" t="s">
        <v>208</v>
      </c>
      <c r="J1026" s="7" t="s">
        <v>421</v>
      </c>
      <c r="K1026" s="7" t="s">
        <v>422</v>
      </c>
      <c r="L1026" s="7" t="s">
        <v>423</v>
      </c>
      <c r="M1026" s="7" t="n">
        <v>1</v>
      </c>
      <c r="N1026" s="27" t="n">
        <v>5999</v>
      </c>
      <c r="O1026" s="28" t="n">
        <v>0.1</v>
      </c>
      <c r="P1026" s="27" t="n">
        <v>5399</v>
      </c>
      <c r="Q1026" s="27" t="n">
        <v>4300</v>
      </c>
      <c r="R1026" s="27" t="n">
        <v>1099</v>
      </c>
      <c r="S1026" s="7" t="s">
        <v>60</v>
      </c>
      <c r="T1026" s="7" t="str">
        <f aca="false">IF(O1026=0,"No discount",IF(O1026&lt;=0.2,"Up to 20%","Above 20%"))</f>
        <v>Up to 20%</v>
      </c>
    </row>
    <row r="1027" customFormat="false" ht="15" hidden="false" customHeight="true" outlineLevel="0" collapsed="false">
      <c r="A1027" s="7" t="s">
        <v>1734</v>
      </c>
      <c r="B1027" s="26" t="n">
        <v>45980</v>
      </c>
      <c r="C1027" s="26" t="n">
        <v>45983</v>
      </c>
      <c r="D1027" s="7" t="s">
        <v>363</v>
      </c>
      <c r="E1027" s="7" t="s">
        <v>364</v>
      </c>
      <c r="F1027" s="7" t="s">
        <v>159</v>
      </c>
      <c r="G1027" s="7" t="s">
        <v>169</v>
      </c>
      <c r="H1027" s="7" t="s">
        <v>170</v>
      </c>
      <c r="I1027" s="7" t="s">
        <v>192</v>
      </c>
      <c r="J1027" s="7" t="s">
        <v>193</v>
      </c>
      <c r="K1027" s="7" t="s">
        <v>194</v>
      </c>
      <c r="L1027" s="7" t="s">
        <v>195</v>
      </c>
      <c r="M1027" s="7" t="n">
        <v>1</v>
      </c>
      <c r="N1027" s="27" t="n">
        <v>8999</v>
      </c>
      <c r="O1027" s="28" t="n">
        <v>0.3</v>
      </c>
      <c r="P1027" s="27" t="n">
        <v>6299</v>
      </c>
      <c r="Q1027" s="27" t="n">
        <v>6800</v>
      </c>
      <c r="R1027" s="27" t="n">
        <v>-501</v>
      </c>
      <c r="S1027" s="7" t="s">
        <v>60</v>
      </c>
      <c r="T1027" s="7" t="str">
        <f aca="false">IF(O1027=0,"No discount",IF(O1027&lt;=0.2,"Up to 20%","Above 20%"))</f>
        <v>Above 20%</v>
      </c>
    </row>
    <row r="1028" customFormat="false" ht="15" hidden="false" customHeight="true" outlineLevel="0" collapsed="false">
      <c r="A1028" s="7" t="s">
        <v>1735</v>
      </c>
      <c r="B1028" s="26" t="n">
        <v>45981</v>
      </c>
      <c r="C1028" s="26" t="n">
        <v>45987</v>
      </c>
      <c r="D1028" s="7" t="s">
        <v>648</v>
      </c>
      <c r="E1028" s="7" t="s">
        <v>649</v>
      </c>
      <c r="F1028" s="7" t="s">
        <v>159</v>
      </c>
      <c r="G1028" s="7" t="s">
        <v>160</v>
      </c>
      <c r="H1028" s="7" t="s">
        <v>161</v>
      </c>
      <c r="I1028" s="7" t="s">
        <v>162</v>
      </c>
      <c r="J1028" s="7" t="s">
        <v>163</v>
      </c>
      <c r="K1028" s="7" t="s">
        <v>164</v>
      </c>
      <c r="L1028" s="7" t="s">
        <v>165</v>
      </c>
      <c r="M1028" s="7" t="n">
        <v>1</v>
      </c>
      <c r="N1028" s="27" t="n">
        <v>1999</v>
      </c>
      <c r="O1028" s="28" t="n">
        <v>0.3</v>
      </c>
      <c r="P1028" s="27" t="n">
        <v>1399</v>
      </c>
      <c r="Q1028" s="27" t="n">
        <v>1050</v>
      </c>
      <c r="R1028" s="27" t="n">
        <v>349</v>
      </c>
      <c r="S1028" s="7" t="s">
        <v>60</v>
      </c>
      <c r="T1028" s="7" t="str">
        <f aca="false">IF(O1028=0,"No discount",IF(O1028&lt;=0.2,"Up to 20%","Above 20%"))</f>
        <v>Above 20%</v>
      </c>
    </row>
    <row r="1029" customFormat="false" ht="15" hidden="false" customHeight="true" outlineLevel="0" collapsed="false">
      <c r="A1029" s="7" t="s">
        <v>1736</v>
      </c>
      <c r="B1029" s="26" t="n">
        <v>45981</v>
      </c>
      <c r="C1029" s="26" t="n">
        <v>45988</v>
      </c>
      <c r="D1029" s="7" t="s">
        <v>462</v>
      </c>
      <c r="E1029" s="7" t="s">
        <v>463</v>
      </c>
      <c r="F1029" s="7" t="s">
        <v>159</v>
      </c>
      <c r="G1029" s="7" t="s">
        <v>169</v>
      </c>
      <c r="H1029" s="7" t="s">
        <v>191</v>
      </c>
      <c r="I1029" s="7" t="s">
        <v>192</v>
      </c>
      <c r="J1029" s="7" t="s">
        <v>213</v>
      </c>
      <c r="K1029" s="7" t="s">
        <v>264</v>
      </c>
      <c r="L1029" s="7" t="s">
        <v>265</v>
      </c>
      <c r="M1029" s="7" t="n">
        <v>1</v>
      </c>
      <c r="N1029" s="27" t="n">
        <v>2499</v>
      </c>
      <c r="O1029" s="28" t="n">
        <v>0</v>
      </c>
      <c r="P1029" s="27" t="n">
        <v>2499</v>
      </c>
      <c r="Q1029" s="27" t="n">
        <v>1700</v>
      </c>
      <c r="R1029" s="27" t="n">
        <v>799</v>
      </c>
      <c r="S1029" s="7" t="s">
        <v>60</v>
      </c>
      <c r="T1029" s="7" t="str">
        <f aca="false">IF(O1029=0,"No discount",IF(O1029&lt;=0.2,"Up to 20%","Above 20%"))</f>
        <v>No discount</v>
      </c>
    </row>
    <row r="1030" customFormat="false" ht="15" hidden="false" customHeight="true" outlineLevel="0" collapsed="false">
      <c r="A1030" s="7" t="s">
        <v>1737</v>
      </c>
      <c r="B1030" s="26" t="n">
        <v>45981</v>
      </c>
      <c r="C1030" s="26" t="n">
        <v>45982</v>
      </c>
      <c r="D1030" s="7" t="s">
        <v>947</v>
      </c>
      <c r="E1030" s="7" t="s">
        <v>948</v>
      </c>
      <c r="F1030" s="7" t="s">
        <v>159</v>
      </c>
      <c r="G1030" s="7" t="s">
        <v>160</v>
      </c>
      <c r="H1030" s="7" t="s">
        <v>269</v>
      </c>
      <c r="I1030" s="7" t="s">
        <v>199</v>
      </c>
      <c r="J1030" s="7" t="s">
        <v>223</v>
      </c>
      <c r="K1030" s="7" t="s">
        <v>246</v>
      </c>
      <c r="L1030" s="7" t="s">
        <v>247</v>
      </c>
      <c r="M1030" s="7" t="n">
        <v>1</v>
      </c>
      <c r="N1030" s="27" t="n">
        <v>599</v>
      </c>
      <c r="O1030" s="28" t="n">
        <v>0</v>
      </c>
      <c r="P1030" s="27" t="n">
        <v>599</v>
      </c>
      <c r="Q1030" s="27" t="n">
        <v>270</v>
      </c>
      <c r="R1030" s="27" t="n">
        <v>329</v>
      </c>
      <c r="S1030" s="7" t="s">
        <v>60</v>
      </c>
      <c r="T1030" s="7" t="str">
        <f aca="false">IF(O1030=0,"No discount",IF(O1030&lt;=0.2,"Up to 20%","Above 20%"))</f>
        <v>No discount</v>
      </c>
    </row>
    <row r="1031" customFormat="false" ht="15" hidden="false" customHeight="true" outlineLevel="0" collapsed="false">
      <c r="A1031" s="7" t="s">
        <v>1738</v>
      </c>
      <c r="B1031" s="26" t="n">
        <v>45982</v>
      </c>
      <c r="C1031" s="26" t="n">
        <v>45984</v>
      </c>
      <c r="D1031" s="7" t="s">
        <v>157</v>
      </c>
      <c r="E1031" s="7" t="s">
        <v>158</v>
      </c>
      <c r="F1031" s="7" t="s">
        <v>159</v>
      </c>
      <c r="G1031" s="7" t="s">
        <v>160</v>
      </c>
      <c r="H1031" s="7" t="s">
        <v>161</v>
      </c>
      <c r="I1031" s="7" t="s">
        <v>162</v>
      </c>
      <c r="J1031" s="7" t="s">
        <v>185</v>
      </c>
      <c r="K1031" s="7" t="s">
        <v>186</v>
      </c>
      <c r="L1031" s="7" t="s">
        <v>187</v>
      </c>
      <c r="M1031" s="7" t="n">
        <v>1</v>
      </c>
      <c r="N1031" s="27" t="n">
        <v>3299</v>
      </c>
      <c r="O1031" s="28" t="n">
        <v>0</v>
      </c>
      <c r="P1031" s="27" t="n">
        <v>3299</v>
      </c>
      <c r="Q1031" s="27" t="n">
        <v>1900</v>
      </c>
      <c r="R1031" s="27" t="n">
        <v>1399</v>
      </c>
      <c r="S1031" s="7" t="s">
        <v>47</v>
      </c>
      <c r="T1031" s="7" t="str">
        <f aca="false">IF(O1031=0,"No discount",IF(O1031&lt;=0.2,"Up to 20%","Above 20%"))</f>
        <v>No discount</v>
      </c>
    </row>
    <row r="1032" customFormat="false" ht="15" hidden="false" customHeight="true" outlineLevel="0" collapsed="false">
      <c r="A1032" s="7" t="s">
        <v>1739</v>
      </c>
      <c r="B1032" s="26" t="n">
        <v>45982</v>
      </c>
      <c r="C1032" s="26" t="n">
        <v>45986</v>
      </c>
      <c r="D1032" s="7" t="s">
        <v>479</v>
      </c>
      <c r="E1032" s="7" t="s">
        <v>480</v>
      </c>
      <c r="F1032" s="7" t="s">
        <v>178</v>
      </c>
      <c r="G1032" s="7" t="s">
        <v>169</v>
      </c>
      <c r="H1032" s="7" t="s">
        <v>179</v>
      </c>
      <c r="I1032" s="7" t="s">
        <v>282</v>
      </c>
      <c r="J1032" s="7" t="s">
        <v>283</v>
      </c>
      <c r="K1032" s="7" t="s">
        <v>284</v>
      </c>
      <c r="L1032" s="7" t="s">
        <v>285</v>
      </c>
      <c r="M1032" s="7" t="n">
        <v>3</v>
      </c>
      <c r="N1032" s="27" t="n">
        <v>199</v>
      </c>
      <c r="O1032" s="28" t="n">
        <v>0</v>
      </c>
      <c r="P1032" s="27" t="n">
        <v>597</v>
      </c>
      <c r="Q1032" s="27" t="n">
        <v>270</v>
      </c>
      <c r="R1032" s="27" t="n">
        <v>327</v>
      </c>
      <c r="S1032" s="7" t="s">
        <v>60</v>
      </c>
      <c r="T1032" s="7" t="str">
        <f aca="false">IF(O1032=0,"No discount",IF(O1032&lt;=0.2,"Up to 20%","Above 20%"))</f>
        <v>No discount</v>
      </c>
    </row>
    <row r="1033" customFormat="false" ht="15" hidden="false" customHeight="true" outlineLevel="0" collapsed="false">
      <c r="A1033" s="7" t="s">
        <v>1740</v>
      </c>
      <c r="B1033" s="26" t="n">
        <v>45982</v>
      </c>
      <c r="C1033" s="26" t="n">
        <v>45983</v>
      </c>
      <c r="D1033" s="7" t="s">
        <v>675</v>
      </c>
      <c r="E1033" s="7" t="s">
        <v>676</v>
      </c>
      <c r="F1033" s="7" t="s">
        <v>159</v>
      </c>
      <c r="G1033" s="7" t="s">
        <v>169</v>
      </c>
      <c r="H1033" s="7" t="s">
        <v>170</v>
      </c>
      <c r="I1033" s="7" t="s">
        <v>162</v>
      </c>
      <c r="J1033" s="7" t="s">
        <v>251</v>
      </c>
      <c r="K1033" s="7" t="s">
        <v>252</v>
      </c>
      <c r="L1033" s="7" t="s">
        <v>253</v>
      </c>
      <c r="M1033" s="7" t="n">
        <v>3</v>
      </c>
      <c r="N1033" s="27" t="n">
        <v>3999</v>
      </c>
      <c r="O1033" s="28" t="n">
        <v>0.2</v>
      </c>
      <c r="P1033" s="27" t="n">
        <v>9598</v>
      </c>
      <c r="Q1033" s="27" t="n">
        <v>7200</v>
      </c>
      <c r="R1033" s="27" t="n">
        <v>2398</v>
      </c>
      <c r="S1033" s="7" t="s">
        <v>60</v>
      </c>
      <c r="T1033" s="7" t="str">
        <f aca="false">IF(O1033=0,"No discount",IF(O1033&lt;=0.2,"Up to 20%","Above 20%"))</f>
        <v>Up to 20%</v>
      </c>
    </row>
    <row r="1034" customFormat="false" ht="15" hidden="false" customHeight="true" outlineLevel="0" collapsed="false">
      <c r="A1034" s="7" t="s">
        <v>1741</v>
      </c>
      <c r="B1034" s="26" t="n">
        <v>45982</v>
      </c>
      <c r="C1034" s="26" t="n">
        <v>45983</v>
      </c>
      <c r="D1034" s="7" t="s">
        <v>627</v>
      </c>
      <c r="E1034" s="7" t="s">
        <v>628</v>
      </c>
      <c r="F1034" s="7" t="s">
        <v>219</v>
      </c>
      <c r="G1034" s="7" t="s">
        <v>206</v>
      </c>
      <c r="H1034" s="7" t="s">
        <v>207</v>
      </c>
      <c r="I1034" s="7" t="s">
        <v>192</v>
      </c>
      <c r="J1034" s="7" t="s">
        <v>213</v>
      </c>
      <c r="K1034" s="7" t="s">
        <v>214</v>
      </c>
      <c r="L1034" s="7" t="s">
        <v>215</v>
      </c>
      <c r="M1034" s="7" t="n">
        <v>1</v>
      </c>
      <c r="N1034" s="27" t="n">
        <v>5999</v>
      </c>
      <c r="O1034" s="28" t="n">
        <v>0.4</v>
      </c>
      <c r="P1034" s="27" t="n">
        <v>3599</v>
      </c>
      <c r="Q1034" s="27" t="n">
        <v>4600</v>
      </c>
      <c r="R1034" s="27" t="n">
        <v>-1001</v>
      </c>
      <c r="S1034" s="7" t="s">
        <v>60</v>
      </c>
      <c r="T1034" s="7" t="str">
        <f aca="false">IF(O1034=0,"No discount",IF(O1034&lt;=0.2,"Up to 20%","Above 20%"))</f>
        <v>Above 20%</v>
      </c>
    </row>
    <row r="1035" customFormat="false" ht="15" hidden="false" customHeight="true" outlineLevel="0" collapsed="false">
      <c r="A1035" s="7" t="s">
        <v>1742</v>
      </c>
      <c r="B1035" s="26" t="n">
        <v>45982</v>
      </c>
      <c r="C1035" s="26" t="n">
        <v>45987</v>
      </c>
      <c r="D1035" s="7" t="s">
        <v>372</v>
      </c>
      <c r="E1035" s="7" t="s">
        <v>373</v>
      </c>
      <c r="F1035" s="7" t="s">
        <v>219</v>
      </c>
      <c r="G1035" s="7" t="s">
        <v>160</v>
      </c>
      <c r="H1035" s="7" t="s">
        <v>269</v>
      </c>
      <c r="I1035" s="7" t="s">
        <v>192</v>
      </c>
      <c r="J1035" s="7" t="s">
        <v>502</v>
      </c>
      <c r="K1035" s="7" t="s">
        <v>526</v>
      </c>
      <c r="L1035" s="7" t="s">
        <v>527</v>
      </c>
      <c r="M1035" s="7" t="n">
        <v>1</v>
      </c>
      <c r="N1035" s="27" t="n">
        <v>6499</v>
      </c>
      <c r="O1035" s="28" t="n">
        <v>0.1</v>
      </c>
      <c r="P1035" s="27" t="n">
        <v>5849</v>
      </c>
      <c r="Q1035" s="27" t="n">
        <v>5000</v>
      </c>
      <c r="R1035" s="27" t="n">
        <v>849</v>
      </c>
      <c r="S1035" s="7" t="s">
        <v>47</v>
      </c>
      <c r="T1035" s="7" t="str">
        <f aca="false">IF(O1035=0,"No discount",IF(O1035&lt;=0.2,"Up to 20%","Above 20%"))</f>
        <v>Up to 20%</v>
      </c>
    </row>
    <row r="1036" customFormat="false" ht="15" hidden="false" customHeight="true" outlineLevel="0" collapsed="false">
      <c r="A1036" s="7" t="s">
        <v>1743</v>
      </c>
      <c r="B1036" s="26" t="n">
        <v>45982</v>
      </c>
      <c r="C1036" s="26" t="n">
        <v>45989</v>
      </c>
      <c r="D1036" s="7" t="s">
        <v>760</v>
      </c>
      <c r="E1036" s="7" t="s">
        <v>761</v>
      </c>
      <c r="F1036" s="7" t="s">
        <v>159</v>
      </c>
      <c r="G1036" s="7" t="s">
        <v>169</v>
      </c>
      <c r="H1036" s="7" t="s">
        <v>170</v>
      </c>
      <c r="I1036" s="7" t="s">
        <v>282</v>
      </c>
      <c r="J1036" s="7" t="s">
        <v>283</v>
      </c>
      <c r="K1036" s="7" t="s">
        <v>284</v>
      </c>
      <c r="L1036" s="7" t="s">
        <v>285</v>
      </c>
      <c r="M1036" s="7" t="n">
        <v>8</v>
      </c>
      <c r="N1036" s="27" t="n">
        <v>199</v>
      </c>
      <c r="O1036" s="28" t="n">
        <v>0</v>
      </c>
      <c r="P1036" s="27" t="n">
        <v>1592</v>
      </c>
      <c r="Q1036" s="27" t="n">
        <v>720</v>
      </c>
      <c r="R1036" s="27" t="n">
        <v>872</v>
      </c>
      <c r="S1036" s="7" t="s">
        <v>60</v>
      </c>
      <c r="T1036" s="7" t="str">
        <f aca="false">IF(O1036=0,"No discount",IF(O1036&lt;=0.2,"Up to 20%","Above 20%"))</f>
        <v>No discount</v>
      </c>
    </row>
    <row r="1037" customFormat="false" ht="15" hidden="false" customHeight="true" outlineLevel="0" collapsed="false">
      <c r="A1037" s="7" t="s">
        <v>1744</v>
      </c>
      <c r="B1037" s="26" t="n">
        <v>45982</v>
      </c>
      <c r="C1037" s="26" t="n">
        <v>45986</v>
      </c>
      <c r="D1037" s="7" t="s">
        <v>722</v>
      </c>
      <c r="E1037" s="7" t="s">
        <v>723</v>
      </c>
      <c r="F1037" s="7" t="s">
        <v>159</v>
      </c>
      <c r="G1037" s="7" t="s">
        <v>160</v>
      </c>
      <c r="H1037" s="7" t="s">
        <v>161</v>
      </c>
      <c r="I1037" s="7" t="s">
        <v>208</v>
      </c>
      <c r="J1037" s="7" t="s">
        <v>232</v>
      </c>
      <c r="K1037" s="7" t="s">
        <v>233</v>
      </c>
      <c r="L1037" s="7" t="s">
        <v>234</v>
      </c>
      <c r="M1037" s="7" t="n">
        <v>1</v>
      </c>
      <c r="N1037" s="27" t="n">
        <v>7999</v>
      </c>
      <c r="O1037" s="28" t="n">
        <v>0.05</v>
      </c>
      <c r="P1037" s="27" t="n">
        <v>7599</v>
      </c>
      <c r="Q1037" s="27" t="n">
        <v>5600</v>
      </c>
      <c r="R1037" s="27" t="n">
        <v>1999</v>
      </c>
      <c r="S1037" s="7" t="s">
        <v>60</v>
      </c>
      <c r="T1037" s="7" t="str">
        <f aca="false">IF(O1037=0,"No discount",IF(O1037&lt;=0.2,"Up to 20%","Above 20%"))</f>
        <v>Up to 20%</v>
      </c>
    </row>
    <row r="1038" customFormat="false" ht="15" hidden="false" customHeight="true" outlineLevel="0" collapsed="false">
      <c r="A1038" s="7" t="s">
        <v>1745</v>
      </c>
      <c r="B1038" s="26" t="n">
        <v>45983</v>
      </c>
      <c r="C1038" s="26" t="n">
        <v>45989</v>
      </c>
      <c r="D1038" s="7" t="s">
        <v>843</v>
      </c>
      <c r="E1038" s="7" t="s">
        <v>844</v>
      </c>
      <c r="F1038" s="7" t="s">
        <v>159</v>
      </c>
      <c r="G1038" s="7" t="s">
        <v>169</v>
      </c>
      <c r="H1038" s="7" t="s">
        <v>179</v>
      </c>
      <c r="I1038" s="7" t="s">
        <v>199</v>
      </c>
      <c r="J1038" s="7" t="s">
        <v>223</v>
      </c>
      <c r="K1038" s="7" t="s">
        <v>246</v>
      </c>
      <c r="L1038" s="7" t="s">
        <v>247</v>
      </c>
      <c r="M1038" s="7" t="n">
        <v>4</v>
      </c>
      <c r="N1038" s="27" t="n">
        <v>599</v>
      </c>
      <c r="O1038" s="28" t="n">
        <v>0.1</v>
      </c>
      <c r="P1038" s="27" t="n">
        <v>2156</v>
      </c>
      <c r="Q1038" s="27" t="n">
        <v>1080</v>
      </c>
      <c r="R1038" s="27" t="n">
        <v>1076</v>
      </c>
      <c r="S1038" s="7" t="s">
        <v>60</v>
      </c>
      <c r="T1038" s="7" t="str">
        <f aca="false">IF(O1038=0,"No discount",IF(O1038&lt;=0.2,"Up to 20%","Above 20%"))</f>
        <v>Up to 20%</v>
      </c>
    </row>
    <row r="1039" customFormat="false" ht="15" hidden="false" customHeight="true" outlineLevel="0" collapsed="false">
      <c r="A1039" s="7" t="s">
        <v>1746</v>
      </c>
      <c r="B1039" s="26" t="n">
        <v>45983</v>
      </c>
      <c r="C1039" s="26" t="n">
        <v>45985</v>
      </c>
      <c r="D1039" s="7" t="s">
        <v>1115</v>
      </c>
      <c r="E1039" s="7" t="s">
        <v>1116</v>
      </c>
      <c r="F1039" s="7" t="s">
        <v>159</v>
      </c>
      <c r="G1039" s="7" t="s">
        <v>169</v>
      </c>
      <c r="H1039" s="7" t="s">
        <v>179</v>
      </c>
      <c r="I1039" s="7" t="s">
        <v>199</v>
      </c>
      <c r="J1039" s="7" t="s">
        <v>223</v>
      </c>
      <c r="K1039" s="7" t="s">
        <v>246</v>
      </c>
      <c r="L1039" s="7" t="s">
        <v>247</v>
      </c>
      <c r="M1039" s="7" t="n">
        <v>1</v>
      </c>
      <c r="N1039" s="27" t="n">
        <v>599</v>
      </c>
      <c r="O1039" s="28" t="n">
        <v>0</v>
      </c>
      <c r="P1039" s="27" t="n">
        <v>599</v>
      </c>
      <c r="Q1039" s="27" t="n">
        <v>270</v>
      </c>
      <c r="R1039" s="27" t="n">
        <v>329</v>
      </c>
      <c r="S1039" s="7" t="s">
        <v>60</v>
      </c>
      <c r="T1039" s="7" t="str">
        <f aca="false">IF(O1039=0,"No discount",IF(O1039&lt;=0.2,"Up to 20%","Above 20%"))</f>
        <v>No discount</v>
      </c>
    </row>
    <row r="1040" customFormat="false" ht="15" hidden="false" customHeight="true" outlineLevel="0" collapsed="false">
      <c r="A1040" s="7" t="s">
        <v>1747</v>
      </c>
      <c r="B1040" s="26" t="n">
        <v>45983</v>
      </c>
      <c r="C1040" s="26" t="n">
        <v>45990</v>
      </c>
      <c r="D1040" s="7" t="s">
        <v>1405</v>
      </c>
      <c r="E1040" s="7" t="s">
        <v>1406</v>
      </c>
      <c r="F1040" s="7" t="s">
        <v>178</v>
      </c>
      <c r="G1040" s="7" t="s">
        <v>169</v>
      </c>
      <c r="H1040" s="7" t="s">
        <v>191</v>
      </c>
      <c r="I1040" s="7" t="s">
        <v>162</v>
      </c>
      <c r="J1040" s="7" t="s">
        <v>185</v>
      </c>
      <c r="K1040" s="7" t="s">
        <v>186</v>
      </c>
      <c r="L1040" s="7" t="s">
        <v>187</v>
      </c>
      <c r="M1040" s="7" t="n">
        <v>5</v>
      </c>
      <c r="N1040" s="27" t="n">
        <v>3299</v>
      </c>
      <c r="O1040" s="28" t="n">
        <v>0.4</v>
      </c>
      <c r="P1040" s="27" t="n">
        <v>9897</v>
      </c>
      <c r="Q1040" s="27" t="n">
        <v>9500</v>
      </c>
      <c r="R1040" s="27" t="n">
        <v>397</v>
      </c>
      <c r="S1040" s="7" t="s">
        <v>60</v>
      </c>
      <c r="T1040" s="7" t="str">
        <f aca="false">IF(O1040=0,"No discount",IF(O1040&lt;=0.2,"Up to 20%","Above 20%"))</f>
        <v>Above 20%</v>
      </c>
    </row>
    <row r="1041" customFormat="false" ht="15" hidden="false" customHeight="true" outlineLevel="0" collapsed="false">
      <c r="A1041" s="7" t="s">
        <v>1748</v>
      </c>
      <c r="B1041" s="26" t="n">
        <v>45983</v>
      </c>
      <c r="C1041" s="26" t="n">
        <v>45989</v>
      </c>
      <c r="D1041" s="7" t="s">
        <v>459</v>
      </c>
      <c r="E1041" s="7" t="s">
        <v>460</v>
      </c>
      <c r="F1041" s="7" t="s">
        <v>219</v>
      </c>
      <c r="G1041" s="7" t="s">
        <v>160</v>
      </c>
      <c r="H1041" s="7" t="s">
        <v>269</v>
      </c>
      <c r="I1041" s="7" t="s">
        <v>282</v>
      </c>
      <c r="J1041" s="7" t="s">
        <v>427</v>
      </c>
      <c r="K1041" s="7" t="s">
        <v>428</v>
      </c>
      <c r="L1041" s="7" t="s">
        <v>429</v>
      </c>
      <c r="M1041" s="7" t="n">
        <v>3</v>
      </c>
      <c r="N1041" s="27" t="n">
        <v>149</v>
      </c>
      <c r="O1041" s="28" t="n">
        <v>0</v>
      </c>
      <c r="P1041" s="27" t="n">
        <v>447</v>
      </c>
      <c r="Q1041" s="27" t="n">
        <v>210</v>
      </c>
      <c r="R1041" s="27" t="n">
        <v>237</v>
      </c>
      <c r="S1041" s="7" t="s">
        <v>60</v>
      </c>
      <c r="T1041" s="7" t="str">
        <f aca="false">IF(O1041=0,"No discount",IF(O1041&lt;=0.2,"Up to 20%","Above 20%"))</f>
        <v>No discount</v>
      </c>
    </row>
    <row r="1042" customFormat="false" ht="15" hidden="false" customHeight="true" outlineLevel="0" collapsed="false">
      <c r="A1042" s="7" t="s">
        <v>1749</v>
      </c>
      <c r="B1042" s="26" t="n">
        <v>45983</v>
      </c>
      <c r="C1042" s="26" t="n">
        <v>45985</v>
      </c>
      <c r="D1042" s="7" t="s">
        <v>441</v>
      </c>
      <c r="E1042" s="7" t="s">
        <v>442</v>
      </c>
      <c r="F1042" s="7" t="s">
        <v>159</v>
      </c>
      <c r="G1042" s="7" t="s">
        <v>169</v>
      </c>
      <c r="H1042" s="7" t="s">
        <v>191</v>
      </c>
      <c r="I1042" s="7" t="s">
        <v>199</v>
      </c>
      <c r="J1042" s="7" t="s">
        <v>200</v>
      </c>
      <c r="K1042" s="7" t="s">
        <v>201</v>
      </c>
      <c r="L1042" s="7" t="s">
        <v>202</v>
      </c>
      <c r="M1042" s="7" t="n">
        <v>1</v>
      </c>
      <c r="N1042" s="27" t="n">
        <v>399</v>
      </c>
      <c r="O1042" s="28" t="n">
        <v>0</v>
      </c>
      <c r="P1042" s="27" t="n">
        <v>399</v>
      </c>
      <c r="Q1042" s="27" t="n">
        <v>160</v>
      </c>
      <c r="R1042" s="27" t="n">
        <v>239</v>
      </c>
      <c r="S1042" s="7" t="s">
        <v>60</v>
      </c>
      <c r="T1042" s="7" t="str">
        <f aca="false">IF(O1042=0,"No discount",IF(O1042&lt;=0.2,"Up to 20%","Above 20%"))</f>
        <v>No discount</v>
      </c>
    </row>
    <row r="1043" customFormat="false" ht="15" hidden="false" customHeight="true" outlineLevel="0" collapsed="false">
      <c r="A1043" s="7" t="s">
        <v>1750</v>
      </c>
      <c r="B1043" s="26" t="n">
        <v>45983</v>
      </c>
      <c r="C1043" s="26" t="n">
        <v>45986</v>
      </c>
      <c r="D1043" s="7" t="s">
        <v>675</v>
      </c>
      <c r="E1043" s="7" t="s">
        <v>676</v>
      </c>
      <c r="F1043" s="7" t="s">
        <v>159</v>
      </c>
      <c r="G1043" s="7" t="s">
        <v>169</v>
      </c>
      <c r="H1043" s="7" t="s">
        <v>170</v>
      </c>
      <c r="I1043" s="7" t="s">
        <v>208</v>
      </c>
      <c r="J1043" s="7" t="s">
        <v>209</v>
      </c>
      <c r="K1043" s="7" t="s">
        <v>637</v>
      </c>
      <c r="L1043" s="7" t="s">
        <v>638</v>
      </c>
      <c r="M1043" s="7" t="n">
        <v>3</v>
      </c>
      <c r="N1043" s="27" t="n">
        <v>899</v>
      </c>
      <c r="O1043" s="28" t="n">
        <v>0.05</v>
      </c>
      <c r="P1043" s="27" t="n">
        <v>2562</v>
      </c>
      <c r="Q1043" s="27" t="n">
        <v>1440</v>
      </c>
      <c r="R1043" s="27" t="n">
        <v>1122</v>
      </c>
      <c r="S1043" s="7" t="s">
        <v>60</v>
      </c>
      <c r="T1043" s="7" t="str">
        <f aca="false">IF(O1043=0,"No discount",IF(O1043&lt;=0.2,"Up to 20%","Above 20%"))</f>
        <v>Up to 20%</v>
      </c>
    </row>
    <row r="1044" customFormat="false" ht="15" hidden="false" customHeight="true" outlineLevel="0" collapsed="false">
      <c r="A1044" s="7" t="s">
        <v>1751</v>
      </c>
      <c r="B1044" s="26" t="n">
        <v>45983</v>
      </c>
      <c r="C1044" s="26" t="n">
        <v>45984</v>
      </c>
      <c r="D1044" s="7" t="s">
        <v>496</v>
      </c>
      <c r="E1044" s="7" t="s">
        <v>497</v>
      </c>
      <c r="F1044" s="7" t="s">
        <v>178</v>
      </c>
      <c r="G1044" s="7" t="s">
        <v>169</v>
      </c>
      <c r="H1044" s="7" t="s">
        <v>179</v>
      </c>
      <c r="I1044" s="7" t="s">
        <v>199</v>
      </c>
      <c r="J1044" s="7" t="s">
        <v>223</v>
      </c>
      <c r="K1044" s="7" t="s">
        <v>246</v>
      </c>
      <c r="L1044" s="7" t="s">
        <v>247</v>
      </c>
      <c r="M1044" s="7" t="n">
        <v>1</v>
      </c>
      <c r="N1044" s="27" t="n">
        <v>599</v>
      </c>
      <c r="O1044" s="28" t="n">
        <v>0.2</v>
      </c>
      <c r="P1044" s="27" t="n">
        <v>479</v>
      </c>
      <c r="Q1044" s="27" t="n">
        <v>270</v>
      </c>
      <c r="R1044" s="27" t="n">
        <v>209</v>
      </c>
      <c r="S1044" s="7" t="s">
        <v>60</v>
      </c>
      <c r="T1044" s="7" t="str">
        <f aca="false">IF(O1044=0,"No discount",IF(O1044&lt;=0.2,"Up to 20%","Above 20%"))</f>
        <v>Up to 20%</v>
      </c>
    </row>
    <row r="1045" customFormat="false" ht="15" hidden="false" customHeight="true" outlineLevel="0" collapsed="false">
      <c r="A1045" s="7" t="s">
        <v>1752</v>
      </c>
      <c r="B1045" s="26" t="n">
        <v>45983</v>
      </c>
      <c r="C1045" s="26" t="n">
        <v>45987</v>
      </c>
      <c r="D1045" s="7" t="s">
        <v>244</v>
      </c>
      <c r="E1045" s="7" t="s">
        <v>245</v>
      </c>
      <c r="F1045" s="7" t="s">
        <v>178</v>
      </c>
      <c r="G1045" s="7" t="s">
        <v>206</v>
      </c>
      <c r="H1045" s="7" t="s">
        <v>207</v>
      </c>
      <c r="I1045" s="7" t="s">
        <v>199</v>
      </c>
      <c r="J1045" s="7" t="s">
        <v>398</v>
      </c>
      <c r="K1045" s="7" t="s">
        <v>399</v>
      </c>
      <c r="L1045" s="7" t="s">
        <v>400</v>
      </c>
      <c r="M1045" s="7" t="n">
        <v>1</v>
      </c>
      <c r="N1045" s="27" t="n">
        <v>749</v>
      </c>
      <c r="O1045" s="28" t="n">
        <v>0.3</v>
      </c>
      <c r="P1045" s="27" t="n">
        <v>524</v>
      </c>
      <c r="Q1045" s="27" t="n">
        <v>350</v>
      </c>
      <c r="R1045" s="27" t="n">
        <v>174</v>
      </c>
      <c r="S1045" s="7" t="s">
        <v>60</v>
      </c>
      <c r="T1045" s="7" t="str">
        <f aca="false">IF(O1045=0,"No discount",IF(O1045&lt;=0.2,"Up to 20%","Above 20%"))</f>
        <v>Above 20%</v>
      </c>
    </row>
    <row r="1046" customFormat="false" ht="15" hidden="false" customHeight="true" outlineLevel="0" collapsed="false">
      <c r="A1046" s="7" t="s">
        <v>1753</v>
      </c>
      <c r="B1046" s="26" t="n">
        <v>45983</v>
      </c>
      <c r="C1046" s="26" t="n">
        <v>45986</v>
      </c>
      <c r="D1046" s="7" t="s">
        <v>330</v>
      </c>
      <c r="E1046" s="7" t="s">
        <v>331</v>
      </c>
      <c r="F1046" s="7" t="s">
        <v>219</v>
      </c>
      <c r="G1046" s="7" t="s">
        <v>206</v>
      </c>
      <c r="H1046" s="7" t="s">
        <v>207</v>
      </c>
      <c r="I1046" s="7" t="s">
        <v>282</v>
      </c>
      <c r="J1046" s="7" t="s">
        <v>283</v>
      </c>
      <c r="K1046" s="7" t="s">
        <v>284</v>
      </c>
      <c r="L1046" s="7" t="s">
        <v>285</v>
      </c>
      <c r="M1046" s="7" t="n">
        <v>3</v>
      </c>
      <c r="N1046" s="27" t="n">
        <v>199</v>
      </c>
      <c r="O1046" s="28" t="n">
        <v>0.1</v>
      </c>
      <c r="P1046" s="27" t="n">
        <v>537</v>
      </c>
      <c r="Q1046" s="27" t="n">
        <v>270</v>
      </c>
      <c r="R1046" s="27" t="n">
        <v>267</v>
      </c>
      <c r="S1046" s="7" t="s">
        <v>60</v>
      </c>
      <c r="T1046" s="7" t="str">
        <f aca="false">IF(O1046=0,"No discount",IF(O1046&lt;=0.2,"Up to 20%","Above 20%"))</f>
        <v>Up to 20%</v>
      </c>
    </row>
    <row r="1047" customFormat="false" ht="15" hidden="false" customHeight="true" outlineLevel="0" collapsed="false">
      <c r="A1047" s="7" t="s">
        <v>1754</v>
      </c>
      <c r="B1047" s="26" t="n">
        <v>45984</v>
      </c>
      <c r="C1047" s="26" t="n">
        <v>45985</v>
      </c>
      <c r="D1047" s="7" t="s">
        <v>973</v>
      </c>
      <c r="E1047" s="7" t="s">
        <v>974</v>
      </c>
      <c r="F1047" s="7" t="s">
        <v>159</v>
      </c>
      <c r="G1047" s="7" t="s">
        <v>160</v>
      </c>
      <c r="H1047" s="7" t="s">
        <v>269</v>
      </c>
      <c r="I1047" s="7" t="s">
        <v>162</v>
      </c>
      <c r="J1047" s="7" t="s">
        <v>163</v>
      </c>
      <c r="K1047" s="7" t="s">
        <v>164</v>
      </c>
      <c r="L1047" s="7" t="s">
        <v>165</v>
      </c>
      <c r="M1047" s="7" t="n">
        <v>2</v>
      </c>
      <c r="N1047" s="27" t="n">
        <v>1999</v>
      </c>
      <c r="O1047" s="28" t="n">
        <v>0</v>
      </c>
      <c r="P1047" s="27" t="n">
        <v>3998</v>
      </c>
      <c r="Q1047" s="27" t="n">
        <v>2100</v>
      </c>
      <c r="R1047" s="27" t="n">
        <v>1898</v>
      </c>
      <c r="S1047" s="7" t="s">
        <v>60</v>
      </c>
      <c r="T1047" s="7" t="str">
        <f aca="false">IF(O1047=0,"No discount",IF(O1047&lt;=0.2,"Up to 20%","Above 20%"))</f>
        <v>No discount</v>
      </c>
    </row>
    <row r="1048" customFormat="false" ht="15" hidden="false" customHeight="true" outlineLevel="0" collapsed="false">
      <c r="A1048" s="7" t="s">
        <v>1755</v>
      </c>
      <c r="B1048" s="26" t="n">
        <v>45984</v>
      </c>
      <c r="C1048" s="26" t="n">
        <v>45988</v>
      </c>
      <c r="D1048" s="7" t="s">
        <v>873</v>
      </c>
      <c r="E1048" s="7" t="s">
        <v>874</v>
      </c>
      <c r="F1048" s="7" t="s">
        <v>219</v>
      </c>
      <c r="G1048" s="7" t="s">
        <v>160</v>
      </c>
      <c r="H1048" s="7" t="s">
        <v>269</v>
      </c>
      <c r="I1048" s="7" t="s">
        <v>192</v>
      </c>
      <c r="J1048" s="7" t="s">
        <v>213</v>
      </c>
      <c r="K1048" s="7" t="s">
        <v>264</v>
      </c>
      <c r="L1048" s="7" t="s">
        <v>265</v>
      </c>
      <c r="M1048" s="7" t="n">
        <v>2</v>
      </c>
      <c r="N1048" s="27" t="n">
        <v>2499</v>
      </c>
      <c r="O1048" s="28" t="n">
        <v>0</v>
      </c>
      <c r="P1048" s="27" t="n">
        <v>4998</v>
      </c>
      <c r="Q1048" s="27" t="n">
        <v>3400</v>
      </c>
      <c r="R1048" s="27" t="n">
        <v>1598</v>
      </c>
      <c r="S1048" s="7" t="s">
        <v>60</v>
      </c>
      <c r="T1048" s="7" t="str">
        <f aca="false">IF(O1048=0,"No discount",IF(O1048&lt;=0.2,"Up to 20%","Above 20%"))</f>
        <v>No discount</v>
      </c>
    </row>
    <row r="1049" customFormat="false" ht="15" hidden="false" customHeight="true" outlineLevel="0" collapsed="false">
      <c r="A1049" s="7" t="s">
        <v>1756</v>
      </c>
      <c r="B1049" s="26" t="n">
        <v>45984</v>
      </c>
      <c r="C1049" s="26" t="n">
        <v>45991</v>
      </c>
      <c r="D1049" s="7" t="s">
        <v>604</v>
      </c>
      <c r="E1049" s="7" t="s">
        <v>605</v>
      </c>
      <c r="F1049" s="7" t="s">
        <v>159</v>
      </c>
      <c r="G1049" s="7" t="s">
        <v>206</v>
      </c>
      <c r="H1049" s="7" t="s">
        <v>207</v>
      </c>
      <c r="I1049" s="7" t="s">
        <v>282</v>
      </c>
      <c r="J1049" s="7" t="s">
        <v>427</v>
      </c>
      <c r="K1049" s="7" t="s">
        <v>428</v>
      </c>
      <c r="L1049" s="7" t="s">
        <v>429</v>
      </c>
      <c r="M1049" s="7" t="n">
        <v>1</v>
      </c>
      <c r="N1049" s="27" t="n">
        <v>149</v>
      </c>
      <c r="O1049" s="28" t="n">
        <v>0.05</v>
      </c>
      <c r="P1049" s="27" t="n">
        <v>142</v>
      </c>
      <c r="Q1049" s="27" t="n">
        <v>70</v>
      </c>
      <c r="R1049" s="27" t="n">
        <v>72</v>
      </c>
      <c r="S1049" s="7" t="s">
        <v>60</v>
      </c>
      <c r="T1049" s="7" t="str">
        <f aca="false">IF(O1049=0,"No discount",IF(O1049&lt;=0.2,"Up to 20%","Above 20%"))</f>
        <v>Up to 20%</v>
      </c>
    </row>
    <row r="1050" customFormat="false" ht="15" hidden="false" customHeight="true" outlineLevel="0" collapsed="false">
      <c r="A1050" s="7" t="s">
        <v>1757</v>
      </c>
      <c r="B1050" s="26" t="n">
        <v>45984</v>
      </c>
      <c r="C1050" s="26" t="n">
        <v>45985</v>
      </c>
      <c r="D1050" s="7" t="s">
        <v>419</v>
      </c>
      <c r="E1050" s="7" t="s">
        <v>420</v>
      </c>
      <c r="F1050" s="7" t="s">
        <v>178</v>
      </c>
      <c r="G1050" s="7" t="s">
        <v>169</v>
      </c>
      <c r="H1050" s="7" t="s">
        <v>179</v>
      </c>
      <c r="I1050" s="7" t="s">
        <v>199</v>
      </c>
      <c r="J1050" s="7" t="s">
        <v>398</v>
      </c>
      <c r="K1050" s="7" t="s">
        <v>399</v>
      </c>
      <c r="L1050" s="7" t="s">
        <v>400</v>
      </c>
      <c r="M1050" s="7" t="n">
        <v>1</v>
      </c>
      <c r="N1050" s="27" t="n">
        <v>749</v>
      </c>
      <c r="O1050" s="28" t="n">
        <v>0</v>
      </c>
      <c r="P1050" s="27" t="n">
        <v>749</v>
      </c>
      <c r="Q1050" s="27" t="n">
        <v>350</v>
      </c>
      <c r="R1050" s="27" t="n">
        <v>399</v>
      </c>
      <c r="S1050" s="7" t="s">
        <v>60</v>
      </c>
      <c r="T1050" s="7" t="str">
        <f aca="false">IF(O1050=0,"No discount",IF(O1050&lt;=0.2,"Up to 20%","Above 20%"))</f>
        <v>No discount</v>
      </c>
    </row>
    <row r="1051" customFormat="false" ht="15" hidden="false" customHeight="true" outlineLevel="0" collapsed="false">
      <c r="A1051" s="7" t="s">
        <v>1758</v>
      </c>
      <c r="B1051" s="26" t="n">
        <v>45984</v>
      </c>
      <c r="C1051" s="26" t="n">
        <v>45991</v>
      </c>
      <c r="D1051" s="7" t="s">
        <v>809</v>
      </c>
      <c r="E1051" s="7" t="s">
        <v>810</v>
      </c>
      <c r="F1051" s="7" t="s">
        <v>219</v>
      </c>
      <c r="G1051" s="7" t="s">
        <v>169</v>
      </c>
      <c r="H1051" s="7" t="s">
        <v>170</v>
      </c>
      <c r="I1051" s="7" t="s">
        <v>171</v>
      </c>
      <c r="J1051" s="7" t="s">
        <v>172</v>
      </c>
      <c r="K1051" s="7" t="s">
        <v>173</v>
      </c>
      <c r="L1051" s="7" t="s">
        <v>174</v>
      </c>
      <c r="M1051" s="7" t="n">
        <v>1</v>
      </c>
      <c r="N1051" s="27" t="n">
        <v>699</v>
      </c>
      <c r="O1051" s="28" t="n">
        <v>0.05</v>
      </c>
      <c r="P1051" s="27" t="n">
        <v>664</v>
      </c>
      <c r="Q1051" s="27" t="n">
        <v>320</v>
      </c>
      <c r="R1051" s="27" t="n">
        <v>344</v>
      </c>
      <c r="S1051" s="7" t="s">
        <v>60</v>
      </c>
      <c r="T1051" s="7" t="str">
        <f aca="false">IF(O1051=0,"No discount",IF(O1051&lt;=0.2,"Up to 20%","Above 20%"))</f>
        <v>Up to 20%</v>
      </c>
    </row>
    <row r="1052" customFormat="false" ht="15" hidden="false" customHeight="true" outlineLevel="0" collapsed="false">
      <c r="A1052" s="7" t="s">
        <v>1759</v>
      </c>
      <c r="B1052" s="26" t="n">
        <v>45984</v>
      </c>
      <c r="C1052" s="26" t="n">
        <v>45991</v>
      </c>
      <c r="D1052" s="7" t="s">
        <v>403</v>
      </c>
      <c r="E1052" s="7" t="s">
        <v>404</v>
      </c>
      <c r="F1052" s="7" t="s">
        <v>219</v>
      </c>
      <c r="G1052" s="7" t="s">
        <v>169</v>
      </c>
      <c r="H1052" s="7" t="s">
        <v>191</v>
      </c>
      <c r="I1052" s="7" t="s">
        <v>208</v>
      </c>
      <c r="J1052" s="7" t="s">
        <v>232</v>
      </c>
      <c r="K1052" s="7" t="s">
        <v>233</v>
      </c>
      <c r="L1052" s="7" t="s">
        <v>234</v>
      </c>
      <c r="M1052" s="7" t="n">
        <v>1</v>
      </c>
      <c r="N1052" s="27" t="n">
        <v>7999</v>
      </c>
      <c r="O1052" s="28" t="n">
        <v>0.1</v>
      </c>
      <c r="P1052" s="27" t="n">
        <v>7199</v>
      </c>
      <c r="Q1052" s="27" t="n">
        <v>5600</v>
      </c>
      <c r="R1052" s="27" t="n">
        <v>1599</v>
      </c>
      <c r="S1052" s="7" t="s">
        <v>60</v>
      </c>
      <c r="T1052" s="7" t="str">
        <f aca="false">IF(O1052=0,"No discount",IF(O1052&lt;=0.2,"Up to 20%","Above 20%"))</f>
        <v>Up to 20%</v>
      </c>
    </row>
    <row r="1053" customFormat="false" ht="15" hidden="false" customHeight="true" outlineLevel="0" collapsed="false">
      <c r="A1053" s="7" t="s">
        <v>1760</v>
      </c>
      <c r="B1053" s="26" t="n">
        <v>45984</v>
      </c>
      <c r="C1053" s="26" t="n">
        <v>45988</v>
      </c>
      <c r="D1053" s="7" t="s">
        <v>1395</v>
      </c>
      <c r="E1053" s="7" t="s">
        <v>1396</v>
      </c>
      <c r="F1053" s="7" t="s">
        <v>159</v>
      </c>
      <c r="G1053" s="7" t="s">
        <v>206</v>
      </c>
      <c r="H1053" s="7" t="s">
        <v>207</v>
      </c>
      <c r="I1053" s="7" t="s">
        <v>208</v>
      </c>
      <c r="J1053" s="7" t="s">
        <v>232</v>
      </c>
      <c r="K1053" s="7" t="s">
        <v>1011</v>
      </c>
      <c r="L1053" s="7" t="s">
        <v>1012</v>
      </c>
      <c r="M1053" s="7" t="n">
        <v>1</v>
      </c>
      <c r="N1053" s="27" t="n">
        <v>2499</v>
      </c>
      <c r="O1053" s="28" t="n">
        <v>0.05</v>
      </c>
      <c r="P1053" s="27" t="n">
        <v>2374</v>
      </c>
      <c r="Q1053" s="27" t="n">
        <v>1500</v>
      </c>
      <c r="R1053" s="27" t="n">
        <v>874</v>
      </c>
      <c r="S1053" s="7" t="s">
        <v>60</v>
      </c>
      <c r="T1053" s="7" t="str">
        <f aca="false">IF(O1053=0,"No discount",IF(O1053&lt;=0.2,"Up to 20%","Above 20%"))</f>
        <v>Up to 20%</v>
      </c>
    </row>
    <row r="1054" customFormat="false" ht="15" hidden="false" customHeight="true" outlineLevel="0" collapsed="false">
      <c r="A1054" s="7" t="s">
        <v>1761</v>
      </c>
      <c r="B1054" s="26" t="n">
        <v>45985</v>
      </c>
      <c r="C1054" s="26" t="n">
        <v>45989</v>
      </c>
      <c r="D1054" s="7" t="s">
        <v>375</v>
      </c>
      <c r="E1054" s="7" t="s">
        <v>376</v>
      </c>
      <c r="F1054" s="7" t="s">
        <v>159</v>
      </c>
      <c r="G1054" s="7" t="s">
        <v>160</v>
      </c>
      <c r="H1054" s="7" t="s">
        <v>269</v>
      </c>
      <c r="I1054" s="7" t="s">
        <v>208</v>
      </c>
      <c r="J1054" s="7" t="s">
        <v>209</v>
      </c>
      <c r="K1054" s="7" t="s">
        <v>641</v>
      </c>
      <c r="L1054" s="7" t="s">
        <v>642</v>
      </c>
      <c r="M1054" s="7" t="n">
        <v>2</v>
      </c>
      <c r="N1054" s="27" t="n">
        <v>1499</v>
      </c>
      <c r="O1054" s="28" t="n">
        <v>0</v>
      </c>
      <c r="P1054" s="27" t="n">
        <v>2998</v>
      </c>
      <c r="Q1054" s="27" t="n">
        <v>1800</v>
      </c>
      <c r="R1054" s="27" t="n">
        <v>1198</v>
      </c>
      <c r="S1054" s="7" t="s">
        <v>60</v>
      </c>
      <c r="T1054" s="7" t="str">
        <f aca="false">IF(O1054=0,"No discount",IF(O1054&lt;=0.2,"Up to 20%","Above 20%"))</f>
        <v>No discount</v>
      </c>
    </row>
    <row r="1055" customFormat="false" ht="15" hidden="false" customHeight="true" outlineLevel="0" collapsed="false">
      <c r="A1055" s="7" t="s">
        <v>1762</v>
      </c>
      <c r="B1055" s="26" t="n">
        <v>45985</v>
      </c>
      <c r="C1055" s="26" t="n">
        <v>45989</v>
      </c>
      <c r="D1055" s="7" t="s">
        <v>258</v>
      </c>
      <c r="E1055" s="7" t="s">
        <v>259</v>
      </c>
      <c r="F1055" s="7" t="s">
        <v>159</v>
      </c>
      <c r="G1055" s="7" t="s">
        <v>206</v>
      </c>
      <c r="H1055" s="7" t="s">
        <v>207</v>
      </c>
      <c r="I1055" s="7" t="s">
        <v>162</v>
      </c>
      <c r="J1055" s="7" t="s">
        <v>325</v>
      </c>
      <c r="K1055" s="7" t="s">
        <v>381</v>
      </c>
      <c r="L1055" s="7" t="s">
        <v>382</v>
      </c>
      <c r="M1055" s="7" t="n">
        <v>2</v>
      </c>
      <c r="N1055" s="27" t="n">
        <v>1799</v>
      </c>
      <c r="O1055" s="28" t="n">
        <v>0</v>
      </c>
      <c r="P1055" s="27" t="n">
        <v>3598</v>
      </c>
      <c r="Q1055" s="27" t="n">
        <v>1900</v>
      </c>
      <c r="R1055" s="27" t="n">
        <v>1698</v>
      </c>
      <c r="S1055" s="7" t="s">
        <v>60</v>
      </c>
      <c r="T1055" s="7" t="str">
        <f aca="false">IF(O1055=0,"No discount",IF(O1055&lt;=0.2,"Up to 20%","Above 20%"))</f>
        <v>No discount</v>
      </c>
    </row>
    <row r="1056" customFormat="false" ht="15" hidden="false" customHeight="true" outlineLevel="0" collapsed="false">
      <c r="A1056" s="7" t="s">
        <v>1763</v>
      </c>
      <c r="B1056" s="26" t="n">
        <v>45985</v>
      </c>
      <c r="C1056" s="26" t="n">
        <v>45989</v>
      </c>
      <c r="D1056" s="7" t="s">
        <v>555</v>
      </c>
      <c r="E1056" s="7" t="s">
        <v>556</v>
      </c>
      <c r="F1056" s="7" t="s">
        <v>178</v>
      </c>
      <c r="G1056" s="7" t="s">
        <v>206</v>
      </c>
      <c r="H1056" s="7" t="s">
        <v>207</v>
      </c>
      <c r="I1056" s="7" t="s">
        <v>162</v>
      </c>
      <c r="J1056" s="7" t="s">
        <v>185</v>
      </c>
      <c r="K1056" s="7" t="s">
        <v>186</v>
      </c>
      <c r="L1056" s="7" t="s">
        <v>187</v>
      </c>
      <c r="M1056" s="7" t="n">
        <v>5</v>
      </c>
      <c r="N1056" s="27" t="n">
        <v>3299</v>
      </c>
      <c r="O1056" s="28" t="n">
        <v>0</v>
      </c>
      <c r="P1056" s="27" t="n">
        <v>16495</v>
      </c>
      <c r="Q1056" s="27" t="n">
        <v>9500</v>
      </c>
      <c r="R1056" s="27" t="n">
        <v>6995</v>
      </c>
      <c r="S1056" s="7" t="s">
        <v>60</v>
      </c>
      <c r="T1056" s="7" t="str">
        <f aca="false">IF(O1056=0,"No discount",IF(O1056&lt;=0.2,"Up to 20%","Above 20%"))</f>
        <v>No discount</v>
      </c>
    </row>
    <row r="1057" customFormat="false" ht="15" hidden="false" customHeight="true" outlineLevel="0" collapsed="false">
      <c r="A1057" s="7" t="s">
        <v>1764</v>
      </c>
      <c r="B1057" s="26" t="n">
        <v>45985</v>
      </c>
      <c r="C1057" s="26" t="n">
        <v>45990</v>
      </c>
      <c r="D1057" s="7" t="s">
        <v>781</v>
      </c>
      <c r="E1057" s="7" t="s">
        <v>782</v>
      </c>
      <c r="F1057" s="7" t="s">
        <v>219</v>
      </c>
      <c r="G1057" s="7" t="s">
        <v>160</v>
      </c>
      <c r="H1057" s="7" t="s">
        <v>269</v>
      </c>
      <c r="I1057" s="7" t="s">
        <v>208</v>
      </c>
      <c r="J1057" s="7" t="s">
        <v>232</v>
      </c>
      <c r="K1057" s="7" t="s">
        <v>233</v>
      </c>
      <c r="L1057" s="7" t="s">
        <v>234</v>
      </c>
      <c r="M1057" s="7" t="n">
        <v>1</v>
      </c>
      <c r="N1057" s="27" t="n">
        <v>7999</v>
      </c>
      <c r="O1057" s="28" t="n">
        <v>0</v>
      </c>
      <c r="P1057" s="27" t="n">
        <v>7999</v>
      </c>
      <c r="Q1057" s="27" t="n">
        <v>5600</v>
      </c>
      <c r="R1057" s="27" t="n">
        <v>2399</v>
      </c>
      <c r="S1057" s="7" t="s">
        <v>60</v>
      </c>
      <c r="T1057" s="7" t="str">
        <f aca="false">IF(O1057=0,"No discount",IF(O1057&lt;=0.2,"Up to 20%","Above 20%"))</f>
        <v>No discount</v>
      </c>
    </row>
    <row r="1058" customFormat="false" ht="15" hidden="false" customHeight="true" outlineLevel="0" collapsed="false">
      <c r="A1058" s="7" t="s">
        <v>1765</v>
      </c>
      <c r="B1058" s="26" t="n">
        <v>45985</v>
      </c>
      <c r="C1058" s="26" t="n">
        <v>45991</v>
      </c>
      <c r="D1058" s="7" t="s">
        <v>221</v>
      </c>
      <c r="E1058" s="7" t="s">
        <v>222</v>
      </c>
      <c r="F1058" s="7" t="s">
        <v>219</v>
      </c>
      <c r="G1058" s="7" t="s">
        <v>160</v>
      </c>
      <c r="H1058" s="7" t="s">
        <v>161</v>
      </c>
      <c r="I1058" s="7" t="s">
        <v>282</v>
      </c>
      <c r="J1058" s="7" t="s">
        <v>283</v>
      </c>
      <c r="K1058" s="7" t="s">
        <v>284</v>
      </c>
      <c r="L1058" s="7" t="s">
        <v>285</v>
      </c>
      <c r="M1058" s="7" t="n">
        <v>3</v>
      </c>
      <c r="N1058" s="27" t="n">
        <v>199</v>
      </c>
      <c r="O1058" s="28" t="n">
        <v>0</v>
      </c>
      <c r="P1058" s="27" t="n">
        <v>597</v>
      </c>
      <c r="Q1058" s="27" t="n">
        <v>270</v>
      </c>
      <c r="R1058" s="27" t="n">
        <v>327</v>
      </c>
      <c r="S1058" s="7" t="s">
        <v>60</v>
      </c>
      <c r="T1058" s="7" t="str">
        <f aca="false">IF(O1058=0,"No discount",IF(O1058&lt;=0.2,"Up to 20%","Above 20%"))</f>
        <v>No discount</v>
      </c>
    </row>
    <row r="1059" customFormat="false" ht="15" hidden="false" customHeight="true" outlineLevel="0" collapsed="false">
      <c r="A1059" s="7" t="s">
        <v>1766</v>
      </c>
      <c r="B1059" s="26" t="n">
        <v>45986</v>
      </c>
      <c r="C1059" s="26" t="n">
        <v>45988</v>
      </c>
      <c r="D1059" s="7" t="s">
        <v>618</v>
      </c>
      <c r="E1059" s="7" t="s">
        <v>619</v>
      </c>
      <c r="F1059" s="7" t="s">
        <v>219</v>
      </c>
      <c r="G1059" s="7" t="s">
        <v>169</v>
      </c>
      <c r="H1059" s="7" t="s">
        <v>191</v>
      </c>
      <c r="I1059" s="7" t="s">
        <v>192</v>
      </c>
      <c r="J1059" s="7" t="s">
        <v>213</v>
      </c>
      <c r="K1059" s="7" t="s">
        <v>214</v>
      </c>
      <c r="L1059" s="7" t="s">
        <v>215</v>
      </c>
      <c r="M1059" s="7" t="n">
        <v>1</v>
      </c>
      <c r="N1059" s="27" t="n">
        <v>5999</v>
      </c>
      <c r="O1059" s="28" t="n">
        <v>0.2</v>
      </c>
      <c r="P1059" s="27" t="n">
        <v>4799</v>
      </c>
      <c r="Q1059" s="27" t="n">
        <v>4600</v>
      </c>
      <c r="R1059" s="27" t="n">
        <v>199</v>
      </c>
      <c r="S1059" s="7" t="s">
        <v>60</v>
      </c>
      <c r="T1059" s="7" t="str">
        <f aca="false">IF(O1059=0,"No discount",IF(O1059&lt;=0.2,"Up to 20%","Above 20%"))</f>
        <v>Up to 20%</v>
      </c>
    </row>
    <row r="1060" customFormat="false" ht="15" hidden="false" customHeight="true" outlineLevel="0" collapsed="false">
      <c r="A1060" s="7" t="s">
        <v>1767</v>
      </c>
      <c r="B1060" s="26" t="n">
        <v>45986</v>
      </c>
      <c r="C1060" s="26" t="n">
        <v>45992</v>
      </c>
      <c r="D1060" s="7" t="s">
        <v>157</v>
      </c>
      <c r="E1060" s="7" t="s">
        <v>158</v>
      </c>
      <c r="F1060" s="7" t="s">
        <v>159</v>
      </c>
      <c r="G1060" s="7" t="s">
        <v>160</v>
      </c>
      <c r="H1060" s="7" t="s">
        <v>161</v>
      </c>
      <c r="I1060" s="7" t="s">
        <v>192</v>
      </c>
      <c r="J1060" s="7" t="s">
        <v>193</v>
      </c>
      <c r="K1060" s="7" t="s">
        <v>194</v>
      </c>
      <c r="L1060" s="7" t="s">
        <v>195</v>
      </c>
      <c r="M1060" s="7" t="n">
        <v>1</v>
      </c>
      <c r="N1060" s="27" t="n">
        <v>8999</v>
      </c>
      <c r="O1060" s="28" t="n">
        <v>0</v>
      </c>
      <c r="P1060" s="27" t="n">
        <v>8999</v>
      </c>
      <c r="Q1060" s="27" t="n">
        <v>6800</v>
      </c>
      <c r="R1060" s="27" t="n">
        <v>2199</v>
      </c>
      <c r="S1060" s="7" t="s">
        <v>60</v>
      </c>
      <c r="T1060" s="7" t="str">
        <f aca="false">IF(O1060=0,"No discount",IF(O1060&lt;=0.2,"Up to 20%","Above 20%"))</f>
        <v>No discount</v>
      </c>
    </row>
    <row r="1061" customFormat="false" ht="15" hidden="false" customHeight="true" outlineLevel="0" collapsed="false">
      <c r="A1061" s="7" t="s">
        <v>1768</v>
      </c>
      <c r="B1061" s="26" t="n">
        <v>45986</v>
      </c>
      <c r="C1061" s="26" t="n">
        <v>45993</v>
      </c>
      <c r="D1061" s="7" t="s">
        <v>757</v>
      </c>
      <c r="E1061" s="7" t="s">
        <v>758</v>
      </c>
      <c r="F1061" s="7" t="s">
        <v>159</v>
      </c>
      <c r="G1061" s="7" t="s">
        <v>160</v>
      </c>
      <c r="H1061" s="7" t="s">
        <v>161</v>
      </c>
      <c r="I1061" s="7" t="s">
        <v>199</v>
      </c>
      <c r="J1061" s="7" t="s">
        <v>200</v>
      </c>
      <c r="K1061" s="7" t="s">
        <v>201</v>
      </c>
      <c r="L1061" s="7" t="s">
        <v>202</v>
      </c>
      <c r="M1061" s="7" t="n">
        <v>3</v>
      </c>
      <c r="N1061" s="27" t="n">
        <v>399</v>
      </c>
      <c r="O1061" s="28" t="n">
        <v>0.2</v>
      </c>
      <c r="P1061" s="27" t="n">
        <v>958</v>
      </c>
      <c r="Q1061" s="27" t="n">
        <v>480</v>
      </c>
      <c r="R1061" s="27" t="n">
        <v>478</v>
      </c>
      <c r="S1061" s="7" t="s">
        <v>60</v>
      </c>
      <c r="T1061" s="7" t="str">
        <f aca="false">IF(O1061=0,"No discount",IF(O1061&lt;=0.2,"Up to 20%","Above 20%"))</f>
        <v>Up to 20%</v>
      </c>
    </row>
    <row r="1062" customFormat="false" ht="15" hidden="false" customHeight="true" outlineLevel="0" collapsed="false">
      <c r="A1062" s="7" t="s">
        <v>1769</v>
      </c>
      <c r="B1062" s="26" t="n">
        <v>45987</v>
      </c>
      <c r="C1062" s="26" t="n">
        <v>45993</v>
      </c>
      <c r="D1062" s="7" t="s">
        <v>613</v>
      </c>
      <c r="E1062" s="7" t="s">
        <v>614</v>
      </c>
      <c r="F1062" s="7" t="s">
        <v>219</v>
      </c>
      <c r="G1062" s="7" t="s">
        <v>169</v>
      </c>
      <c r="H1062" s="7" t="s">
        <v>191</v>
      </c>
      <c r="I1062" s="7" t="s">
        <v>208</v>
      </c>
      <c r="J1062" s="7" t="s">
        <v>232</v>
      </c>
      <c r="K1062" s="7" t="s">
        <v>233</v>
      </c>
      <c r="L1062" s="7" t="s">
        <v>234</v>
      </c>
      <c r="M1062" s="7" t="n">
        <v>1</v>
      </c>
      <c r="N1062" s="27" t="n">
        <v>7999</v>
      </c>
      <c r="O1062" s="28" t="n">
        <v>0.15</v>
      </c>
      <c r="P1062" s="27" t="n">
        <v>6799</v>
      </c>
      <c r="Q1062" s="27" t="n">
        <v>5600</v>
      </c>
      <c r="R1062" s="27" t="n">
        <v>1199</v>
      </c>
      <c r="S1062" s="7" t="s">
        <v>60</v>
      </c>
      <c r="T1062" s="7" t="str">
        <f aca="false">IF(O1062=0,"No discount",IF(O1062&lt;=0.2,"Up to 20%","Above 20%"))</f>
        <v>Up to 20%</v>
      </c>
    </row>
    <row r="1063" customFormat="false" ht="15" hidden="false" customHeight="true" outlineLevel="0" collapsed="false">
      <c r="A1063" s="7" t="s">
        <v>1770</v>
      </c>
      <c r="B1063" s="26" t="n">
        <v>45987</v>
      </c>
      <c r="C1063" s="26" t="n">
        <v>45992</v>
      </c>
      <c r="D1063" s="7" t="s">
        <v>1090</v>
      </c>
      <c r="E1063" s="7" t="s">
        <v>1091</v>
      </c>
      <c r="F1063" s="7" t="s">
        <v>178</v>
      </c>
      <c r="G1063" s="7" t="s">
        <v>169</v>
      </c>
      <c r="H1063" s="7" t="s">
        <v>179</v>
      </c>
      <c r="I1063" s="7" t="s">
        <v>208</v>
      </c>
      <c r="J1063" s="7" t="s">
        <v>232</v>
      </c>
      <c r="K1063" s="7" t="s">
        <v>233</v>
      </c>
      <c r="L1063" s="7" t="s">
        <v>234</v>
      </c>
      <c r="M1063" s="7" t="n">
        <v>2</v>
      </c>
      <c r="N1063" s="27" t="n">
        <v>7999</v>
      </c>
      <c r="O1063" s="28" t="n">
        <v>0.1</v>
      </c>
      <c r="P1063" s="27" t="n">
        <v>14398</v>
      </c>
      <c r="Q1063" s="27" t="n">
        <v>11200</v>
      </c>
      <c r="R1063" s="27" t="n">
        <v>3198</v>
      </c>
      <c r="S1063" s="7" t="s">
        <v>60</v>
      </c>
      <c r="T1063" s="7" t="str">
        <f aca="false">IF(O1063=0,"No discount",IF(O1063&lt;=0.2,"Up to 20%","Above 20%"))</f>
        <v>Up to 20%</v>
      </c>
    </row>
    <row r="1064" customFormat="false" ht="15" hidden="false" customHeight="true" outlineLevel="0" collapsed="false">
      <c r="A1064" s="7" t="s">
        <v>1771</v>
      </c>
      <c r="B1064" s="26" t="n">
        <v>45987</v>
      </c>
      <c r="C1064" s="26" t="n">
        <v>45991</v>
      </c>
      <c r="D1064" s="7" t="s">
        <v>903</v>
      </c>
      <c r="E1064" s="7" t="s">
        <v>904</v>
      </c>
      <c r="F1064" s="7" t="s">
        <v>219</v>
      </c>
      <c r="G1064" s="7" t="s">
        <v>206</v>
      </c>
      <c r="H1064" s="7" t="s">
        <v>207</v>
      </c>
      <c r="I1064" s="7" t="s">
        <v>171</v>
      </c>
      <c r="J1064" s="7" t="s">
        <v>172</v>
      </c>
      <c r="K1064" s="7" t="s">
        <v>173</v>
      </c>
      <c r="L1064" s="7" t="s">
        <v>174</v>
      </c>
      <c r="M1064" s="7" t="n">
        <v>1</v>
      </c>
      <c r="N1064" s="27" t="n">
        <v>699</v>
      </c>
      <c r="O1064" s="28" t="n">
        <v>0.2</v>
      </c>
      <c r="P1064" s="27" t="n">
        <v>559</v>
      </c>
      <c r="Q1064" s="27" t="n">
        <v>320</v>
      </c>
      <c r="R1064" s="27" t="n">
        <v>239</v>
      </c>
      <c r="S1064" s="7" t="s">
        <v>47</v>
      </c>
      <c r="T1064" s="7" t="str">
        <f aca="false">IF(O1064=0,"No discount",IF(O1064&lt;=0.2,"Up to 20%","Above 20%"))</f>
        <v>Up to 20%</v>
      </c>
    </row>
    <row r="1065" customFormat="false" ht="15" hidden="false" customHeight="true" outlineLevel="0" collapsed="false">
      <c r="A1065" s="7" t="s">
        <v>1772</v>
      </c>
      <c r="B1065" s="26" t="n">
        <v>45987</v>
      </c>
      <c r="C1065" s="26" t="n">
        <v>45994</v>
      </c>
      <c r="D1065" s="7" t="s">
        <v>799</v>
      </c>
      <c r="E1065" s="7" t="s">
        <v>800</v>
      </c>
      <c r="F1065" s="7" t="s">
        <v>159</v>
      </c>
      <c r="G1065" s="7" t="s">
        <v>169</v>
      </c>
      <c r="H1065" s="7" t="s">
        <v>191</v>
      </c>
      <c r="I1065" s="7" t="s">
        <v>208</v>
      </c>
      <c r="J1065" s="7" t="s">
        <v>421</v>
      </c>
      <c r="K1065" s="7" t="s">
        <v>422</v>
      </c>
      <c r="L1065" s="7" t="s">
        <v>423</v>
      </c>
      <c r="M1065" s="7" t="n">
        <v>1</v>
      </c>
      <c r="N1065" s="27" t="n">
        <v>5999</v>
      </c>
      <c r="O1065" s="28" t="n">
        <v>0.05</v>
      </c>
      <c r="P1065" s="27" t="n">
        <v>5699</v>
      </c>
      <c r="Q1065" s="27" t="n">
        <v>4300</v>
      </c>
      <c r="R1065" s="27" t="n">
        <v>1399</v>
      </c>
      <c r="S1065" s="7" t="s">
        <v>47</v>
      </c>
      <c r="T1065" s="7" t="str">
        <f aca="false">IF(O1065=0,"No discount",IF(O1065&lt;=0.2,"Up to 20%","Above 20%"))</f>
        <v>Up to 20%</v>
      </c>
    </row>
    <row r="1066" customFormat="false" ht="15" hidden="false" customHeight="true" outlineLevel="0" collapsed="false">
      <c r="A1066" s="7" t="s">
        <v>1773</v>
      </c>
      <c r="B1066" s="26" t="n">
        <v>45988</v>
      </c>
      <c r="C1066" s="26" t="n">
        <v>45995</v>
      </c>
      <c r="D1066" s="7" t="s">
        <v>601</v>
      </c>
      <c r="E1066" s="7" t="s">
        <v>602</v>
      </c>
      <c r="F1066" s="7" t="s">
        <v>159</v>
      </c>
      <c r="G1066" s="7" t="s">
        <v>160</v>
      </c>
      <c r="H1066" s="7" t="s">
        <v>263</v>
      </c>
      <c r="I1066" s="7" t="s">
        <v>208</v>
      </c>
      <c r="J1066" s="7" t="s">
        <v>209</v>
      </c>
      <c r="K1066" s="7" t="s">
        <v>210</v>
      </c>
      <c r="L1066" s="7" t="s">
        <v>211</v>
      </c>
      <c r="M1066" s="7" t="n">
        <v>1</v>
      </c>
      <c r="N1066" s="27" t="n">
        <v>3499</v>
      </c>
      <c r="O1066" s="28" t="n">
        <v>0.05</v>
      </c>
      <c r="P1066" s="27" t="n">
        <v>3324</v>
      </c>
      <c r="Q1066" s="27" t="n">
        <v>2200</v>
      </c>
      <c r="R1066" s="27" t="n">
        <v>1124</v>
      </c>
      <c r="S1066" s="7" t="s">
        <v>60</v>
      </c>
      <c r="T1066" s="7" t="str">
        <f aca="false">IF(O1066=0,"No discount",IF(O1066&lt;=0.2,"Up to 20%","Above 20%"))</f>
        <v>Up to 20%</v>
      </c>
    </row>
    <row r="1067" customFormat="false" ht="15" hidden="false" customHeight="true" outlineLevel="0" collapsed="false">
      <c r="A1067" s="7" t="s">
        <v>1774</v>
      </c>
      <c r="B1067" s="26" t="n">
        <v>45988</v>
      </c>
      <c r="C1067" s="26" t="n">
        <v>45990</v>
      </c>
      <c r="D1067" s="7" t="s">
        <v>435</v>
      </c>
      <c r="E1067" s="7" t="s">
        <v>436</v>
      </c>
      <c r="F1067" s="7" t="s">
        <v>159</v>
      </c>
      <c r="G1067" s="7" t="s">
        <v>169</v>
      </c>
      <c r="H1067" s="7" t="s">
        <v>170</v>
      </c>
      <c r="I1067" s="7" t="s">
        <v>171</v>
      </c>
      <c r="J1067" s="7" t="s">
        <v>172</v>
      </c>
      <c r="K1067" s="7" t="s">
        <v>173</v>
      </c>
      <c r="L1067" s="7" t="s">
        <v>174</v>
      </c>
      <c r="M1067" s="7" t="n">
        <v>1</v>
      </c>
      <c r="N1067" s="27" t="n">
        <v>699</v>
      </c>
      <c r="O1067" s="28" t="n">
        <v>0.05</v>
      </c>
      <c r="P1067" s="27" t="n">
        <v>664</v>
      </c>
      <c r="Q1067" s="27" t="n">
        <v>320</v>
      </c>
      <c r="R1067" s="27" t="n">
        <v>344</v>
      </c>
      <c r="S1067" s="7" t="s">
        <v>60</v>
      </c>
      <c r="T1067" s="7" t="str">
        <f aca="false">IF(O1067=0,"No discount",IF(O1067&lt;=0.2,"Up to 20%","Above 20%"))</f>
        <v>Up to 20%</v>
      </c>
    </row>
    <row r="1068" customFormat="false" ht="15" hidden="false" customHeight="true" outlineLevel="0" collapsed="false">
      <c r="A1068" s="7" t="s">
        <v>1775</v>
      </c>
      <c r="B1068" s="26" t="n">
        <v>45988</v>
      </c>
      <c r="C1068" s="26" t="n">
        <v>45994</v>
      </c>
      <c r="D1068" s="7" t="s">
        <v>308</v>
      </c>
      <c r="E1068" s="7" t="s">
        <v>309</v>
      </c>
      <c r="F1068" s="7" t="s">
        <v>159</v>
      </c>
      <c r="G1068" s="7" t="s">
        <v>169</v>
      </c>
      <c r="H1068" s="7" t="s">
        <v>179</v>
      </c>
      <c r="I1068" s="7" t="s">
        <v>171</v>
      </c>
      <c r="J1068" s="7" t="s">
        <v>314</v>
      </c>
      <c r="K1068" s="7" t="s">
        <v>315</v>
      </c>
      <c r="L1068" s="7" t="s">
        <v>316</v>
      </c>
      <c r="M1068" s="7" t="n">
        <v>1</v>
      </c>
      <c r="N1068" s="27" t="n">
        <v>1299</v>
      </c>
      <c r="O1068" s="28" t="n">
        <v>0.05</v>
      </c>
      <c r="P1068" s="27" t="n">
        <v>1234</v>
      </c>
      <c r="Q1068" s="27" t="n">
        <v>700</v>
      </c>
      <c r="R1068" s="27" t="n">
        <v>534</v>
      </c>
      <c r="S1068" s="7" t="s">
        <v>60</v>
      </c>
      <c r="T1068" s="7" t="str">
        <f aca="false">IF(O1068=0,"No discount",IF(O1068&lt;=0.2,"Up to 20%","Above 20%"))</f>
        <v>Up to 20%</v>
      </c>
    </row>
    <row r="1069" customFormat="false" ht="15" hidden="false" customHeight="true" outlineLevel="0" collapsed="false">
      <c r="A1069" s="7" t="s">
        <v>1776</v>
      </c>
      <c r="B1069" s="26" t="n">
        <v>45989</v>
      </c>
      <c r="C1069" s="26" t="n">
        <v>45995</v>
      </c>
      <c r="D1069" s="7" t="s">
        <v>621</v>
      </c>
      <c r="E1069" s="7" t="s">
        <v>622</v>
      </c>
      <c r="F1069" s="7" t="s">
        <v>219</v>
      </c>
      <c r="G1069" s="7" t="s">
        <v>323</v>
      </c>
      <c r="H1069" s="7" t="s">
        <v>324</v>
      </c>
      <c r="I1069" s="7" t="s">
        <v>199</v>
      </c>
      <c r="J1069" s="7" t="s">
        <v>292</v>
      </c>
      <c r="K1069" s="7" t="s">
        <v>293</v>
      </c>
      <c r="L1069" s="7" t="s">
        <v>294</v>
      </c>
      <c r="M1069" s="7" t="n">
        <v>3</v>
      </c>
      <c r="N1069" s="27" t="n">
        <v>1599</v>
      </c>
      <c r="O1069" s="28" t="n">
        <v>0</v>
      </c>
      <c r="P1069" s="27" t="n">
        <v>4797</v>
      </c>
      <c r="Q1069" s="27" t="n">
        <v>2250</v>
      </c>
      <c r="R1069" s="27" t="n">
        <v>2547</v>
      </c>
      <c r="S1069" s="7" t="s">
        <v>60</v>
      </c>
      <c r="T1069" s="7" t="str">
        <f aca="false">IF(O1069=0,"No discount",IF(O1069&lt;=0.2,"Up to 20%","Above 20%"))</f>
        <v>No discount</v>
      </c>
    </row>
    <row r="1070" customFormat="false" ht="15" hidden="false" customHeight="true" outlineLevel="0" collapsed="false">
      <c r="A1070" s="7" t="s">
        <v>1777</v>
      </c>
      <c r="B1070" s="26" t="n">
        <v>45989</v>
      </c>
      <c r="C1070" s="26" t="n">
        <v>45992</v>
      </c>
      <c r="D1070" s="7" t="s">
        <v>659</v>
      </c>
      <c r="E1070" s="7" t="s">
        <v>660</v>
      </c>
      <c r="F1070" s="7" t="s">
        <v>159</v>
      </c>
      <c r="G1070" s="7" t="s">
        <v>160</v>
      </c>
      <c r="H1070" s="7" t="s">
        <v>161</v>
      </c>
      <c r="I1070" s="7" t="s">
        <v>199</v>
      </c>
      <c r="J1070" s="7" t="s">
        <v>200</v>
      </c>
      <c r="K1070" s="7" t="s">
        <v>201</v>
      </c>
      <c r="L1070" s="7" t="s">
        <v>202</v>
      </c>
      <c r="M1070" s="7" t="n">
        <v>1</v>
      </c>
      <c r="N1070" s="27" t="n">
        <v>399</v>
      </c>
      <c r="O1070" s="28" t="n">
        <v>0</v>
      </c>
      <c r="P1070" s="27" t="n">
        <v>399</v>
      </c>
      <c r="Q1070" s="27" t="n">
        <v>160</v>
      </c>
      <c r="R1070" s="27" t="n">
        <v>239</v>
      </c>
      <c r="S1070" s="7" t="s">
        <v>60</v>
      </c>
      <c r="T1070" s="7" t="str">
        <f aca="false">IF(O1070=0,"No discount",IF(O1070&lt;=0.2,"Up to 20%","Above 20%"))</f>
        <v>No discount</v>
      </c>
    </row>
    <row r="1071" customFormat="false" ht="15" hidden="false" customHeight="true" outlineLevel="0" collapsed="false">
      <c r="A1071" s="7" t="s">
        <v>1778</v>
      </c>
      <c r="B1071" s="26" t="n">
        <v>45989</v>
      </c>
      <c r="C1071" s="26" t="n">
        <v>45995</v>
      </c>
      <c r="D1071" s="7" t="s">
        <v>330</v>
      </c>
      <c r="E1071" s="7" t="s">
        <v>331</v>
      </c>
      <c r="F1071" s="7" t="s">
        <v>219</v>
      </c>
      <c r="G1071" s="7" t="s">
        <v>206</v>
      </c>
      <c r="H1071" s="7" t="s">
        <v>207</v>
      </c>
      <c r="I1071" s="7" t="s">
        <v>162</v>
      </c>
      <c r="J1071" s="7" t="s">
        <v>325</v>
      </c>
      <c r="K1071" s="7" t="s">
        <v>381</v>
      </c>
      <c r="L1071" s="7" t="s">
        <v>382</v>
      </c>
      <c r="M1071" s="7" t="n">
        <v>1</v>
      </c>
      <c r="N1071" s="27" t="n">
        <v>1799</v>
      </c>
      <c r="O1071" s="28" t="n">
        <v>0.3</v>
      </c>
      <c r="P1071" s="27" t="n">
        <v>1259</v>
      </c>
      <c r="Q1071" s="27" t="n">
        <v>950</v>
      </c>
      <c r="R1071" s="27" t="n">
        <v>309</v>
      </c>
      <c r="S1071" s="7" t="s">
        <v>60</v>
      </c>
      <c r="T1071" s="7" t="str">
        <f aca="false">IF(O1071=0,"No discount",IF(O1071&lt;=0.2,"Up to 20%","Above 20%"))</f>
        <v>Above 20%</v>
      </c>
    </row>
    <row r="1072" customFormat="false" ht="15" hidden="false" customHeight="true" outlineLevel="0" collapsed="false">
      <c r="A1072" s="7" t="s">
        <v>1779</v>
      </c>
      <c r="B1072" s="26" t="n">
        <v>45989</v>
      </c>
      <c r="C1072" s="26" t="n">
        <v>45993</v>
      </c>
      <c r="D1072" s="7" t="s">
        <v>419</v>
      </c>
      <c r="E1072" s="7" t="s">
        <v>420</v>
      </c>
      <c r="F1072" s="7" t="s">
        <v>178</v>
      </c>
      <c r="G1072" s="7" t="s">
        <v>169</v>
      </c>
      <c r="H1072" s="7" t="s">
        <v>179</v>
      </c>
      <c r="I1072" s="7" t="s">
        <v>208</v>
      </c>
      <c r="J1072" s="7" t="s">
        <v>209</v>
      </c>
      <c r="K1072" s="7" t="s">
        <v>238</v>
      </c>
      <c r="L1072" s="7" t="s">
        <v>239</v>
      </c>
      <c r="M1072" s="7" t="n">
        <v>2</v>
      </c>
      <c r="N1072" s="27" t="n">
        <v>2199</v>
      </c>
      <c r="O1072" s="28" t="n">
        <v>0.1</v>
      </c>
      <c r="P1072" s="27" t="n">
        <v>3958</v>
      </c>
      <c r="Q1072" s="27" t="n">
        <v>2800</v>
      </c>
      <c r="R1072" s="27" t="n">
        <v>1158</v>
      </c>
      <c r="S1072" s="7" t="s">
        <v>60</v>
      </c>
      <c r="T1072" s="7" t="str">
        <f aca="false">IF(O1072=0,"No discount",IF(O1072&lt;=0.2,"Up to 20%","Above 20%"))</f>
        <v>Up to 20%</v>
      </c>
    </row>
    <row r="1073" customFormat="false" ht="15" hidden="false" customHeight="true" outlineLevel="0" collapsed="false">
      <c r="A1073" s="7" t="s">
        <v>1780</v>
      </c>
      <c r="B1073" s="26" t="n">
        <v>45989</v>
      </c>
      <c r="C1073" s="26" t="n">
        <v>45994</v>
      </c>
      <c r="D1073" s="7" t="s">
        <v>308</v>
      </c>
      <c r="E1073" s="7" t="s">
        <v>309</v>
      </c>
      <c r="F1073" s="7" t="s">
        <v>159</v>
      </c>
      <c r="G1073" s="7" t="s">
        <v>169</v>
      </c>
      <c r="H1073" s="7" t="s">
        <v>179</v>
      </c>
      <c r="I1073" s="7" t="s">
        <v>199</v>
      </c>
      <c r="J1073" s="7" t="s">
        <v>292</v>
      </c>
      <c r="K1073" s="7" t="s">
        <v>293</v>
      </c>
      <c r="L1073" s="7" t="s">
        <v>294</v>
      </c>
      <c r="M1073" s="7" t="n">
        <v>1</v>
      </c>
      <c r="N1073" s="27" t="n">
        <v>1599</v>
      </c>
      <c r="O1073" s="28" t="n">
        <v>0.2</v>
      </c>
      <c r="P1073" s="27" t="n">
        <v>1279</v>
      </c>
      <c r="Q1073" s="27" t="n">
        <v>750</v>
      </c>
      <c r="R1073" s="27" t="n">
        <v>529</v>
      </c>
      <c r="S1073" s="7" t="s">
        <v>60</v>
      </c>
      <c r="T1073" s="7" t="str">
        <f aca="false">IF(O1073=0,"No discount",IF(O1073&lt;=0.2,"Up to 20%","Above 20%"))</f>
        <v>Up to 20%</v>
      </c>
    </row>
    <row r="1074" customFormat="false" ht="15" hidden="false" customHeight="true" outlineLevel="0" collapsed="false">
      <c r="A1074" s="7" t="s">
        <v>1781</v>
      </c>
      <c r="B1074" s="26" t="n">
        <v>45989</v>
      </c>
      <c r="C1074" s="26" t="n">
        <v>45993</v>
      </c>
      <c r="D1074" s="7" t="s">
        <v>940</v>
      </c>
      <c r="E1074" s="7" t="s">
        <v>941</v>
      </c>
      <c r="F1074" s="7" t="s">
        <v>159</v>
      </c>
      <c r="G1074" s="7" t="s">
        <v>169</v>
      </c>
      <c r="H1074" s="7" t="s">
        <v>170</v>
      </c>
      <c r="I1074" s="7" t="s">
        <v>192</v>
      </c>
      <c r="J1074" s="7" t="s">
        <v>213</v>
      </c>
      <c r="K1074" s="7" t="s">
        <v>214</v>
      </c>
      <c r="L1074" s="7" t="s">
        <v>215</v>
      </c>
      <c r="M1074" s="7" t="n">
        <v>1</v>
      </c>
      <c r="N1074" s="27" t="n">
        <v>5999</v>
      </c>
      <c r="O1074" s="28" t="n">
        <v>0.1</v>
      </c>
      <c r="P1074" s="27" t="n">
        <v>5399</v>
      </c>
      <c r="Q1074" s="27" t="n">
        <v>4600</v>
      </c>
      <c r="R1074" s="27" t="n">
        <v>799</v>
      </c>
      <c r="S1074" s="7" t="s">
        <v>60</v>
      </c>
      <c r="T1074" s="7" t="str">
        <f aca="false">IF(O1074=0,"No discount",IF(O1074&lt;=0.2,"Up to 20%","Above 20%"))</f>
        <v>Up to 20%</v>
      </c>
    </row>
    <row r="1075" customFormat="false" ht="15" hidden="false" customHeight="true" outlineLevel="0" collapsed="false">
      <c r="A1075" s="7" t="s">
        <v>1782</v>
      </c>
      <c r="B1075" s="26" t="n">
        <v>45989</v>
      </c>
      <c r="C1075" s="26" t="n">
        <v>45991</v>
      </c>
      <c r="D1075" s="7" t="s">
        <v>459</v>
      </c>
      <c r="E1075" s="7" t="s">
        <v>460</v>
      </c>
      <c r="F1075" s="7" t="s">
        <v>219</v>
      </c>
      <c r="G1075" s="7" t="s">
        <v>160</v>
      </c>
      <c r="H1075" s="7" t="s">
        <v>269</v>
      </c>
      <c r="I1075" s="7" t="s">
        <v>192</v>
      </c>
      <c r="J1075" s="7" t="s">
        <v>213</v>
      </c>
      <c r="K1075" s="7" t="s">
        <v>264</v>
      </c>
      <c r="L1075" s="7" t="s">
        <v>265</v>
      </c>
      <c r="M1075" s="7" t="n">
        <v>3</v>
      </c>
      <c r="N1075" s="27" t="n">
        <v>2499</v>
      </c>
      <c r="O1075" s="28" t="n">
        <v>0.1</v>
      </c>
      <c r="P1075" s="27" t="n">
        <v>6747</v>
      </c>
      <c r="Q1075" s="27" t="n">
        <v>5100</v>
      </c>
      <c r="R1075" s="27" t="n">
        <v>1647</v>
      </c>
      <c r="S1075" s="7" t="s">
        <v>60</v>
      </c>
      <c r="T1075" s="7" t="str">
        <f aca="false">IF(O1075=0,"No discount",IF(O1075&lt;=0.2,"Up to 20%","Above 20%"))</f>
        <v>Up to 20%</v>
      </c>
    </row>
    <row r="1076" customFormat="false" ht="15" hidden="false" customHeight="true" outlineLevel="0" collapsed="false">
      <c r="A1076" s="7" t="s">
        <v>1783</v>
      </c>
      <c r="B1076" s="26" t="n">
        <v>45989</v>
      </c>
      <c r="C1076" s="26" t="n">
        <v>45992</v>
      </c>
      <c r="D1076" s="7" t="s">
        <v>302</v>
      </c>
      <c r="E1076" s="7" t="s">
        <v>303</v>
      </c>
      <c r="F1076" s="7" t="s">
        <v>159</v>
      </c>
      <c r="G1076" s="7" t="s">
        <v>160</v>
      </c>
      <c r="H1076" s="7" t="s">
        <v>269</v>
      </c>
      <c r="I1076" s="7" t="s">
        <v>162</v>
      </c>
      <c r="J1076" s="7" t="s">
        <v>185</v>
      </c>
      <c r="K1076" s="7" t="s">
        <v>186</v>
      </c>
      <c r="L1076" s="7" t="s">
        <v>187</v>
      </c>
      <c r="M1076" s="7" t="n">
        <v>1</v>
      </c>
      <c r="N1076" s="27" t="n">
        <v>3299</v>
      </c>
      <c r="O1076" s="28" t="n">
        <v>0.2</v>
      </c>
      <c r="P1076" s="27" t="n">
        <v>2639</v>
      </c>
      <c r="Q1076" s="27" t="n">
        <v>1900</v>
      </c>
      <c r="R1076" s="27" t="n">
        <v>739</v>
      </c>
      <c r="S1076" s="7" t="s">
        <v>60</v>
      </c>
      <c r="T1076" s="7" t="str">
        <f aca="false">IF(O1076=0,"No discount",IF(O1076&lt;=0.2,"Up to 20%","Above 20%"))</f>
        <v>Up to 20%</v>
      </c>
    </row>
    <row r="1077" customFormat="false" ht="15" hidden="false" customHeight="true" outlineLevel="0" collapsed="false">
      <c r="A1077" s="7" t="s">
        <v>1784</v>
      </c>
      <c r="B1077" s="26" t="n">
        <v>45990</v>
      </c>
      <c r="C1077" s="26" t="n">
        <v>45994</v>
      </c>
      <c r="D1077" s="7" t="s">
        <v>167</v>
      </c>
      <c r="E1077" s="7" t="s">
        <v>168</v>
      </c>
      <c r="F1077" s="7" t="s">
        <v>159</v>
      </c>
      <c r="G1077" s="7" t="s">
        <v>169</v>
      </c>
      <c r="H1077" s="7" t="s">
        <v>170</v>
      </c>
      <c r="I1077" s="7" t="s">
        <v>199</v>
      </c>
      <c r="J1077" s="7" t="s">
        <v>223</v>
      </c>
      <c r="K1077" s="7" t="s">
        <v>246</v>
      </c>
      <c r="L1077" s="7" t="s">
        <v>247</v>
      </c>
      <c r="M1077" s="7" t="n">
        <v>1</v>
      </c>
      <c r="N1077" s="27" t="n">
        <v>599</v>
      </c>
      <c r="O1077" s="28" t="n">
        <v>0.1</v>
      </c>
      <c r="P1077" s="27" t="n">
        <v>539</v>
      </c>
      <c r="Q1077" s="27" t="n">
        <v>270</v>
      </c>
      <c r="R1077" s="27" t="n">
        <v>269</v>
      </c>
      <c r="S1077" s="7" t="s">
        <v>60</v>
      </c>
      <c r="T1077" s="7" t="str">
        <f aca="false">IF(O1077=0,"No discount",IF(O1077&lt;=0.2,"Up to 20%","Above 20%"))</f>
        <v>Up to 20%</v>
      </c>
    </row>
    <row r="1078" customFormat="false" ht="15" hidden="false" customHeight="true" outlineLevel="0" collapsed="false">
      <c r="A1078" s="7" t="s">
        <v>1785</v>
      </c>
      <c r="B1078" s="26" t="n">
        <v>45990</v>
      </c>
      <c r="C1078" s="26" t="n">
        <v>45992</v>
      </c>
      <c r="D1078" s="7" t="s">
        <v>345</v>
      </c>
      <c r="E1078" s="7" t="s">
        <v>346</v>
      </c>
      <c r="F1078" s="7" t="s">
        <v>159</v>
      </c>
      <c r="G1078" s="7" t="s">
        <v>160</v>
      </c>
      <c r="H1078" s="7" t="s">
        <v>161</v>
      </c>
      <c r="I1078" s="7" t="s">
        <v>282</v>
      </c>
      <c r="J1078" s="7" t="s">
        <v>427</v>
      </c>
      <c r="K1078" s="7" t="s">
        <v>428</v>
      </c>
      <c r="L1078" s="7" t="s">
        <v>429</v>
      </c>
      <c r="M1078" s="7" t="n">
        <v>2</v>
      </c>
      <c r="N1078" s="27" t="n">
        <v>149</v>
      </c>
      <c r="O1078" s="28" t="n">
        <v>0.05</v>
      </c>
      <c r="P1078" s="27" t="n">
        <v>283</v>
      </c>
      <c r="Q1078" s="27" t="n">
        <v>140</v>
      </c>
      <c r="R1078" s="27" t="n">
        <v>143</v>
      </c>
      <c r="S1078" s="7" t="s">
        <v>60</v>
      </c>
      <c r="T1078" s="7" t="str">
        <f aca="false">IF(O1078=0,"No discount",IF(O1078&lt;=0.2,"Up to 20%","Above 20%"))</f>
        <v>Up to 20%</v>
      </c>
    </row>
    <row r="1079" customFormat="false" ht="15" hidden="false" customHeight="true" outlineLevel="0" collapsed="false">
      <c r="A1079" s="7" t="s">
        <v>1786</v>
      </c>
      <c r="B1079" s="26" t="n">
        <v>45990</v>
      </c>
      <c r="C1079" s="26" t="n">
        <v>45992</v>
      </c>
      <c r="D1079" s="7" t="s">
        <v>479</v>
      </c>
      <c r="E1079" s="7" t="s">
        <v>480</v>
      </c>
      <c r="F1079" s="7" t="s">
        <v>178</v>
      </c>
      <c r="G1079" s="7" t="s">
        <v>169</v>
      </c>
      <c r="H1079" s="7" t="s">
        <v>179</v>
      </c>
      <c r="I1079" s="7" t="s">
        <v>162</v>
      </c>
      <c r="J1079" s="7" t="s">
        <v>185</v>
      </c>
      <c r="K1079" s="7" t="s">
        <v>186</v>
      </c>
      <c r="L1079" s="7" t="s">
        <v>187</v>
      </c>
      <c r="M1079" s="7" t="n">
        <v>1</v>
      </c>
      <c r="N1079" s="27" t="n">
        <v>3299</v>
      </c>
      <c r="O1079" s="28" t="n">
        <v>0</v>
      </c>
      <c r="P1079" s="27" t="n">
        <v>3299</v>
      </c>
      <c r="Q1079" s="27" t="n">
        <v>1900</v>
      </c>
      <c r="R1079" s="27" t="n">
        <v>1399</v>
      </c>
      <c r="S1079" s="7" t="s">
        <v>60</v>
      </c>
      <c r="T1079" s="7" t="str">
        <f aca="false">IF(O1079=0,"No discount",IF(O1079&lt;=0.2,"Up to 20%","Above 20%"))</f>
        <v>No discount</v>
      </c>
    </row>
    <row r="1080" customFormat="false" ht="15" hidden="false" customHeight="true" outlineLevel="0" collapsed="false">
      <c r="A1080" s="7" t="s">
        <v>1787</v>
      </c>
      <c r="B1080" s="26" t="n">
        <v>45990</v>
      </c>
      <c r="C1080" s="26" t="n">
        <v>45994</v>
      </c>
      <c r="D1080" s="7" t="s">
        <v>734</v>
      </c>
      <c r="E1080" s="7" t="s">
        <v>735</v>
      </c>
      <c r="F1080" s="7" t="s">
        <v>159</v>
      </c>
      <c r="G1080" s="7" t="s">
        <v>206</v>
      </c>
      <c r="H1080" s="7" t="s">
        <v>207</v>
      </c>
      <c r="I1080" s="7" t="s">
        <v>162</v>
      </c>
      <c r="J1080" s="7" t="s">
        <v>163</v>
      </c>
      <c r="K1080" s="7" t="s">
        <v>507</v>
      </c>
      <c r="L1080" s="7" t="s">
        <v>508</v>
      </c>
      <c r="M1080" s="7" t="n">
        <v>3</v>
      </c>
      <c r="N1080" s="27" t="n">
        <v>1199</v>
      </c>
      <c r="O1080" s="28" t="n">
        <v>0.1</v>
      </c>
      <c r="P1080" s="27" t="n">
        <v>3237</v>
      </c>
      <c r="Q1080" s="27" t="n">
        <v>1800</v>
      </c>
      <c r="R1080" s="27" t="n">
        <v>1437</v>
      </c>
      <c r="S1080" s="7" t="s">
        <v>60</v>
      </c>
      <c r="T1080" s="7" t="str">
        <f aca="false">IF(O1080=0,"No discount",IF(O1080&lt;=0.2,"Up to 20%","Above 20%"))</f>
        <v>Up to 20%</v>
      </c>
    </row>
    <row r="1081" customFormat="false" ht="15" hidden="false" customHeight="true" outlineLevel="0" collapsed="false">
      <c r="A1081" s="7" t="s">
        <v>1788</v>
      </c>
      <c r="B1081" s="26" t="n">
        <v>45990</v>
      </c>
      <c r="C1081" s="26" t="n">
        <v>45991</v>
      </c>
      <c r="D1081" s="7" t="s">
        <v>601</v>
      </c>
      <c r="E1081" s="7" t="s">
        <v>602</v>
      </c>
      <c r="F1081" s="7" t="s">
        <v>159</v>
      </c>
      <c r="G1081" s="7" t="s">
        <v>160</v>
      </c>
      <c r="H1081" s="7" t="s">
        <v>263</v>
      </c>
      <c r="I1081" s="7" t="s">
        <v>282</v>
      </c>
      <c r="J1081" s="7" t="s">
        <v>427</v>
      </c>
      <c r="K1081" s="7" t="s">
        <v>428</v>
      </c>
      <c r="L1081" s="7" t="s">
        <v>429</v>
      </c>
      <c r="M1081" s="7" t="n">
        <v>2</v>
      </c>
      <c r="N1081" s="27" t="n">
        <v>149</v>
      </c>
      <c r="O1081" s="28" t="n">
        <v>0</v>
      </c>
      <c r="P1081" s="27" t="n">
        <v>298</v>
      </c>
      <c r="Q1081" s="27" t="n">
        <v>140</v>
      </c>
      <c r="R1081" s="27" t="n">
        <v>158</v>
      </c>
      <c r="S1081" s="7" t="s">
        <v>60</v>
      </c>
      <c r="T1081" s="7" t="str">
        <f aca="false">IF(O1081=0,"No discount",IF(O1081&lt;=0.2,"Up to 20%","Above 20%"))</f>
        <v>No discount</v>
      </c>
    </row>
    <row r="1082" customFormat="false" ht="15" hidden="false" customHeight="true" outlineLevel="0" collapsed="false">
      <c r="A1082" s="7" t="s">
        <v>1789</v>
      </c>
      <c r="B1082" s="26" t="n">
        <v>45990</v>
      </c>
      <c r="C1082" s="26" t="n">
        <v>45993</v>
      </c>
      <c r="D1082" s="7" t="s">
        <v>560</v>
      </c>
      <c r="E1082" s="7" t="s">
        <v>561</v>
      </c>
      <c r="F1082" s="7" t="s">
        <v>219</v>
      </c>
      <c r="G1082" s="7" t="s">
        <v>160</v>
      </c>
      <c r="H1082" s="7" t="s">
        <v>269</v>
      </c>
      <c r="I1082" s="7" t="s">
        <v>199</v>
      </c>
      <c r="J1082" s="7" t="s">
        <v>398</v>
      </c>
      <c r="K1082" s="7" t="s">
        <v>399</v>
      </c>
      <c r="L1082" s="7" t="s">
        <v>400</v>
      </c>
      <c r="M1082" s="7" t="n">
        <v>2</v>
      </c>
      <c r="N1082" s="27" t="n">
        <v>749</v>
      </c>
      <c r="O1082" s="28" t="n">
        <v>0</v>
      </c>
      <c r="P1082" s="27" t="n">
        <v>1498</v>
      </c>
      <c r="Q1082" s="27" t="n">
        <v>700</v>
      </c>
      <c r="R1082" s="27" t="n">
        <v>798</v>
      </c>
      <c r="S1082" s="7" t="s">
        <v>60</v>
      </c>
      <c r="T1082" s="7" t="str">
        <f aca="false">IF(O1082=0,"No discount",IF(O1082&lt;=0.2,"Up to 20%","Above 20%"))</f>
        <v>No discount</v>
      </c>
    </row>
    <row r="1083" customFormat="false" ht="15" hidden="false" customHeight="true" outlineLevel="0" collapsed="false">
      <c r="A1083" s="7" t="s">
        <v>1790</v>
      </c>
      <c r="B1083" s="26" t="n">
        <v>45991</v>
      </c>
      <c r="C1083" s="26" t="n">
        <v>45998</v>
      </c>
      <c r="D1083" s="7" t="s">
        <v>459</v>
      </c>
      <c r="E1083" s="7" t="s">
        <v>460</v>
      </c>
      <c r="F1083" s="7" t="s">
        <v>219</v>
      </c>
      <c r="G1083" s="7" t="s">
        <v>160</v>
      </c>
      <c r="H1083" s="7" t="s">
        <v>269</v>
      </c>
      <c r="I1083" s="7" t="s">
        <v>282</v>
      </c>
      <c r="J1083" s="7" t="s">
        <v>427</v>
      </c>
      <c r="K1083" s="7" t="s">
        <v>428</v>
      </c>
      <c r="L1083" s="7" t="s">
        <v>429</v>
      </c>
      <c r="M1083" s="7" t="n">
        <v>1</v>
      </c>
      <c r="N1083" s="27" t="n">
        <v>149</v>
      </c>
      <c r="O1083" s="28" t="n">
        <v>0</v>
      </c>
      <c r="P1083" s="27" t="n">
        <v>149</v>
      </c>
      <c r="Q1083" s="27" t="n">
        <v>70</v>
      </c>
      <c r="R1083" s="27" t="n">
        <v>79</v>
      </c>
      <c r="S1083" s="7" t="s">
        <v>60</v>
      </c>
      <c r="T1083" s="7" t="str">
        <f aca="false">IF(O1083=0,"No discount",IF(O1083&lt;=0.2,"Up to 20%","Above 20%"))</f>
        <v>No discount</v>
      </c>
    </row>
    <row r="1084" customFormat="false" ht="15" hidden="false" customHeight="true" outlineLevel="0" collapsed="false">
      <c r="A1084" s="7" t="s">
        <v>1791</v>
      </c>
      <c r="B1084" s="26" t="n">
        <v>45991</v>
      </c>
      <c r="C1084" s="26" t="n">
        <v>45997</v>
      </c>
      <c r="D1084" s="7" t="s">
        <v>597</v>
      </c>
      <c r="E1084" s="7" t="s">
        <v>598</v>
      </c>
      <c r="F1084" s="7" t="s">
        <v>159</v>
      </c>
      <c r="G1084" s="7" t="s">
        <v>160</v>
      </c>
      <c r="H1084" s="7" t="s">
        <v>269</v>
      </c>
      <c r="I1084" s="7" t="s">
        <v>162</v>
      </c>
      <c r="J1084" s="7" t="s">
        <v>185</v>
      </c>
      <c r="K1084" s="7" t="s">
        <v>186</v>
      </c>
      <c r="L1084" s="7" t="s">
        <v>187</v>
      </c>
      <c r="M1084" s="7" t="n">
        <v>3</v>
      </c>
      <c r="N1084" s="27" t="n">
        <v>3299</v>
      </c>
      <c r="O1084" s="28" t="n">
        <v>0.2</v>
      </c>
      <c r="P1084" s="27" t="n">
        <v>7918</v>
      </c>
      <c r="Q1084" s="27" t="n">
        <v>5700</v>
      </c>
      <c r="R1084" s="27" t="n">
        <v>2218</v>
      </c>
      <c r="S1084" s="7" t="s">
        <v>60</v>
      </c>
      <c r="T1084" s="7" t="str">
        <f aca="false">IF(O1084=0,"No discount",IF(O1084&lt;=0.2,"Up to 20%","Above 20%"))</f>
        <v>Up to 20%</v>
      </c>
    </row>
    <row r="1085" customFormat="false" ht="15" hidden="false" customHeight="true" outlineLevel="0" collapsed="false">
      <c r="A1085" s="7" t="s">
        <v>1792</v>
      </c>
      <c r="B1085" s="26" t="n">
        <v>45991</v>
      </c>
      <c r="C1085" s="26" t="n">
        <v>45997</v>
      </c>
      <c r="D1085" s="7" t="s">
        <v>806</v>
      </c>
      <c r="E1085" s="7" t="s">
        <v>807</v>
      </c>
      <c r="F1085" s="7" t="s">
        <v>159</v>
      </c>
      <c r="G1085" s="7" t="s">
        <v>160</v>
      </c>
      <c r="H1085" s="7" t="s">
        <v>161</v>
      </c>
      <c r="I1085" s="7" t="s">
        <v>199</v>
      </c>
      <c r="J1085" s="7" t="s">
        <v>223</v>
      </c>
      <c r="K1085" s="7" t="s">
        <v>246</v>
      </c>
      <c r="L1085" s="7" t="s">
        <v>247</v>
      </c>
      <c r="M1085" s="7" t="n">
        <v>1</v>
      </c>
      <c r="N1085" s="27" t="n">
        <v>599</v>
      </c>
      <c r="O1085" s="28" t="n">
        <v>0</v>
      </c>
      <c r="P1085" s="27" t="n">
        <v>599</v>
      </c>
      <c r="Q1085" s="27" t="n">
        <v>270</v>
      </c>
      <c r="R1085" s="27" t="n">
        <v>329</v>
      </c>
      <c r="S1085" s="7" t="s">
        <v>60</v>
      </c>
      <c r="T1085" s="7" t="str">
        <f aca="false">IF(O1085=0,"No discount",IF(O1085&lt;=0.2,"Up to 20%","Above 20%"))</f>
        <v>No discount</v>
      </c>
    </row>
    <row r="1086" customFormat="false" ht="15" hidden="false" customHeight="true" outlineLevel="0" collapsed="false">
      <c r="A1086" s="7" t="s">
        <v>1793</v>
      </c>
      <c r="B1086" s="26" t="n">
        <v>45991</v>
      </c>
      <c r="C1086" s="26" t="n">
        <v>45995</v>
      </c>
      <c r="D1086" s="7" t="s">
        <v>1216</v>
      </c>
      <c r="E1086" s="7" t="s">
        <v>1217</v>
      </c>
      <c r="F1086" s="7" t="s">
        <v>159</v>
      </c>
      <c r="G1086" s="7" t="s">
        <v>160</v>
      </c>
      <c r="H1086" s="7" t="s">
        <v>161</v>
      </c>
      <c r="I1086" s="7" t="s">
        <v>282</v>
      </c>
      <c r="J1086" s="7" t="s">
        <v>387</v>
      </c>
      <c r="K1086" s="7" t="s">
        <v>388</v>
      </c>
      <c r="L1086" s="7" t="s">
        <v>389</v>
      </c>
      <c r="M1086" s="7" t="n">
        <v>1</v>
      </c>
      <c r="N1086" s="27" t="n">
        <v>1299</v>
      </c>
      <c r="O1086" s="28" t="n">
        <v>0</v>
      </c>
      <c r="P1086" s="27" t="n">
        <v>1299</v>
      </c>
      <c r="Q1086" s="27" t="n">
        <v>780</v>
      </c>
      <c r="R1086" s="27" t="n">
        <v>519</v>
      </c>
      <c r="S1086" s="7" t="s">
        <v>60</v>
      </c>
      <c r="T1086" s="7" t="str">
        <f aca="false">IF(O1086=0,"No discount",IF(O1086&lt;=0.2,"Up to 20%","Above 20%"))</f>
        <v>No discount</v>
      </c>
    </row>
    <row r="1087" customFormat="false" ht="15" hidden="false" customHeight="true" outlineLevel="0" collapsed="false">
      <c r="A1087" s="7" t="s">
        <v>1794</v>
      </c>
      <c r="B1087" s="26" t="n">
        <v>45991</v>
      </c>
      <c r="C1087" s="26" t="n">
        <v>45996</v>
      </c>
      <c r="D1087" s="7" t="s">
        <v>1035</v>
      </c>
      <c r="E1087" s="7" t="s">
        <v>1036</v>
      </c>
      <c r="F1087" s="7" t="s">
        <v>159</v>
      </c>
      <c r="G1087" s="7" t="s">
        <v>160</v>
      </c>
      <c r="H1087" s="7" t="s">
        <v>269</v>
      </c>
      <c r="I1087" s="7" t="s">
        <v>282</v>
      </c>
      <c r="J1087" s="7" t="s">
        <v>387</v>
      </c>
      <c r="K1087" s="7" t="s">
        <v>547</v>
      </c>
      <c r="L1087" s="7" t="s">
        <v>548</v>
      </c>
      <c r="M1087" s="7" t="n">
        <v>3</v>
      </c>
      <c r="N1087" s="27" t="n">
        <v>249</v>
      </c>
      <c r="O1087" s="28" t="n">
        <v>0.1</v>
      </c>
      <c r="P1087" s="27" t="n">
        <v>672</v>
      </c>
      <c r="Q1087" s="27" t="n">
        <v>360</v>
      </c>
      <c r="R1087" s="27" t="n">
        <v>312</v>
      </c>
      <c r="S1087" s="7" t="s">
        <v>60</v>
      </c>
      <c r="T1087" s="7" t="str">
        <f aca="false">IF(O1087=0,"No discount",IF(O1087&lt;=0.2,"Up to 20%","Above 20%"))</f>
        <v>Up to 20%</v>
      </c>
    </row>
    <row r="1088" customFormat="false" ht="15" hidden="false" customHeight="true" outlineLevel="0" collapsed="false">
      <c r="A1088" s="7" t="s">
        <v>1795</v>
      </c>
      <c r="B1088" s="26" t="n">
        <v>45991</v>
      </c>
      <c r="C1088" s="26" t="n">
        <v>45997</v>
      </c>
      <c r="D1088" s="7" t="s">
        <v>197</v>
      </c>
      <c r="E1088" s="7" t="s">
        <v>198</v>
      </c>
      <c r="F1088" s="7" t="s">
        <v>178</v>
      </c>
      <c r="G1088" s="7" t="s">
        <v>169</v>
      </c>
      <c r="H1088" s="7" t="s">
        <v>191</v>
      </c>
      <c r="I1088" s="7" t="s">
        <v>282</v>
      </c>
      <c r="J1088" s="7" t="s">
        <v>387</v>
      </c>
      <c r="K1088" s="7" t="s">
        <v>388</v>
      </c>
      <c r="L1088" s="7" t="s">
        <v>389</v>
      </c>
      <c r="M1088" s="7" t="n">
        <v>2</v>
      </c>
      <c r="N1088" s="27" t="n">
        <v>1299</v>
      </c>
      <c r="O1088" s="28" t="n">
        <v>0</v>
      </c>
      <c r="P1088" s="27" t="n">
        <v>2598</v>
      </c>
      <c r="Q1088" s="27" t="n">
        <v>1560</v>
      </c>
      <c r="R1088" s="27" t="n">
        <v>1038</v>
      </c>
      <c r="S1088" s="7" t="s">
        <v>60</v>
      </c>
      <c r="T1088" s="7" t="str">
        <f aca="false">IF(O1088=0,"No discount",IF(O1088&lt;=0.2,"Up to 20%","Above 20%"))</f>
        <v>No discount</v>
      </c>
    </row>
    <row r="1089" customFormat="false" ht="15" hidden="false" customHeight="true" outlineLevel="0" collapsed="false">
      <c r="A1089" s="7" t="s">
        <v>1796</v>
      </c>
      <c r="B1089" s="26" t="n">
        <v>45991</v>
      </c>
      <c r="C1089" s="26" t="n">
        <v>45993</v>
      </c>
      <c r="D1089" s="7" t="s">
        <v>903</v>
      </c>
      <c r="E1089" s="7" t="s">
        <v>904</v>
      </c>
      <c r="F1089" s="7" t="s">
        <v>219</v>
      </c>
      <c r="G1089" s="7" t="s">
        <v>206</v>
      </c>
      <c r="H1089" s="7" t="s">
        <v>207</v>
      </c>
      <c r="I1089" s="7" t="s">
        <v>282</v>
      </c>
      <c r="J1089" s="7" t="s">
        <v>387</v>
      </c>
      <c r="K1089" s="7" t="s">
        <v>547</v>
      </c>
      <c r="L1089" s="7" t="s">
        <v>548</v>
      </c>
      <c r="M1089" s="7" t="n">
        <v>2</v>
      </c>
      <c r="N1089" s="27" t="n">
        <v>249</v>
      </c>
      <c r="O1089" s="28" t="n">
        <v>0</v>
      </c>
      <c r="P1089" s="27" t="n">
        <v>498</v>
      </c>
      <c r="Q1089" s="27" t="n">
        <v>240</v>
      </c>
      <c r="R1089" s="27" t="n">
        <v>258</v>
      </c>
      <c r="S1089" s="7" t="s">
        <v>60</v>
      </c>
      <c r="T1089" s="7" t="str">
        <f aca="false">IF(O1089=0,"No discount",IF(O1089&lt;=0.2,"Up to 20%","Above 20%"))</f>
        <v>No discount</v>
      </c>
    </row>
    <row r="1090" customFormat="false" ht="15" hidden="false" customHeight="true" outlineLevel="0" collapsed="false">
      <c r="A1090" s="7" t="s">
        <v>1797</v>
      </c>
      <c r="B1090" s="26" t="n">
        <v>45992</v>
      </c>
      <c r="C1090" s="26" t="n">
        <v>45993</v>
      </c>
      <c r="D1090" s="7" t="s">
        <v>1153</v>
      </c>
      <c r="E1090" s="7" t="s">
        <v>1154</v>
      </c>
      <c r="F1090" s="7" t="s">
        <v>159</v>
      </c>
      <c r="G1090" s="7" t="s">
        <v>160</v>
      </c>
      <c r="H1090" s="7" t="s">
        <v>161</v>
      </c>
      <c r="I1090" s="7" t="s">
        <v>282</v>
      </c>
      <c r="J1090" s="7" t="s">
        <v>283</v>
      </c>
      <c r="K1090" s="7" t="s">
        <v>284</v>
      </c>
      <c r="L1090" s="7" t="s">
        <v>285</v>
      </c>
      <c r="M1090" s="7" t="n">
        <v>1</v>
      </c>
      <c r="N1090" s="27" t="n">
        <v>199</v>
      </c>
      <c r="O1090" s="28" t="n">
        <v>0</v>
      </c>
      <c r="P1090" s="27" t="n">
        <v>199</v>
      </c>
      <c r="Q1090" s="27" t="n">
        <v>90</v>
      </c>
      <c r="R1090" s="27" t="n">
        <v>109</v>
      </c>
      <c r="S1090" s="7" t="s">
        <v>60</v>
      </c>
      <c r="T1090" s="7" t="str">
        <f aca="false">IF(O1090=0,"No discount",IF(O1090&lt;=0.2,"Up to 20%","Above 20%"))</f>
        <v>No discount</v>
      </c>
    </row>
    <row r="1091" customFormat="false" ht="15" hidden="false" customHeight="true" outlineLevel="0" collapsed="false">
      <c r="A1091" s="7" t="s">
        <v>1798</v>
      </c>
      <c r="B1091" s="26" t="n">
        <v>45992</v>
      </c>
      <c r="C1091" s="26" t="n">
        <v>45999</v>
      </c>
      <c r="D1091" s="7" t="s">
        <v>308</v>
      </c>
      <c r="E1091" s="7" t="s">
        <v>309</v>
      </c>
      <c r="F1091" s="7" t="s">
        <v>159</v>
      </c>
      <c r="G1091" s="7" t="s">
        <v>169</v>
      </c>
      <c r="H1091" s="7" t="s">
        <v>179</v>
      </c>
      <c r="I1091" s="7" t="s">
        <v>171</v>
      </c>
      <c r="J1091" s="7" t="s">
        <v>172</v>
      </c>
      <c r="K1091" s="7" t="s">
        <v>173</v>
      </c>
      <c r="L1091" s="7" t="s">
        <v>174</v>
      </c>
      <c r="M1091" s="7" t="n">
        <v>1</v>
      </c>
      <c r="N1091" s="27" t="n">
        <v>699</v>
      </c>
      <c r="O1091" s="28" t="n">
        <v>0.05</v>
      </c>
      <c r="P1091" s="27" t="n">
        <v>664</v>
      </c>
      <c r="Q1091" s="27" t="n">
        <v>320</v>
      </c>
      <c r="R1091" s="27" t="n">
        <v>344</v>
      </c>
      <c r="S1091" s="7" t="s">
        <v>60</v>
      </c>
      <c r="T1091" s="7" t="str">
        <f aca="false">IF(O1091=0,"No discount",IF(O1091&lt;=0.2,"Up to 20%","Above 20%"))</f>
        <v>Up to 20%</v>
      </c>
    </row>
    <row r="1092" customFormat="false" ht="15" hidden="false" customHeight="true" outlineLevel="0" collapsed="false">
      <c r="A1092" s="7" t="s">
        <v>1799</v>
      </c>
      <c r="B1092" s="26" t="n">
        <v>45992</v>
      </c>
      <c r="C1092" s="26" t="n">
        <v>45995</v>
      </c>
      <c r="D1092" s="7" t="s">
        <v>734</v>
      </c>
      <c r="E1092" s="7" t="s">
        <v>735</v>
      </c>
      <c r="F1092" s="7" t="s">
        <v>159</v>
      </c>
      <c r="G1092" s="7" t="s">
        <v>206</v>
      </c>
      <c r="H1092" s="7" t="s">
        <v>207</v>
      </c>
      <c r="I1092" s="7" t="s">
        <v>208</v>
      </c>
      <c r="J1092" s="7" t="s">
        <v>232</v>
      </c>
      <c r="K1092" s="7" t="s">
        <v>1011</v>
      </c>
      <c r="L1092" s="7" t="s">
        <v>1012</v>
      </c>
      <c r="M1092" s="7" t="n">
        <v>2</v>
      </c>
      <c r="N1092" s="27" t="n">
        <v>2499</v>
      </c>
      <c r="O1092" s="28" t="n">
        <v>0</v>
      </c>
      <c r="P1092" s="27" t="n">
        <v>4998</v>
      </c>
      <c r="Q1092" s="27" t="n">
        <v>3000</v>
      </c>
      <c r="R1092" s="27" t="n">
        <v>1998</v>
      </c>
      <c r="S1092" s="7" t="s">
        <v>60</v>
      </c>
      <c r="T1092" s="7" t="str">
        <f aca="false">IF(O1092=0,"No discount",IF(O1092&lt;=0.2,"Up to 20%","Above 20%"))</f>
        <v>No discount</v>
      </c>
    </row>
    <row r="1093" customFormat="false" ht="15" hidden="false" customHeight="true" outlineLevel="0" collapsed="false">
      <c r="A1093" s="7" t="s">
        <v>1800</v>
      </c>
      <c r="B1093" s="26" t="n">
        <v>45992</v>
      </c>
      <c r="C1093" s="26" t="n">
        <v>45994</v>
      </c>
      <c r="D1093" s="7" t="s">
        <v>545</v>
      </c>
      <c r="E1093" s="7" t="s">
        <v>546</v>
      </c>
      <c r="F1093" s="7" t="s">
        <v>219</v>
      </c>
      <c r="G1093" s="7" t="s">
        <v>169</v>
      </c>
      <c r="H1093" s="7" t="s">
        <v>179</v>
      </c>
      <c r="I1093" s="7" t="s">
        <v>171</v>
      </c>
      <c r="J1093" s="7" t="s">
        <v>304</v>
      </c>
      <c r="K1093" s="7" t="s">
        <v>305</v>
      </c>
      <c r="L1093" s="7" t="s">
        <v>306</v>
      </c>
      <c r="M1093" s="7" t="n">
        <v>1</v>
      </c>
      <c r="N1093" s="27" t="n">
        <v>2999</v>
      </c>
      <c r="O1093" s="28" t="n">
        <v>0.05</v>
      </c>
      <c r="P1093" s="27" t="n">
        <v>2849</v>
      </c>
      <c r="Q1093" s="27" t="n">
        <v>2000</v>
      </c>
      <c r="R1093" s="27" t="n">
        <v>849</v>
      </c>
      <c r="S1093" s="7" t="s">
        <v>60</v>
      </c>
      <c r="T1093" s="7" t="str">
        <f aca="false">IF(O1093=0,"No discount",IF(O1093&lt;=0.2,"Up to 20%","Above 20%"))</f>
        <v>Up to 20%</v>
      </c>
    </row>
    <row r="1094" customFormat="false" ht="15" hidden="false" customHeight="true" outlineLevel="0" collapsed="false">
      <c r="A1094" s="7" t="s">
        <v>1801</v>
      </c>
      <c r="B1094" s="26" t="n">
        <v>45992</v>
      </c>
      <c r="C1094" s="26" t="n">
        <v>45999</v>
      </c>
      <c r="D1094" s="7" t="s">
        <v>947</v>
      </c>
      <c r="E1094" s="7" t="s">
        <v>948</v>
      </c>
      <c r="F1094" s="7" t="s">
        <v>159</v>
      </c>
      <c r="G1094" s="7" t="s">
        <v>160</v>
      </c>
      <c r="H1094" s="7" t="s">
        <v>269</v>
      </c>
      <c r="I1094" s="7" t="s">
        <v>199</v>
      </c>
      <c r="J1094" s="7" t="s">
        <v>398</v>
      </c>
      <c r="K1094" s="7" t="s">
        <v>399</v>
      </c>
      <c r="L1094" s="7" t="s">
        <v>400</v>
      </c>
      <c r="M1094" s="7" t="n">
        <v>2</v>
      </c>
      <c r="N1094" s="27" t="n">
        <v>749</v>
      </c>
      <c r="O1094" s="28" t="n">
        <v>0</v>
      </c>
      <c r="P1094" s="27" t="n">
        <v>1498</v>
      </c>
      <c r="Q1094" s="27" t="n">
        <v>700</v>
      </c>
      <c r="R1094" s="27" t="n">
        <v>798</v>
      </c>
      <c r="S1094" s="7" t="s">
        <v>60</v>
      </c>
      <c r="T1094" s="7" t="str">
        <f aca="false">IF(O1094=0,"No discount",IF(O1094&lt;=0.2,"Up to 20%","Above 20%"))</f>
        <v>No discount</v>
      </c>
    </row>
    <row r="1095" customFormat="false" ht="15" hidden="false" customHeight="true" outlineLevel="0" collapsed="false">
      <c r="A1095" s="7" t="s">
        <v>1802</v>
      </c>
      <c r="B1095" s="26" t="n">
        <v>45993</v>
      </c>
      <c r="C1095" s="26" t="n">
        <v>45996</v>
      </c>
      <c r="D1095" s="7" t="s">
        <v>947</v>
      </c>
      <c r="E1095" s="7" t="s">
        <v>948</v>
      </c>
      <c r="F1095" s="7" t="s">
        <v>159</v>
      </c>
      <c r="G1095" s="7" t="s">
        <v>160</v>
      </c>
      <c r="H1095" s="7" t="s">
        <v>269</v>
      </c>
      <c r="I1095" s="7" t="s">
        <v>162</v>
      </c>
      <c r="J1095" s="7" t="s">
        <v>163</v>
      </c>
      <c r="K1095" s="7" t="s">
        <v>164</v>
      </c>
      <c r="L1095" s="7" t="s">
        <v>165</v>
      </c>
      <c r="M1095" s="7" t="n">
        <v>3</v>
      </c>
      <c r="N1095" s="27" t="n">
        <v>1999</v>
      </c>
      <c r="O1095" s="28" t="n">
        <v>0.2</v>
      </c>
      <c r="P1095" s="27" t="n">
        <v>4798</v>
      </c>
      <c r="Q1095" s="27" t="n">
        <v>3150</v>
      </c>
      <c r="R1095" s="27" t="n">
        <v>1648</v>
      </c>
      <c r="S1095" s="7" t="s">
        <v>60</v>
      </c>
      <c r="T1095" s="7" t="str">
        <f aca="false">IF(O1095=0,"No discount",IF(O1095&lt;=0.2,"Up to 20%","Above 20%"))</f>
        <v>Up to 20%</v>
      </c>
    </row>
    <row r="1096" customFormat="false" ht="15" hidden="false" customHeight="true" outlineLevel="0" collapsed="false">
      <c r="A1096" s="7" t="s">
        <v>1803</v>
      </c>
      <c r="B1096" s="26" t="n">
        <v>45993</v>
      </c>
      <c r="C1096" s="26" t="n">
        <v>45999</v>
      </c>
      <c r="D1096" s="7" t="s">
        <v>535</v>
      </c>
      <c r="E1096" s="7" t="s">
        <v>536</v>
      </c>
      <c r="F1096" s="7" t="s">
        <v>159</v>
      </c>
      <c r="G1096" s="7" t="s">
        <v>206</v>
      </c>
      <c r="H1096" s="7" t="s">
        <v>207</v>
      </c>
      <c r="I1096" s="7" t="s">
        <v>162</v>
      </c>
      <c r="J1096" s="7" t="s">
        <v>185</v>
      </c>
      <c r="K1096" s="7" t="s">
        <v>186</v>
      </c>
      <c r="L1096" s="7" t="s">
        <v>187</v>
      </c>
      <c r="M1096" s="7" t="n">
        <v>3</v>
      </c>
      <c r="N1096" s="27" t="n">
        <v>3299</v>
      </c>
      <c r="O1096" s="28" t="n">
        <v>0.1</v>
      </c>
      <c r="P1096" s="27" t="n">
        <v>8907</v>
      </c>
      <c r="Q1096" s="27" t="n">
        <v>5700</v>
      </c>
      <c r="R1096" s="27" t="n">
        <v>3207</v>
      </c>
      <c r="S1096" s="7" t="s">
        <v>60</v>
      </c>
      <c r="T1096" s="7" t="str">
        <f aca="false">IF(O1096=0,"No discount",IF(O1096&lt;=0.2,"Up to 20%","Above 20%"))</f>
        <v>Up to 20%</v>
      </c>
    </row>
    <row r="1097" customFormat="false" ht="15" hidden="false" customHeight="true" outlineLevel="0" collapsed="false">
      <c r="A1097" s="7" t="s">
        <v>1804</v>
      </c>
      <c r="B1097" s="26" t="n">
        <v>45993</v>
      </c>
      <c r="C1097" s="26" t="n">
        <v>45996</v>
      </c>
      <c r="D1097" s="7" t="s">
        <v>545</v>
      </c>
      <c r="E1097" s="7" t="s">
        <v>546</v>
      </c>
      <c r="F1097" s="7" t="s">
        <v>219</v>
      </c>
      <c r="G1097" s="7" t="s">
        <v>169</v>
      </c>
      <c r="H1097" s="7" t="s">
        <v>179</v>
      </c>
      <c r="I1097" s="7" t="s">
        <v>208</v>
      </c>
      <c r="J1097" s="7" t="s">
        <v>209</v>
      </c>
      <c r="K1097" s="7" t="s">
        <v>238</v>
      </c>
      <c r="L1097" s="7" t="s">
        <v>239</v>
      </c>
      <c r="M1097" s="7" t="n">
        <v>1</v>
      </c>
      <c r="N1097" s="27" t="n">
        <v>2199</v>
      </c>
      <c r="O1097" s="28" t="n">
        <v>0.2</v>
      </c>
      <c r="P1097" s="27" t="n">
        <v>1759</v>
      </c>
      <c r="Q1097" s="27" t="n">
        <v>1400</v>
      </c>
      <c r="R1097" s="27" t="n">
        <v>359</v>
      </c>
      <c r="S1097" s="7" t="s">
        <v>60</v>
      </c>
      <c r="T1097" s="7" t="str">
        <f aca="false">IF(O1097=0,"No discount",IF(O1097&lt;=0.2,"Up to 20%","Above 20%"))</f>
        <v>Up to 20%</v>
      </c>
    </row>
    <row r="1098" customFormat="false" ht="15" hidden="false" customHeight="true" outlineLevel="0" collapsed="false">
      <c r="A1098" s="7" t="s">
        <v>1805</v>
      </c>
      <c r="B1098" s="26" t="n">
        <v>45993</v>
      </c>
      <c r="C1098" s="26" t="n">
        <v>45994</v>
      </c>
      <c r="D1098" s="7" t="s">
        <v>988</v>
      </c>
      <c r="E1098" s="7" t="s">
        <v>989</v>
      </c>
      <c r="F1098" s="7" t="s">
        <v>159</v>
      </c>
      <c r="G1098" s="7" t="s">
        <v>160</v>
      </c>
      <c r="H1098" s="7" t="s">
        <v>269</v>
      </c>
      <c r="I1098" s="7" t="s">
        <v>199</v>
      </c>
      <c r="J1098" s="7" t="s">
        <v>398</v>
      </c>
      <c r="K1098" s="7" t="s">
        <v>399</v>
      </c>
      <c r="L1098" s="7" t="s">
        <v>400</v>
      </c>
      <c r="M1098" s="7" t="n">
        <v>2</v>
      </c>
      <c r="N1098" s="27" t="n">
        <v>749</v>
      </c>
      <c r="O1098" s="28" t="n">
        <v>0.1</v>
      </c>
      <c r="P1098" s="27" t="n">
        <v>1348</v>
      </c>
      <c r="Q1098" s="27" t="n">
        <v>700</v>
      </c>
      <c r="R1098" s="27" t="n">
        <v>648</v>
      </c>
      <c r="S1098" s="7" t="s">
        <v>60</v>
      </c>
      <c r="T1098" s="7" t="str">
        <f aca="false">IF(O1098=0,"No discount",IF(O1098&lt;=0.2,"Up to 20%","Above 20%"))</f>
        <v>Up to 20%</v>
      </c>
    </row>
    <row r="1099" customFormat="false" ht="15" hidden="false" customHeight="true" outlineLevel="0" collapsed="false">
      <c r="A1099" s="7" t="s">
        <v>1806</v>
      </c>
      <c r="B1099" s="26" t="n">
        <v>45993</v>
      </c>
      <c r="C1099" s="26" t="n">
        <v>45999</v>
      </c>
      <c r="D1099" s="7" t="s">
        <v>296</v>
      </c>
      <c r="E1099" s="7" t="s">
        <v>297</v>
      </c>
      <c r="F1099" s="7" t="s">
        <v>178</v>
      </c>
      <c r="G1099" s="7" t="s">
        <v>169</v>
      </c>
      <c r="H1099" s="7" t="s">
        <v>179</v>
      </c>
      <c r="I1099" s="7" t="s">
        <v>282</v>
      </c>
      <c r="J1099" s="7" t="s">
        <v>427</v>
      </c>
      <c r="K1099" s="7" t="s">
        <v>428</v>
      </c>
      <c r="L1099" s="7" t="s">
        <v>429</v>
      </c>
      <c r="M1099" s="7" t="n">
        <v>10</v>
      </c>
      <c r="N1099" s="27" t="n">
        <v>149</v>
      </c>
      <c r="O1099" s="28" t="n">
        <v>0</v>
      </c>
      <c r="P1099" s="27" t="n">
        <v>1490</v>
      </c>
      <c r="Q1099" s="27" t="n">
        <v>700</v>
      </c>
      <c r="R1099" s="27" t="n">
        <v>790</v>
      </c>
      <c r="S1099" s="7" t="s">
        <v>60</v>
      </c>
      <c r="T1099" s="7" t="str">
        <f aca="false">IF(O1099=0,"No discount",IF(O1099&lt;=0.2,"Up to 20%","Above 20%"))</f>
        <v>No discount</v>
      </c>
    </row>
    <row r="1100" customFormat="false" ht="15" hidden="false" customHeight="true" outlineLevel="0" collapsed="false">
      <c r="A1100" s="7" t="s">
        <v>1807</v>
      </c>
      <c r="B1100" s="26" t="n">
        <v>45993</v>
      </c>
      <c r="C1100" s="26" t="n">
        <v>46000</v>
      </c>
      <c r="D1100" s="7" t="s">
        <v>656</v>
      </c>
      <c r="E1100" s="7" t="s">
        <v>657</v>
      </c>
      <c r="F1100" s="7" t="s">
        <v>219</v>
      </c>
      <c r="G1100" s="7" t="s">
        <v>169</v>
      </c>
      <c r="H1100" s="7" t="s">
        <v>170</v>
      </c>
      <c r="I1100" s="7" t="s">
        <v>192</v>
      </c>
      <c r="J1100" s="7" t="s">
        <v>213</v>
      </c>
      <c r="K1100" s="7" t="s">
        <v>214</v>
      </c>
      <c r="L1100" s="7" t="s">
        <v>215</v>
      </c>
      <c r="M1100" s="7" t="n">
        <v>2</v>
      </c>
      <c r="N1100" s="27" t="n">
        <v>5999</v>
      </c>
      <c r="O1100" s="28" t="n">
        <v>0.2</v>
      </c>
      <c r="P1100" s="27" t="n">
        <v>9598</v>
      </c>
      <c r="Q1100" s="27" t="n">
        <v>9200</v>
      </c>
      <c r="R1100" s="27" t="n">
        <v>398</v>
      </c>
      <c r="S1100" s="7" t="s">
        <v>60</v>
      </c>
      <c r="T1100" s="7" t="str">
        <f aca="false">IF(O1100=0,"No discount",IF(O1100&lt;=0.2,"Up to 20%","Above 20%"))</f>
        <v>Up to 20%</v>
      </c>
    </row>
    <row r="1101" customFormat="false" ht="15" hidden="false" customHeight="true" outlineLevel="0" collapsed="false">
      <c r="A1101" s="7" t="s">
        <v>1808</v>
      </c>
      <c r="B1101" s="26" t="n">
        <v>45994</v>
      </c>
      <c r="C1101" s="26" t="n">
        <v>45998</v>
      </c>
      <c r="D1101" s="7" t="s">
        <v>479</v>
      </c>
      <c r="E1101" s="7" t="s">
        <v>480</v>
      </c>
      <c r="F1101" s="7" t="s">
        <v>178</v>
      </c>
      <c r="G1101" s="7" t="s">
        <v>169</v>
      </c>
      <c r="H1101" s="7" t="s">
        <v>179</v>
      </c>
      <c r="I1101" s="7" t="s">
        <v>282</v>
      </c>
      <c r="J1101" s="7" t="s">
        <v>387</v>
      </c>
      <c r="K1101" s="7" t="s">
        <v>388</v>
      </c>
      <c r="L1101" s="7" t="s">
        <v>389</v>
      </c>
      <c r="M1101" s="7" t="n">
        <v>1</v>
      </c>
      <c r="N1101" s="27" t="n">
        <v>1299</v>
      </c>
      <c r="O1101" s="28" t="n">
        <v>0</v>
      </c>
      <c r="P1101" s="27" t="n">
        <v>1299</v>
      </c>
      <c r="Q1101" s="27" t="n">
        <v>780</v>
      </c>
      <c r="R1101" s="27" t="n">
        <v>519</v>
      </c>
      <c r="S1101" s="7" t="s">
        <v>60</v>
      </c>
      <c r="T1101" s="7" t="str">
        <f aca="false">IF(O1101=0,"No discount",IF(O1101&lt;=0.2,"Up to 20%","Above 20%"))</f>
        <v>No discount</v>
      </c>
    </row>
    <row r="1102" customFormat="false" ht="15" hidden="false" customHeight="true" outlineLevel="0" collapsed="false">
      <c r="A1102" s="7" t="s">
        <v>1809</v>
      </c>
      <c r="B1102" s="26" t="n">
        <v>45994</v>
      </c>
      <c r="C1102" s="26" t="n">
        <v>45995</v>
      </c>
      <c r="D1102" s="7" t="s">
        <v>520</v>
      </c>
      <c r="E1102" s="7" t="s">
        <v>521</v>
      </c>
      <c r="F1102" s="7" t="s">
        <v>159</v>
      </c>
      <c r="G1102" s="7" t="s">
        <v>169</v>
      </c>
      <c r="H1102" s="7" t="s">
        <v>179</v>
      </c>
      <c r="I1102" s="7" t="s">
        <v>282</v>
      </c>
      <c r="J1102" s="7" t="s">
        <v>387</v>
      </c>
      <c r="K1102" s="7" t="s">
        <v>388</v>
      </c>
      <c r="L1102" s="7" t="s">
        <v>389</v>
      </c>
      <c r="M1102" s="7" t="n">
        <v>2</v>
      </c>
      <c r="N1102" s="27" t="n">
        <v>1299</v>
      </c>
      <c r="O1102" s="28" t="n">
        <v>0</v>
      </c>
      <c r="P1102" s="27" t="n">
        <v>2598</v>
      </c>
      <c r="Q1102" s="27" t="n">
        <v>1560</v>
      </c>
      <c r="R1102" s="27" t="n">
        <v>1038</v>
      </c>
      <c r="S1102" s="7" t="s">
        <v>60</v>
      </c>
      <c r="T1102" s="7" t="str">
        <f aca="false">IF(O1102=0,"No discount",IF(O1102&lt;=0.2,"Up to 20%","Above 20%"))</f>
        <v>No discount</v>
      </c>
    </row>
    <row r="1103" customFormat="false" ht="15" hidden="false" customHeight="true" outlineLevel="0" collapsed="false">
      <c r="A1103" s="7" t="s">
        <v>1810</v>
      </c>
      <c r="B1103" s="26" t="n">
        <v>45994</v>
      </c>
      <c r="C1103" s="26" t="n">
        <v>45999</v>
      </c>
      <c r="D1103" s="7" t="s">
        <v>679</v>
      </c>
      <c r="E1103" s="7" t="s">
        <v>680</v>
      </c>
      <c r="F1103" s="7" t="s">
        <v>159</v>
      </c>
      <c r="G1103" s="7" t="s">
        <v>169</v>
      </c>
      <c r="H1103" s="7" t="s">
        <v>170</v>
      </c>
      <c r="I1103" s="7" t="s">
        <v>208</v>
      </c>
      <c r="J1103" s="7" t="s">
        <v>232</v>
      </c>
      <c r="K1103" s="7" t="s">
        <v>233</v>
      </c>
      <c r="L1103" s="7" t="s">
        <v>234</v>
      </c>
      <c r="M1103" s="7" t="n">
        <v>2</v>
      </c>
      <c r="N1103" s="27" t="n">
        <v>7999</v>
      </c>
      <c r="O1103" s="28" t="n">
        <v>0</v>
      </c>
      <c r="P1103" s="27" t="n">
        <v>15998</v>
      </c>
      <c r="Q1103" s="27" t="n">
        <v>11200</v>
      </c>
      <c r="R1103" s="27" t="n">
        <v>4798</v>
      </c>
      <c r="S1103" s="7" t="s">
        <v>60</v>
      </c>
      <c r="T1103" s="7" t="str">
        <f aca="false">IF(O1103=0,"No discount",IF(O1103&lt;=0.2,"Up to 20%","Above 20%"))</f>
        <v>No discount</v>
      </c>
    </row>
    <row r="1104" customFormat="false" ht="15" hidden="false" customHeight="true" outlineLevel="0" collapsed="false">
      <c r="A1104" s="7" t="s">
        <v>1811</v>
      </c>
      <c r="B1104" s="26" t="n">
        <v>45994</v>
      </c>
      <c r="C1104" s="26" t="n">
        <v>45998</v>
      </c>
      <c r="D1104" s="7" t="s">
        <v>336</v>
      </c>
      <c r="E1104" s="7" t="s">
        <v>337</v>
      </c>
      <c r="F1104" s="7" t="s">
        <v>219</v>
      </c>
      <c r="G1104" s="7" t="s">
        <v>206</v>
      </c>
      <c r="H1104" s="7" t="s">
        <v>207</v>
      </c>
      <c r="I1104" s="7" t="s">
        <v>192</v>
      </c>
      <c r="J1104" s="7" t="s">
        <v>193</v>
      </c>
      <c r="K1104" s="7" t="s">
        <v>194</v>
      </c>
      <c r="L1104" s="7" t="s">
        <v>195</v>
      </c>
      <c r="M1104" s="7" t="n">
        <v>5</v>
      </c>
      <c r="N1104" s="27" t="n">
        <v>8999</v>
      </c>
      <c r="O1104" s="28" t="n">
        <v>0.3</v>
      </c>
      <c r="P1104" s="27" t="n">
        <v>31496</v>
      </c>
      <c r="Q1104" s="27" t="n">
        <v>34000</v>
      </c>
      <c r="R1104" s="27" t="n">
        <v>-2504</v>
      </c>
      <c r="S1104" s="7" t="s">
        <v>60</v>
      </c>
      <c r="T1104" s="7" t="str">
        <f aca="false">IF(O1104=0,"No discount",IF(O1104&lt;=0.2,"Up to 20%","Above 20%"))</f>
        <v>Above 20%</v>
      </c>
    </row>
    <row r="1105" customFormat="false" ht="15" hidden="false" customHeight="true" outlineLevel="0" collapsed="false">
      <c r="A1105" s="7" t="s">
        <v>1812</v>
      </c>
      <c r="B1105" s="26" t="n">
        <v>45995</v>
      </c>
      <c r="C1105" s="26" t="n">
        <v>45997</v>
      </c>
      <c r="D1105" s="7" t="s">
        <v>351</v>
      </c>
      <c r="E1105" s="7" t="s">
        <v>352</v>
      </c>
      <c r="F1105" s="7" t="s">
        <v>178</v>
      </c>
      <c r="G1105" s="7" t="s">
        <v>169</v>
      </c>
      <c r="H1105" s="7" t="s">
        <v>179</v>
      </c>
      <c r="I1105" s="7" t="s">
        <v>162</v>
      </c>
      <c r="J1105" s="7" t="s">
        <v>185</v>
      </c>
      <c r="K1105" s="7" t="s">
        <v>186</v>
      </c>
      <c r="L1105" s="7" t="s">
        <v>187</v>
      </c>
      <c r="M1105" s="7" t="n">
        <v>3</v>
      </c>
      <c r="N1105" s="27" t="n">
        <v>3299</v>
      </c>
      <c r="O1105" s="28" t="n">
        <v>0.5</v>
      </c>
      <c r="P1105" s="27" t="n">
        <v>4948</v>
      </c>
      <c r="Q1105" s="27" t="n">
        <v>5700</v>
      </c>
      <c r="R1105" s="27" t="n">
        <v>-752</v>
      </c>
      <c r="S1105" s="7" t="s">
        <v>60</v>
      </c>
      <c r="T1105" s="7" t="str">
        <f aca="false">IF(O1105=0,"No discount",IF(O1105&lt;=0.2,"Up to 20%","Above 20%"))</f>
        <v>Above 20%</v>
      </c>
    </row>
    <row r="1106" customFormat="false" ht="15" hidden="false" customHeight="true" outlineLevel="0" collapsed="false">
      <c r="A1106" s="7" t="s">
        <v>1813</v>
      </c>
      <c r="B1106" s="26" t="n">
        <v>45995</v>
      </c>
      <c r="C1106" s="26" t="n">
        <v>45999</v>
      </c>
      <c r="D1106" s="7" t="s">
        <v>581</v>
      </c>
      <c r="E1106" s="7" t="s">
        <v>582</v>
      </c>
      <c r="F1106" s="7" t="s">
        <v>159</v>
      </c>
      <c r="G1106" s="7" t="s">
        <v>323</v>
      </c>
      <c r="H1106" s="7" t="s">
        <v>324</v>
      </c>
      <c r="I1106" s="7" t="s">
        <v>199</v>
      </c>
      <c r="J1106" s="7" t="s">
        <v>398</v>
      </c>
      <c r="K1106" s="7" t="s">
        <v>399</v>
      </c>
      <c r="L1106" s="7" t="s">
        <v>400</v>
      </c>
      <c r="M1106" s="7" t="n">
        <v>3</v>
      </c>
      <c r="N1106" s="27" t="n">
        <v>749</v>
      </c>
      <c r="O1106" s="28" t="n">
        <v>0.1</v>
      </c>
      <c r="P1106" s="27" t="n">
        <v>2022</v>
      </c>
      <c r="Q1106" s="27" t="n">
        <v>1050</v>
      </c>
      <c r="R1106" s="27" t="n">
        <v>972</v>
      </c>
      <c r="S1106" s="7" t="s">
        <v>60</v>
      </c>
      <c r="T1106" s="7" t="str">
        <f aca="false">IF(O1106=0,"No discount",IF(O1106&lt;=0.2,"Up to 20%","Above 20%"))</f>
        <v>Up to 20%</v>
      </c>
    </row>
    <row r="1107" customFormat="false" ht="15" hidden="false" customHeight="true" outlineLevel="0" collapsed="false">
      <c r="A1107" s="7" t="s">
        <v>1814</v>
      </c>
      <c r="B1107" s="26" t="n">
        <v>45995</v>
      </c>
      <c r="C1107" s="26" t="n">
        <v>46001</v>
      </c>
      <c r="D1107" s="7" t="s">
        <v>416</v>
      </c>
      <c r="E1107" s="7" t="s">
        <v>417</v>
      </c>
      <c r="F1107" s="7" t="s">
        <v>159</v>
      </c>
      <c r="G1107" s="7" t="s">
        <v>160</v>
      </c>
      <c r="H1107" s="7" t="s">
        <v>269</v>
      </c>
      <c r="I1107" s="7" t="s">
        <v>199</v>
      </c>
      <c r="J1107" s="7" t="s">
        <v>223</v>
      </c>
      <c r="K1107" s="7" t="s">
        <v>246</v>
      </c>
      <c r="L1107" s="7" t="s">
        <v>247</v>
      </c>
      <c r="M1107" s="7" t="n">
        <v>2</v>
      </c>
      <c r="N1107" s="27" t="n">
        <v>599</v>
      </c>
      <c r="O1107" s="28" t="n">
        <v>0.1</v>
      </c>
      <c r="P1107" s="27" t="n">
        <v>1078</v>
      </c>
      <c r="Q1107" s="27" t="n">
        <v>540</v>
      </c>
      <c r="R1107" s="27" t="n">
        <v>538</v>
      </c>
      <c r="S1107" s="7" t="s">
        <v>60</v>
      </c>
      <c r="T1107" s="7" t="str">
        <f aca="false">IF(O1107=0,"No discount",IF(O1107&lt;=0.2,"Up to 20%","Above 20%"))</f>
        <v>Up to 20%</v>
      </c>
    </row>
    <row r="1108" customFormat="false" ht="15" hidden="false" customHeight="true" outlineLevel="0" collapsed="false">
      <c r="A1108" s="7" t="s">
        <v>1815</v>
      </c>
      <c r="B1108" s="26" t="n">
        <v>45996</v>
      </c>
      <c r="C1108" s="26" t="n">
        <v>46000</v>
      </c>
      <c r="D1108" s="7" t="s">
        <v>760</v>
      </c>
      <c r="E1108" s="7" t="s">
        <v>761</v>
      </c>
      <c r="F1108" s="7" t="s">
        <v>159</v>
      </c>
      <c r="G1108" s="7" t="s">
        <v>169</v>
      </c>
      <c r="H1108" s="7" t="s">
        <v>170</v>
      </c>
      <c r="I1108" s="7" t="s">
        <v>192</v>
      </c>
      <c r="J1108" s="7" t="s">
        <v>502</v>
      </c>
      <c r="K1108" s="7" t="s">
        <v>503</v>
      </c>
      <c r="L1108" s="7" t="s">
        <v>504</v>
      </c>
      <c r="M1108" s="7" t="n">
        <v>2</v>
      </c>
      <c r="N1108" s="27" t="n">
        <v>3499</v>
      </c>
      <c r="O1108" s="28" t="n">
        <v>0.3</v>
      </c>
      <c r="P1108" s="27" t="n">
        <v>4899</v>
      </c>
      <c r="Q1108" s="27" t="n">
        <v>5000</v>
      </c>
      <c r="R1108" s="27" t="n">
        <v>-101</v>
      </c>
      <c r="S1108" s="7" t="s">
        <v>60</v>
      </c>
      <c r="T1108" s="7" t="str">
        <f aca="false">IF(O1108=0,"No discount",IF(O1108&lt;=0.2,"Up to 20%","Above 20%"))</f>
        <v>Above 20%</v>
      </c>
    </row>
    <row r="1109" customFormat="false" ht="15" hidden="false" customHeight="true" outlineLevel="0" collapsed="false">
      <c r="A1109" s="7" t="s">
        <v>1816</v>
      </c>
      <c r="B1109" s="26" t="n">
        <v>45996</v>
      </c>
      <c r="C1109" s="26" t="n">
        <v>46000</v>
      </c>
      <c r="D1109" s="7" t="s">
        <v>375</v>
      </c>
      <c r="E1109" s="7" t="s">
        <v>376</v>
      </c>
      <c r="F1109" s="7" t="s">
        <v>159</v>
      </c>
      <c r="G1109" s="7" t="s">
        <v>160</v>
      </c>
      <c r="H1109" s="7" t="s">
        <v>269</v>
      </c>
      <c r="I1109" s="7" t="s">
        <v>171</v>
      </c>
      <c r="J1109" s="7" t="s">
        <v>314</v>
      </c>
      <c r="K1109" s="7" t="s">
        <v>315</v>
      </c>
      <c r="L1109" s="7" t="s">
        <v>316</v>
      </c>
      <c r="M1109" s="7" t="n">
        <v>1</v>
      </c>
      <c r="N1109" s="27" t="n">
        <v>1299</v>
      </c>
      <c r="O1109" s="28" t="n">
        <v>0.05</v>
      </c>
      <c r="P1109" s="27" t="n">
        <v>1234</v>
      </c>
      <c r="Q1109" s="27" t="n">
        <v>700</v>
      </c>
      <c r="R1109" s="27" t="n">
        <v>534</v>
      </c>
      <c r="S1109" s="7" t="s">
        <v>60</v>
      </c>
      <c r="T1109" s="7" t="str">
        <f aca="false">IF(O1109=0,"No discount",IF(O1109&lt;=0.2,"Up to 20%","Above 20%"))</f>
        <v>Up to 20%</v>
      </c>
    </row>
    <row r="1110" customFormat="false" ht="15" hidden="false" customHeight="true" outlineLevel="0" collapsed="false">
      <c r="A1110" s="7" t="s">
        <v>1817</v>
      </c>
      <c r="B1110" s="26" t="n">
        <v>45997</v>
      </c>
      <c r="C1110" s="26" t="n">
        <v>46001</v>
      </c>
      <c r="D1110" s="7" t="s">
        <v>308</v>
      </c>
      <c r="E1110" s="7" t="s">
        <v>309</v>
      </c>
      <c r="F1110" s="7" t="s">
        <v>159</v>
      </c>
      <c r="G1110" s="7" t="s">
        <v>169</v>
      </c>
      <c r="H1110" s="7" t="s">
        <v>179</v>
      </c>
      <c r="I1110" s="7" t="s">
        <v>208</v>
      </c>
      <c r="J1110" s="7" t="s">
        <v>232</v>
      </c>
      <c r="K1110" s="7" t="s">
        <v>233</v>
      </c>
      <c r="L1110" s="7" t="s">
        <v>234</v>
      </c>
      <c r="M1110" s="7" t="n">
        <v>3</v>
      </c>
      <c r="N1110" s="27" t="n">
        <v>7999</v>
      </c>
      <c r="O1110" s="28" t="n">
        <v>0</v>
      </c>
      <c r="P1110" s="27" t="n">
        <v>23997</v>
      </c>
      <c r="Q1110" s="27" t="n">
        <v>16800</v>
      </c>
      <c r="R1110" s="27" t="n">
        <v>7197</v>
      </c>
      <c r="S1110" s="7" t="s">
        <v>60</v>
      </c>
      <c r="T1110" s="7" t="str">
        <f aca="false">IF(O1110=0,"No discount",IF(O1110&lt;=0.2,"Up to 20%","Above 20%"))</f>
        <v>No discount</v>
      </c>
    </row>
    <row r="1111" customFormat="false" ht="15" hidden="false" customHeight="true" outlineLevel="0" collapsed="false">
      <c r="A1111" s="7" t="s">
        <v>1818</v>
      </c>
      <c r="B1111" s="26" t="n">
        <v>45997</v>
      </c>
      <c r="C1111" s="26" t="n">
        <v>45999</v>
      </c>
      <c r="D1111" s="7" t="s">
        <v>920</v>
      </c>
      <c r="E1111" s="7" t="s">
        <v>921</v>
      </c>
      <c r="F1111" s="7" t="s">
        <v>159</v>
      </c>
      <c r="G1111" s="7" t="s">
        <v>169</v>
      </c>
      <c r="H1111" s="7" t="s">
        <v>170</v>
      </c>
      <c r="I1111" s="7" t="s">
        <v>162</v>
      </c>
      <c r="J1111" s="7" t="s">
        <v>185</v>
      </c>
      <c r="K1111" s="7" t="s">
        <v>186</v>
      </c>
      <c r="L1111" s="7" t="s">
        <v>187</v>
      </c>
      <c r="M1111" s="7" t="n">
        <v>1</v>
      </c>
      <c r="N1111" s="27" t="n">
        <v>3299</v>
      </c>
      <c r="O1111" s="28" t="n">
        <v>0.1</v>
      </c>
      <c r="P1111" s="27" t="n">
        <v>2969</v>
      </c>
      <c r="Q1111" s="27" t="n">
        <v>1900</v>
      </c>
      <c r="R1111" s="27" t="n">
        <v>1069</v>
      </c>
      <c r="S1111" s="7" t="s">
        <v>60</v>
      </c>
      <c r="T1111" s="7" t="str">
        <f aca="false">IF(O1111=0,"No discount",IF(O1111&lt;=0.2,"Up to 20%","Above 20%"))</f>
        <v>Up to 20%</v>
      </c>
    </row>
    <row r="1112" customFormat="false" ht="15" hidden="false" customHeight="true" outlineLevel="0" collapsed="false">
      <c r="A1112" s="7" t="s">
        <v>1819</v>
      </c>
      <c r="B1112" s="26" t="n">
        <v>45997</v>
      </c>
      <c r="C1112" s="26" t="n">
        <v>46004</v>
      </c>
      <c r="D1112" s="7" t="s">
        <v>456</v>
      </c>
      <c r="E1112" s="7" t="s">
        <v>457</v>
      </c>
      <c r="F1112" s="7" t="s">
        <v>159</v>
      </c>
      <c r="G1112" s="7" t="s">
        <v>169</v>
      </c>
      <c r="H1112" s="7" t="s">
        <v>170</v>
      </c>
      <c r="I1112" s="7" t="s">
        <v>162</v>
      </c>
      <c r="J1112" s="7" t="s">
        <v>163</v>
      </c>
      <c r="K1112" s="7" t="s">
        <v>164</v>
      </c>
      <c r="L1112" s="7" t="s">
        <v>165</v>
      </c>
      <c r="M1112" s="7" t="n">
        <v>1</v>
      </c>
      <c r="N1112" s="27" t="n">
        <v>1999</v>
      </c>
      <c r="O1112" s="28" t="n">
        <v>0</v>
      </c>
      <c r="P1112" s="27" t="n">
        <v>1999</v>
      </c>
      <c r="Q1112" s="27" t="n">
        <v>1050</v>
      </c>
      <c r="R1112" s="27" t="n">
        <v>949</v>
      </c>
      <c r="S1112" s="7" t="s">
        <v>60</v>
      </c>
      <c r="T1112" s="7" t="str">
        <f aca="false">IF(O1112=0,"No discount",IF(O1112&lt;=0.2,"Up to 20%","Above 20%"))</f>
        <v>No discount</v>
      </c>
    </row>
    <row r="1113" customFormat="false" ht="15" hidden="false" customHeight="true" outlineLevel="0" collapsed="false">
      <c r="A1113" s="7" t="s">
        <v>1820</v>
      </c>
      <c r="B1113" s="26" t="n">
        <v>45997</v>
      </c>
      <c r="C1113" s="26" t="n">
        <v>46003</v>
      </c>
      <c r="D1113" s="7" t="s">
        <v>1191</v>
      </c>
      <c r="E1113" s="7" t="s">
        <v>1192</v>
      </c>
      <c r="F1113" s="7" t="s">
        <v>219</v>
      </c>
      <c r="G1113" s="7" t="s">
        <v>160</v>
      </c>
      <c r="H1113" s="7" t="s">
        <v>269</v>
      </c>
      <c r="I1113" s="7" t="s">
        <v>282</v>
      </c>
      <c r="J1113" s="7" t="s">
        <v>283</v>
      </c>
      <c r="K1113" s="7" t="s">
        <v>284</v>
      </c>
      <c r="L1113" s="7" t="s">
        <v>285</v>
      </c>
      <c r="M1113" s="7" t="n">
        <v>5</v>
      </c>
      <c r="N1113" s="27" t="n">
        <v>199</v>
      </c>
      <c r="O1113" s="28" t="n">
        <v>0</v>
      </c>
      <c r="P1113" s="27" t="n">
        <v>995</v>
      </c>
      <c r="Q1113" s="27" t="n">
        <v>450</v>
      </c>
      <c r="R1113" s="27" t="n">
        <v>545</v>
      </c>
      <c r="S1113" s="7" t="s">
        <v>60</v>
      </c>
      <c r="T1113" s="7" t="str">
        <f aca="false">IF(O1113=0,"No discount",IF(O1113&lt;=0.2,"Up to 20%","Above 20%"))</f>
        <v>No discount</v>
      </c>
    </row>
    <row r="1114" customFormat="false" ht="15" hidden="false" customHeight="true" outlineLevel="0" collapsed="false">
      <c r="A1114" s="7" t="s">
        <v>1821</v>
      </c>
      <c r="B1114" s="26" t="n">
        <v>45998</v>
      </c>
      <c r="C1114" s="26" t="n">
        <v>46005</v>
      </c>
      <c r="D1114" s="7" t="s">
        <v>734</v>
      </c>
      <c r="E1114" s="7" t="s">
        <v>735</v>
      </c>
      <c r="F1114" s="7" t="s">
        <v>159</v>
      </c>
      <c r="G1114" s="7" t="s">
        <v>206</v>
      </c>
      <c r="H1114" s="7" t="s">
        <v>207</v>
      </c>
      <c r="I1114" s="7" t="s">
        <v>171</v>
      </c>
      <c r="J1114" s="7" t="s">
        <v>304</v>
      </c>
      <c r="K1114" s="7" t="s">
        <v>305</v>
      </c>
      <c r="L1114" s="7" t="s">
        <v>306</v>
      </c>
      <c r="M1114" s="7" t="n">
        <v>1</v>
      </c>
      <c r="N1114" s="27" t="n">
        <v>2999</v>
      </c>
      <c r="O1114" s="28" t="n">
        <v>0</v>
      </c>
      <c r="P1114" s="27" t="n">
        <v>2999</v>
      </c>
      <c r="Q1114" s="27" t="n">
        <v>2000</v>
      </c>
      <c r="R1114" s="27" t="n">
        <v>999</v>
      </c>
      <c r="S1114" s="7" t="s">
        <v>60</v>
      </c>
      <c r="T1114" s="7" t="str">
        <f aca="false">IF(O1114=0,"No discount",IF(O1114&lt;=0.2,"Up to 20%","Above 20%"))</f>
        <v>No discount</v>
      </c>
    </row>
    <row r="1115" customFormat="false" ht="15" hidden="false" customHeight="true" outlineLevel="0" collapsed="false">
      <c r="A1115" s="7" t="s">
        <v>1822</v>
      </c>
      <c r="B1115" s="26" t="n">
        <v>45998</v>
      </c>
      <c r="C1115" s="26" t="n">
        <v>46001</v>
      </c>
      <c r="D1115" s="7" t="s">
        <v>1194</v>
      </c>
      <c r="E1115" s="7" t="s">
        <v>1195</v>
      </c>
      <c r="F1115" s="7" t="s">
        <v>178</v>
      </c>
      <c r="G1115" s="7" t="s">
        <v>169</v>
      </c>
      <c r="H1115" s="7" t="s">
        <v>191</v>
      </c>
      <c r="I1115" s="7" t="s">
        <v>199</v>
      </c>
      <c r="J1115" s="7" t="s">
        <v>223</v>
      </c>
      <c r="K1115" s="7" t="s">
        <v>224</v>
      </c>
      <c r="L1115" s="7" t="s">
        <v>225</v>
      </c>
      <c r="M1115" s="7" t="n">
        <v>5</v>
      </c>
      <c r="N1115" s="27" t="n">
        <v>899</v>
      </c>
      <c r="O1115" s="28" t="n">
        <v>0.2</v>
      </c>
      <c r="P1115" s="27" t="n">
        <v>3596</v>
      </c>
      <c r="Q1115" s="27" t="n">
        <v>1900</v>
      </c>
      <c r="R1115" s="27" t="n">
        <v>1696</v>
      </c>
      <c r="S1115" s="7" t="s">
        <v>60</v>
      </c>
      <c r="T1115" s="7" t="str">
        <f aca="false">IF(O1115=0,"No discount",IF(O1115&lt;=0.2,"Up to 20%","Above 20%"))</f>
        <v>Up to 20%</v>
      </c>
    </row>
    <row r="1116" customFormat="false" ht="15" hidden="false" customHeight="true" outlineLevel="0" collapsed="false">
      <c r="A1116" s="7" t="s">
        <v>1823</v>
      </c>
      <c r="B1116" s="26" t="n">
        <v>45998</v>
      </c>
      <c r="C1116" s="26" t="n">
        <v>46001</v>
      </c>
      <c r="D1116" s="7" t="s">
        <v>176</v>
      </c>
      <c r="E1116" s="7" t="s">
        <v>177</v>
      </c>
      <c r="F1116" s="7" t="s">
        <v>178</v>
      </c>
      <c r="G1116" s="7" t="s">
        <v>169</v>
      </c>
      <c r="H1116" s="7" t="s">
        <v>179</v>
      </c>
      <c r="I1116" s="7" t="s">
        <v>171</v>
      </c>
      <c r="J1116" s="7" t="s">
        <v>172</v>
      </c>
      <c r="K1116" s="7" t="s">
        <v>593</v>
      </c>
      <c r="L1116" s="7" t="s">
        <v>594</v>
      </c>
      <c r="M1116" s="7" t="n">
        <v>2</v>
      </c>
      <c r="N1116" s="27" t="n">
        <v>1199</v>
      </c>
      <c r="O1116" s="28" t="n">
        <v>0.1</v>
      </c>
      <c r="P1116" s="27" t="n">
        <v>2158</v>
      </c>
      <c r="Q1116" s="27" t="n">
        <v>1300</v>
      </c>
      <c r="R1116" s="27" t="n">
        <v>858</v>
      </c>
      <c r="S1116" s="7" t="s">
        <v>60</v>
      </c>
      <c r="T1116" s="7" t="str">
        <f aca="false">IF(O1116=0,"No discount",IF(O1116&lt;=0.2,"Up to 20%","Above 20%"))</f>
        <v>Up to 20%</v>
      </c>
    </row>
    <row r="1117" customFormat="false" ht="15" hidden="false" customHeight="true" outlineLevel="0" collapsed="false">
      <c r="A1117" s="7" t="s">
        <v>1824</v>
      </c>
      <c r="B1117" s="26" t="n">
        <v>45998</v>
      </c>
      <c r="C1117" s="26" t="n">
        <v>46002</v>
      </c>
      <c r="D1117" s="7" t="s">
        <v>1073</v>
      </c>
      <c r="E1117" s="7" t="s">
        <v>1074</v>
      </c>
      <c r="F1117" s="7" t="s">
        <v>159</v>
      </c>
      <c r="G1117" s="7" t="s">
        <v>206</v>
      </c>
      <c r="H1117" s="7" t="s">
        <v>207</v>
      </c>
      <c r="I1117" s="7" t="s">
        <v>192</v>
      </c>
      <c r="J1117" s="7" t="s">
        <v>193</v>
      </c>
      <c r="K1117" s="7" t="s">
        <v>194</v>
      </c>
      <c r="L1117" s="7" t="s">
        <v>195</v>
      </c>
      <c r="M1117" s="7" t="n">
        <v>2</v>
      </c>
      <c r="N1117" s="27" t="n">
        <v>8999</v>
      </c>
      <c r="O1117" s="28" t="n">
        <v>0.2</v>
      </c>
      <c r="P1117" s="27" t="n">
        <v>14398</v>
      </c>
      <c r="Q1117" s="27" t="n">
        <v>13600</v>
      </c>
      <c r="R1117" s="27" t="n">
        <v>798</v>
      </c>
      <c r="S1117" s="7" t="s">
        <v>60</v>
      </c>
      <c r="T1117" s="7" t="str">
        <f aca="false">IF(O1117=0,"No discount",IF(O1117&lt;=0.2,"Up to 20%","Above 20%"))</f>
        <v>Up to 20%</v>
      </c>
    </row>
    <row r="1118" customFormat="false" ht="15" hidden="false" customHeight="true" outlineLevel="0" collapsed="false">
      <c r="A1118" s="7" t="s">
        <v>1825</v>
      </c>
      <c r="B1118" s="26" t="n">
        <v>45999</v>
      </c>
      <c r="C1118" s="26" t="n">
        <v>46001</v>
      </c>
      <c r="D1118" s="7" t="s">
        <v>435</v>
      </c>
      <c r="E1118" s="7" t="s">
        <v>436</v>
      </c>
      <c r="F1118" s="7" t="s">
        <v>159</v>
      </c>
      <c r="G1118" s="7" t="s">
        <v>169</v>
      </c>
      <c r="H1118" s="7" t="s">
        <v>170</v>
      </c>
      <c r="I1118" s="7" t="s">
        <v>199</v>
      </c>
      <c r="J1118" s="7" t="s">
        <v>398</v>
      </c>
      <c r="K1118" s="7" t="s">
        <v>399</v>
      </c>
      <c r="L1118" s="7" t="s">
        <v>400</v>
      </c>
      <c r="M1118" s="7" t="n">
        <v>1</v>
      </c>
      <c r="N1118" s="27" t="n">
        <v>749</v>
      </c>
      <c r="O1118" s="28" t="n">
        <v>0.1</v>
      </c>
      <c r="P1118" s="27" t="n">
        <v>674</v>
      </c>
      <c r="Q1118" s="27" t="n">
        <v>350</v>
      </c>
      <c r="R1118" s="27" t="n">
        <v>324</v>
      </c>
      <c r="S1118" s="7" t="s">
        <v>60</v>
      </c>
      <c r="T1118" s="7" t="str">
        <f aca="false">IF(O1118=0,"No discount",IF(O1118&lt;=0.2,"Up to 20%","Above 20%"))</f>
        <v>Up to 20%</v>
      </c>
    </row>
    <row r="1119" customFormat="false" ht="15" hidden="false" customHeight="true" outlineLevel="0" collapsed="false">
      <c r="A1119" s="7" t="s">
        <v>1826</v>
      </c>
      <c r="B1119" s="26" t="n">
        <v>45999</v>
      </c>
      <c r="C1119" s="26" t="n">
        <v>46003</v>
      </c>
      <c r="D1119" s="7" t="s">
        <v>601</v>
      </c>
      <c r="E1119" s="7" t="s">
        <v>602</v>
      </c>
      <c r="F1119" s="7" t="s">
        <v>159</v>
      </c>
      <c r="G1119" s="7" t="s">
        <v>160</v>
      </c>
      <c r="H1119" s="7" t="s">
        <v>263</v>
      </c>
      <c r="I1119" s="7" t="s">
        <v>282</v>
      </c>
      <c r="J1119" s="7" t="s">
        <v>283</v>
      </c>
      <c r="K1119" s="7" t="s">
        <v>284</v>
      </c>
      <c r="L1119" s="7" t="s">
        <v>285</v>
      </c>
      <c r="M1119" s="7" t="n">
        <v>3</v>
      </c>
      <c r="N1119" s="27" t="n">
        <v>199</v>
      </c>
      <c r="O1119" s="28" t="n">
        <v>0</v>
      </c>
      <c r="P1119" s="27" t="n">
        <v>597</v>
      </c>
      <c r="Q1119" s="27" t="n">
        <v>270</v>
      </c>
      <c r="R1119" s="27" t="n">
        <v>327</v>
      </c>
      <c r="S1119" s="7" t="s">
        <v>60</v>
      </c>
      <c r="T1119" s="7" t="str">
        <f aca="false">IF(O1119=0,"No discount",IF(O1119&lt;=0.2,"Up to 20%","Above 20%"))</f>
        <v>No discount</v>
      </c>
    </row>
    <row r="1120" customFormat="false" ht="15" hidden="false" customHeight="true" outlineLevel="0" collapsed="false">
      <c r="A1120" s="7" t="s">
        <v>1827</v>
      </c>
      <c r="B1120" s="26" t="n">
        <v>45999</v>
      </c>
      <c r="C1120" s="26" t="n">
        <v>46001</v>
      </c>
      <c r="D1120" s="7" t="s">
        <v>255</v>
      </c>
      <c r="E1120" s="7" t="s">
        <v>256</v>
      </c>
      <c r="F1120" s="7" t="s">
        <v>159</v>
      </c>
      <c r="G1120" s="7" t="s">
        <v>206</v>
      </c>
      <c r="H1120" s="7" t="s">
        <v>207</v>
      </c>
      <c r="I1120" s="7" t="s">
        <v>171</v>
      </c>
      <c r="J1120" s="7" t="s">
        <v>172</v>
      </c>
      <c r="K1120" s="7" t="s">
        <v>180</v>
      </c>
      <c r="L1120" s="7" t="s">
        <v>181</v>
      </c>
      <c r="M1120" s="7" t="n">
        <v>2</v>
      </c>
      <c r="N1120" s="27" t="n">
        <v>999</v>
      </c>
      <c r="O1120" s="28" t="n">
        <v>0</v>
      </c>
      <c r="P1120" s="27" t="n">
        <v>1998</v>
      </c>
      <c r="Q1120" s="27" t="n">
        <v>1040</v>
      </c>
      <c r="R1120" s="27" t="n">
        <v>958</v>
      </c>
      <c r="S1120" s="7" t="s">
        <v>60</v>
      </c>
      <c r="T1120" s="7" t="str">
        <f aca="false">IF(O1120=0,"No discount",IF(O1120&lt;=0.2,"Up to 20%","Above 20%"))</f>
        <v>No discount</v>
      </c>
    </row>
    <row r="1121" customFormat="false" ht="15" hidden="false" customHeight="true" outlineLevel="0" collapsed="false">
      <c r="A1121" s="7" t="s">
        <v>1828</v>
      </c>
      <c r="B1121" s="26" t="n">
        <v>45999</v>
      </c>
      <c r="C1121" s="26" t="n">
        <v>46005</v>
      </c>
      <c r="D1121" s="7" t="s">
        <v>438</v>
      </c>
      <c r="E1121" s="7" t="s">
        <v>439</v>
      </c>
      <c r="F1121" s="7" t="s">
        <v>159</v>
      </c>
      <c r="G1121" s="7" t="s">
        <v>323</v>
      </c>
      <c r="H1121" s="7" t="s">
        <v>324</v>
      </c>
      <c r="I1121" s="7" t="s">
        <v>192</v>
      </c>
      <c r="J1121" s="7" t="s">
        <v>502</v>
      </c>
      <c r="K1121" s="7" t="s">
        <v>526</v>
      </c>
      <c r="L1121" s="7" t="s">
        <v>527</v>
      </c>
      <c r="M1121" s="7" t="n">
        <v>1</v>
      </c>
      <c r="N1121" s="27" t="n">
        <v>6499</v>
      </c>
      <c r="O1121" s="28" t="n">
        <v>0.3</v>
      </c>
      <c r="P1121" s="27" t="n">
        <v>4549</v>
      </c>
      <c r="Q1121" s="27" t="n">
        <v>5000</v>
      </c>
      <c r="R1121" s="27" t="n">
        <v>-451</v>
      </c>
      <c r="S1121" s="7" t="s">
        <v>60</v>
      </c>
      <c r="T1121" s="7" t="str">
        <f aca="false">IF(O1121=0,"No discount",IF(O1121&lt;=0.2,"Up to 20%","Above 20%"))</f>
        <v>Above 20%</v>
      </c>
    </row>
    <row r="1122" customFormat="false" ht="15" hidden="false" customHeight="true" outlineLevel="0" collapsed="false">
      <c r="A1122" s="7" t="s">
        <v>1829</v>
      </c>
      <c r="B1122" s="26" t="n">
        <v>45999</v>
      </c>
      <c r="C1122" s="26" t="n">
        <v>46006</v>
      </c>
      <c r="D1122" s="7" t="s">
        <v>258</v>
      </c>
      <c r="E1122" s="7" t="s">
        <v>259</v>
      </c>
      <c r="F1122" s="7" t="s">
        <v>159</v>
      </c>
      <c r="G1122" s="7" t="s">
        <v>206</v>
      </c>
      <c r="H1122" s="7" t="s">
        <v>207</v>
      </c>
      <c r="I1122" s="7" t="s">
        <v>162</v>
      </c>
      <c r="J1122" s="7" t="s">
        <v>325</v>
      </c>
      <c r="K1122" s="7" t="s">
        <v>381</v>
      </c>
      <c r="L1122" s="7" t="s">
        <v>382</v>
      </c>
      <c r="M1122" s="7" t="n">
        <v>1</v>
      </c>
      <c r="N1122" s="27" t="n">
        <v>1799</v>
      </c>
      <c r="O1122" s="28" t="n">
        <v>0</v>
      </c>
      <c r="P1122" s="27" t="n">
        <v>1799</v>
      </c>
      <c r="Q1122" s="27" t="n">
        <v>950</v>
      </c>
      <c r="R1122" s="27" t="n">
        <v>849</v>
      </c>
      <c r="S1122" s="7" t="s">
        <v>60</v>
      </c>
      <c r="T1122" s="7" t="str">
        <f aca="false">IF(O1122=0,"No discount",IF(O1122&lt;=0.2,"Up to 20%","Above 20%"))</f>
        <v>No discount</v>
      </c>
    </row>
    <row r="1123" customFormat="false" ht="15" hidden="false" customHeight="true" outlineLevel="0" collapsed="false">
      <c r="A1123" s="7" t="s">
        <v>1830</v>
      </c>
      <c r="B1123" s="26" t="n">
        <v>45999</v>
      </c>
      <c r="C1123" s="26" t="n">
        <v>46002</v>
      </c>
      <c r="D1123" s="7" t="s">
        <v>943</v>
      </c>
      <c r="E1123" s="7" t="s">
        <v>944</v>
      </c>
      <c r="F1123" s="7" t="s">
        <v>159</v>
      </c>
      <c r="G1123" s="7" t="s">
        <v>160</v>
      </c>
      <c r="H1123" s="7" t="s">
        <v>269</v>
      </c>
      <c r="I1123" s="7" t="s">
        <v>162</v>
      </c>
      <c r="J1123" s="7" t="s">
        <v>325</v>
      </c>
      <c r="K1123" s="7" t="s">
        <v>381</v>
      </c>
      <c r="L1123" s="7" t="s">
        <v>382</v>
      </c>
      <c r="M1123" s="7" t="n">
        <v>1</v>
      </c>
      <c r="N1123" s="27" t="n">
        <v>1799</v>
      </c>
      <c r="O1123" s="28" t="n">
        <v>0.2</v>
      </c>
      <c r="P1123" s="27" t="n">
        <v>1439</v>
      </c>
      <c r="Q1123" s="27" t="n">
        <v>950</v>
      </c>
      <c r="R1123" s="27" t="n">
        <v>489</v>
      </c>
      <c r="S1123" s="7" t="s">
        <v>60</v>
      </c>
      <c r="T1123" s="7" t="str">
        <f aca="false">IF(O1123=0,"No discount",IF(O1123&lt;=0.2,"Up to 20%","Above 20%"))</f>
        <v>Up to 20%</v>
      </c>
    </row>
    <row r="1124" customFormat="false" ht="15" hidden="false" customHeight="true" outlineLevel="0" collapsed="false">
      <c r="A1124" s="7" t="s">
        <v>1831</v>
      </c>
      <c r="B1124" s="26" t="n">
        <v>45999</v>
      </c>
      <c r="C1124" s="26" t="n">
        <v>46005</v>
      </c>
      <c r="D1124" s="7" t="s">
        <v>375</v>
      </c>
      <c r="E1124" s="7" t="s">
        <v>376</v>
      </c>
      <c r="F1124" s="7" t="s">
        <v>159</v>
      </c>
      <c r="G1124" s="7" t="s">
        <v>160</v>
      </c>
      <c r="H1124" s="7" t="s">
        <v>269</v>
      </c>
      <c r="I1124" s="7" t="s">
        <v>192</v>
      </c>
      <c r="J1124" s="7" t="s">
        <v>502</v>
      </c>
      <c r="K1124" s="7" t="s">
        <v>503</v>
      </c>
      <c r="L1124" s="7" t="s">
        <v>504</v>
      </c>
      <c r="M1124" s="7" t="n">
        <v>1</v>
      </c>
      <c r="N1124" s="27" t="n">
        <v>3499</v>
      </c>
      <c r="O1124" s="28" t="n">
        <v>0.3</v>
      </c>
      <c r="P1124" s="27" t="n">
        <v>2449</v>
      </c>
      <c r="Q1124" s="27" t="n">
        <v>2500</v>
      </c>
      <c r="R1124" s="27" t="n">
        <v>-51</v>
      </c>
      <c r="S1124" s="7" t="s">
        <v>60</v>
      </c>
      <c r="T1124" s="7" t="str">
        <f aca="false">IF(O1124=0,"No discount",IF(O1124&lt;=0.2,"Up to 20%","Above 20%"))</f>
        <v>Above 20%</v>
      </c>
    </row>
    <row r="1125" customFormat="false" ht="15" hidden="false" customHeight="true" outlineLevel="0" collapsed="false">
      <c r="A1125" s="7" t="s">
        <v>1832</v>
      </c>
      <c r="B1125" s="26" t="n">
        <v>45999</v>
      </c>
      <c r="C1125" s="26" t="n">
        <v>46005</v>
      </c>
      <c r="D1125" s="7" t="s">
        <v>818</v>
      </c>
      <c r="E1125" s="7" t="s">
        <v>819</v>
      </c>
      <c r="F1125" s="7" t="s">
        <v>159</v>
      </c>
      <c r="G1125" s="7" t="s">
        <v>206</v>
      </c>
      <c r="H1125" s="7" t="s">
        <v>207</v>
      </c>
      <c r="I1125" s="7" t="s">
        <v>282</v>
      </c>
      <c r="J1125" s="7" t="s">
        <v>387</v>
      </c>
      <c r="K1125" s="7" t="s">
        <v>388</v>
      </c>
      <c r="L1125" s="7" t="s">
        <v>389</v>
      </c>
      <c r="M1125" s="7" t="n">
        <v>2</v>
      </c>
      <c r="N1125" s="27" t="n">
        <v>1299</v>
      </c>
      <c r="O1125" s="28" t="n">
        <v>0</v>
      </c>
      <c r="P1125" s="27" t="n">
        <v>2598</v>
      </c>
      <c r="Q1125" s="27" t="n">
        <v>1560</v>
      </c>
      <c r="R1125" s="27" t="n">
        <v>1038</v>
      </c>
      <c r="S1125" s="7" t="s">
        <v>60</v>
      </c>
      <c r="T1125" s="7" t="str">
        <f aca="false">IF(O1125=0,"No discount",IF(O1125&lt;=0.2,"Up to 20%","Above 20%"))</f>
        <v>No discount</v>
      </c>
    </row>
    <row r="1126" customFormat="false" ht="15" hidden="false" customHeight="true" outlineLevel="0" collapsed="false">
      <c r="A1126" s="7" t="s">
        <v>1833</v>
      </c>
      <c r="B1126" s="26" t="n">
        <v>46000</v>
      </c>
      <c r="C1126" s="26" t="n">
        <v>46006</v>
      </c>
      <c r="D1126" s="7" t="s">
        <v>456</v>
      </c>
      <c r="E1126" s="7" t="s">
        <v>457</v>
      </c>
      <c r="F1126" s="7" t="s">
        <v>159</v>
      </c>
      <c r="G1126" s="7" t="s">
        <v>169</v>
      </c>
      <c r="H1126" s="7" t="s">
        <v>170</v>
      </c>
      <c r="I1126" s="7" t="s">
        <v>171</v>
      </c>
      <c r="J1126" s="7" t="s">
        <v>314</v>
      </c>
      <c r="K1126" s="7" t="s">
        <v>315</v>
      </c>
      <c r="L1126" s="7" t="s">
        <v>316</v>
      </c>
      <c r="M1126" s="7" t="n">
        <v>4</v>
      </c>
      <c r="N1126" s="27" t="n">
        <v>1299</v>
      </c>
      <c r="O1126" s="28" t="n">
        <v>0.1</v>
      </c>
      <c r="P1126" s="27" t="n">
        <v>4676</v>
      </c>
      <c r="Q1126" s="27" t="n">
        <v>2800</v>
      </c>
      <c r="R1126" s="27" t="n">
        <v>1876</v>
      </c>
      <c r="S1126" s="7" t="s">
        <v>60</v>
      </c>
      <c r="T1126" s="7" t="str">
        <f aca="false">IF(O1126=0,"No discount",IF(O1126&lt;=0.2,"Up to 20%","Above 20%"))</f>
        <v>Up to 20%</v>
      </c>
    </row>
    <row r="1127" customFormat="false" ht="15" hidden="false" customHeight="true" outlineLevel="0" collapsed="false">
      <c r="A1127" s="7" t="s">
        <v>1834</v>
      </c>
      <c r="B1127" s="26" t="n">
        <v>46000</v>
      </c>
      <c r="C1127" s="26" t="n">
        <v>46006</v>
      </c>
      <c r="D1127" s="7" t="s">
        <v>920</v>
      </c>
      <c r="E1127" s="7" t="s">
        <v>921</v>
      </c>
      <c r="F1127" s="7" t="s">
        <v>159</v>
      </c>
      <c r="G1127" s="7" t="s">
        <v>169</v>
      </c>
      <c r="H1127" s="7" t="s">
        <v>170</v>
      </c>
      <c r="I1127" s="7" t="s">
        <v>199</v>
      </c>
      <c r="J1127" s="7" t="s">
        <v>223</v>
      </c>
      <c r="K1127" s="7" t="s">
        <v>246</v>
      </c>
      <c r="L1127" s="7" t="s">
        <v>247</v>
      </c>
      <c r="M1127" s="7" t="n">
        <v>1</v>
      </c>
      <c r="N1127" s="27" t="n">
        <v>599</v>
      </c>
      <c r="O1127" s="28" t="n">
        <v>0.1</v>
      </c>
      <c r="P1127" s="27" t="n">
        <v>539</v>
      </c>
      <c r="Q1127" s="27" t="n">
        <v>270</v>
      </c>
      <c r="R1127" s="27" t="n">
        <v>269</v>
      </c>
      <c r="S1127" s="7" t="s">
        <v>60</v>
      </c>
      <c r="T1127" s="7" t="str">
        <f aca="false">IF(O1127=0,"No discount",IF(O1127&lt;=0.2,"Up to 20%","Above 20%"))</f>
        <v>Up to 20%</v>
      </c>
    </row>
    <row r="1128" customFormat="false" ht="15" hidden="false" customHeight="true" outlineLevel="0" collapsed="false">
      <c r="A1128" s="7" t="s">
        <v>1835</v>
      </c>
      <c r="B1128" s="26" t="n">
        <v>46000</v>
      </c>
      <c r="C1128" s="26" t="n">
        <v>46003</v>
      </c>
      <c r="D1128" s="7" t="s">
        <v>896</v>
      </c>
      <c r="E1128" s="7" t="s">
        <v>897</v>
      </c>
      <c r="F1128" s="7" t="s">
        <v>159</v>
      </c>
      <c r="G1128" s="7" t="s">
        <v>160</v>
      </c>
      <c r="H1128" s="7" t="s">
        <v>269</v>
      </c>
      <c r="I1128" s="7" t="s">
        <v>282</v>
      </c>
      <c r="J1128" s="7" t="s">
        <v>427</v>
      </c>
      <c r="K1128" s="7" t="s">
        <v>428</v>
      </c>
      <c r="L1128" s="7" t="s">
        <v>429</v>
      </c>
      <c r="M1128" s="7" t="n">
        <v>2</v>
      </c>
      <c r="N1128" s="27" t="n">
        <v>149</v>
      </c>
      <c r="O1128" s="28" t="n">
        <v>0</v>
      </c>
      <c r="P1128" s="27" t="n">
        <v>298</v>
      </c>
      <c r="Q1128" s="27" t="n">
        <v>140</v>
      </c>
      <c r="R1128" s="27" t="n">
        <v>158</v>
      </c>
      <c r="S1128" s="7" t="s">
        <v>60</v>
      </c>
      <c r="T1128" s="7" t="str">
        <f aca="false">IF(O1128=0,"No discount",IF(O1128&lt;=0.2,"Up to 20%","Above 20%"))</f>
        <v>No discount</v>
      </c>
    </row>
    <row r="1129" customFormat="false" ht="15" hidden="false" customHeight="true" outlineLevel="0" collapsed="false">
      <c r="A1129" s="7" t="s">
        <v>1836</v>
      </c>
      <c r="B1129" s="26" t="n">
        <v>46000</v>
      </c>
      <c r="C1129" s="26" t="n">
        <v>46003</v>
      </c>
      <c r="D1129" s="7" t="s">
        <v>363</v>
      </c>
      <c r="E1129" s="7" t="s">
        <v>364</v>
      </c>
      <c r="F1129" s="7" t="s">
        <v>159</v>
      </c>
      <c r="G1129" s="7" t="s">
        <v>169</v>
      </c>
      <c r="H1129" s="7" t="s">
        <v>170</v>
      </c>
      <c r="I1129" s="7" t="s">
        <v>162</v>
      </c>
      <c r="J1129" s="7" t="s">
        <v>251</v>
      </c>
      <c r="K1129" s="7" t="s">
        <v>252</v>
      </c>
      <c r="L1129" s="7" t="s">
        <v>253</v>
      </c>
      <c r="M1129" s="7" t="n">
        <v>4</v>
      </c>
      <c r="N1129" s="27" t="n">
        <v>3999</v>
      </c>
      <c r="O1129" s="28" t="n">
        <v>0.1</v>
      </c>
      <c r="P1129" s="27" t="n">
        <v>14396</v>
      </c>
      <c r="Q1129" s="27" t="n">
        <v>9600</v>
      </c>
      <c r="R1129" s="27" t="n">
        <v>4796</v>
      </c>
      <c r="S1129" s="7" t="s">
        <v>60</v>
      </c>
      <c r="T1129" s="7" t="str">
        <f aca="false">IF(O1129=0,"No discount",IF(O1129&lt;=0.2,"Up to 20%","Above 20%"))</f>
        <v>Up to 20%</v>
      </c>
    </row>
    <row r="1130" customFormat="false" ht="15" hidden="false" customHeight="true" outlineLevel="0" collapsed="false">
      <c r="A1130" s="7" t="s">
        <v>1837</v>
      </c>
      <c r="B1130" s="26" t="n">
        <v>46000</v>
      </c>
      <c r="C1130" s="26" t="n">
        <v>46001</v>
      </c>
      <c r="D1130" s="7" t="s">
        <v>336</v>
      </c>
      <c r="E1130" s="7" t="s">
        <v>337</v>
      </c>
      <c r="F1130" s="7" t="s">
        <v>219</v>
      </c>
      <c r="G1130" s="7" t="s">
        <v>206</v>
      </c>
      <c r="H1130" s="7" t="s">
        <v>207</v>
      </c>
      <c r="I1130" s="7" t="s">
        <v>199</v>
      </c>
      <c r="J1130" s="7" t="s">
        <v>292</v>
      </c>
      <c r="K1130" s="7" t="s">
        <v>293</v>
      </c>
      <c r="L1130" s="7" t="s">
        <v>294</v>
      </c>
      <c r="M1130" s="7" t="n">
        <v>1</v>
      </c>
      <c r="N1130" s="27" t="n">
        <v>1599</v>
      </c>
      <c r="O1130" s="28" t="n">
        <v>0.1</v>
      </c>
      <c r="P1130" s="27" t="n">
        <v>1439</v>
      </c>
      <c r="Q1130" s="27" t="n">
        <v>750</v>
      </c>
      <c r="R1130" s="27" t="n">
        <v>689</v>
      </c>
      <c r="S1130" s="7" t="s">
        <v>60</v>
      </c>
      <c r="T1130" s="7" t="str">
        <f aca="false">IF(O1130=0,"No discount",IF(O1130&lt;=0.2,"Up to 20%","Above 20%"))</f>
        <v>Up to 20%</v>
      </c>
    </row>
    <row r="1131" customFormat="false" ht="15" hidden="false" customHeight="true" outlineLevel="0" collapsed="false">
      <c r="A1131" s="7" t="s">
        <v>1838</v>
      </c>
      <c r="B1131" s="26" t="n">
        <v>46000</v>
      </c>
      <c r="C1131" s="26" t="n">
        <v>46007</v>
      </c>
      <c r="D1131" s="7" t="s">
        <v>789</v>
      </c>
      <c r="E1131" s="7" t="s">
        <v>790</v>
      </c>
      <c r="F1131" s="7" t="s">
        <v>159</v>
      </c>
      <c r="G1131" s="7" t="s">
        <v>160</v>
      </c>
      <c r="H1131" s="7" t="s">
        <v>161</v>
      </c>
      <c r="I1131" s="7" t="s">
        <v>162</v>
      </c>
      <c r="J1131" s="7" t="s">
        <v>185</v>
      </c>
      <c r="K1131" s="7" t="s">
        <v>186</v>
      </c>
      <c r="L1131" s="7" t="s">
        <v>187</v>
      </c>
      <c r="M1131" s="7" t="n">
        <v>2</v>
      </c>
      <c r="N1131" s="27" t="n">
        <v>3299</v>
      </c>
      <c r="O1131" s="28" t="n">
        <v>0</v>
      </c>
      <c r="P1131" s="27" t="n">
        <v>6598</v>
      </c>
      <c r="Q1131" s="27" t="n">
        <v>3800</v>
      </c>
      <c r="R1131" s="27" t="n">
        <v>2798</v>
      </c>
      <c r="S1131" s="7" t="s">
        <v>60</v>
      </c>
      <c r="T1131" s="7" t="str">
        <f aca="false">IF(O1131=0,"No discount",IF(O1131&lt;=0.2,"Up to 20%","Above 20%"))</f>
        <v>No discount</v>
      </c>
    </row>
    <row r="1132" customFormat="false" ht="15" hidden="false" customHeight="true" outlineLevel="0" collapsed="false">
      <c r="A1132" s="7" t="s">
        <v>1839</v>
      </c>
      <c r="B1132" s="26" t="n">
        <v>46001</v>
      </c>
      <c r="C1132" s="26" t="n">
        <v>46004</v>
      </c>
      <c r="D1132" s="7" t="s">
        <v>189</v>
      </c>
      <c r="E1132" s="7" t="s">
        <v>190</v>
      </c>
      <c r="F1132" s="7" t="s">
        <v>159</v>
      </c>
      <c r="G1132" s="7" t="s">
        <v>169</v>
      </c>
      <c r="H1132" s="7" t="s">
        <v>191</v>
      </c>
      <c r="I1132" s="7" t="s">
        <v>171</v>
      </c>
      <c r="J1132" s="7" t="s">
        <v>314</v>
      </c>
      <c r="K1132" s="7" t="s">
        <v>315</v>
      </c>
      <c r="L1132" s="7" t="s">
        <v>316</v>
      </c>
      <c r="M1132" s="7" t="n">
        <v>3</v>
      </c>
      <c r="N1132" s="27" t="n">
        <v>1299</v>
      </c>
      <c r="O1132" s="28" t="n">
        <v>0.1</v>
      </c>
      <c r="P1132" s="27" t="n">
        <v>3507</v>
      </c>
      <c r="Q1132" s="27" t="n">
        <v>2100</v>
      </c>
      <c r="R1132" s="27" t="n">
        <v>1407</v>
      </c>
      <c r="S1132" s="7" t="s">
        <v>60</v>
      </c>
      <c r="T1132" s="7" t="str">
        <f aca="false">IF(O1132=0,"No discount",IF(O1132&lt;=0.2,"Up to 20%","Above 20%"))</f>
        <v>Up to 20%</v>
      </c>
    </row>
    <row r="1133" customFormat="false" ht="15" hidden="false" customHeight="true" outlineLevel="0" collapsed="false">
      <c r="A1133" s="7" t="s">
        <v>1840</v>
      </c>
      <c r="B1133" s="26" t="n">
        <v>46001</v>
      </c>
      <c r="C1133" s="26" t="n">
        <v>46006</v>
      </c>
      <c r="D1133" s="7" t="s">
        <v>1006</v>
      </c>
      <c r="E1133" s="7" t="s">
        <v>1007</v>
      </c>
      <c r="F1133" s="7" t="s">
        <v>159</v>
      </c>
      <c r="G1133" s="7" t="s">
        <v>160</v>
      </c>
      <c r="H1133" s="7" t="s">
        <v>269</v>
      </c>
      <c r="I1133" s="7" t="s">
        <v>171</v>
      </c>
      <c r="J1133" s="7" t="s">
        <v>304</v>
      </c>
      <c r="K1133" s="7" t="s">
        <v>305</v>
      </c>
      <c r="L1133" s="7" t="s">
        <v>306</v>
      </c>
      <c r="M1133" s="7" t="n">
        <v>4</v>
      </c>
      <c r="N1133" s="27" t="n">
        <v>2999</v>
      </c>
      <c r="O1133" s="28" t="n">
        <v>0.2</v>
      </c>
      <c r="P1133" s="27" t="n">
        <v>9597</v>
      </c>
      <c r="Q1133" s="27" t="n">
        <v>8000</v>
      </c>
      <c r="R1133" s="27" t="n">
        <v>1597</v>
      </c>
      <c r="S1133" s="7" t="s">
        <v>60</v>
      </c>
      <c r="T1133" s="7" t="str">
        <f aca="false">IF(O1133=0,"No discount",IF(O1133&lt;=0.2,"Up to 20%","Above 20%"))</f>
        <v>Up to 20%</v>
      </c>
    </row>
    <row r="1134" customFormat="false" ht="15" hidden="false" customHeight="true" outlineLevel="0" collapsed="false">
      <c r="A1134" s="7" t="s">
        <v>1841</v>
      </c>
      <c r="B1134" s="26" t="n">
        <v>46001</v>
      </c>
      <c r="C1134" s="26" t="n">
        <v>46008</v>
      </c>
      <c r="D1134" s="7" t="s">
        <v>866</v>
      </c>
      <c r="E1134" s="7" t="s">
        <v>867</v>
      </c>
      <c r="F1134" s="7" t="s">
        <v>159</v>
      </c>
      <c r="G1134" s="7" t="s">
        <v>169</v>
      </c>
      <c r="H1134" s="7" t="s">
        <v>170</v>
      </c>
      <c r="I1134" s="7" t="s">
        <v>199</v>
      </c>
      <c r="J1134" s="7" t="s">
        <v>200</v>
      </c>
      <c r="K1134" s="7" t="s">
        <v>201</v>
      </c>
      <c r="L1134" s="7" t="s">
        <v>202</v>
      </c>
      <c r="M1134" s="7" t="n">
        <v>1</v>
      </c>
      <c r="N1134" s="27" t="n">
        <v>399</v>
      </c>
      <c r="O1134" s="28" t="n">
        <v>0.15</v>
      </c>
      <c r="P1134" s="27" t="n">
        <v>339</v>
      </c>
      <c r="Q1134" s="27" t="n">
        <v>160</v>
      </c>
      <c r="R1134" s="27" t="n">
        <v>179</v>
      </c>
      <c r="S1134" s="7" t="s">
        <v>60</v>
      </c>
      <c r="T1134" s="7" t="str">
        <f aca="false">IF(O1134=0,"No discount",IF(O1134&lt;=0.2,"Up to 20%","Above 20%"))</f>
        <v>Up to 20%</v>
      </c>
    </row>
    <row r="1135" customFormat="false" ht="15" hidden="false" customHeight="true" outlineLevel="0" collapsed="false">
      <c r="A1135" s="7" t="s">
        <v>1842</v>
      </c>
      <c r="B1135" s="26" t="n">
        <v>46002</v>
      </c>
      <c r="C1135" s="26" t="n">
        <v>46009</v>
      </c>
      <c r="D1135" s="7" t="s">
        <v>796</v>
      </c>
      <c r="E1135" s="7" t="s">
        <v>797</v>
      </c>
      <c r="F1135" s="7" t="s">
        <v>219</v>
      </c>
      <c r="G1135" s="7" t="s">
        <v>169</v>
      </c>
      <c r="H1135" s="7" t="s">
        <v>170</v>
      </c>
      <c r="I1135" s="7" t="s">
        <v>192</v>
      </c>
      <c r="J1135" s="7" t="s">
        <v>502</v>
      </c>
      <c r="K1135" s="7" t="s">
        <v>526</v>
      </c>
      <c r="L1135" s="7" t="s">
        <v>527</v>
      </c>
      <c r="M1135" s="7" t="n">
        <v>4</v>
      </c>
      <c r="N1135" s="27" t="n">
        <v>6499</v>
      </c>
      <c r="O1135" s="28" t="n">
        <v>0.1</v>
      </c>
      <c r="P1135" s="27" t="n">
        <v>23396</v>
      </c>
      <c r="Q1135" s="27" t="n">
        <v>20000</v>
      </c>
      <c r="R1135" s="27" t="n">
        <v>3396</v>
      </c>
      <c r="S1135" s="7" t="s">
        <v>47</v>
      </c>
      <c r="T1135" s="7" t="str">
        <f aca="false">IF(O1135=0,"No discount",IF(O1135&lt;=0.2,"Up to 20%","Above 20%"))</f>
        <v>Up to 20%</v>
      </c>
    </row>
    <row r="1136" customFormat="false" ht="15" hidden="false" customHeight="true" outlineLevel="0" collapsed="false">
      <c r="A1136" s="7" t="s">
        <v>1843</v>
      </c>
      <c r="B1136" s="26" t="n">
        <v>46002</v>
      </c>
      <c r="C1136" s="26" t="n">
        <v>46003</v>
      </c>
      <c r="D1136" s="7" t="s">
        <v>462</v>
      </c>
      <c r="E1136" s="7" t="s">
        <v>463</v>
      </c>
      <c r="F1136" s="7" t="s">
        <v>159</v>
      </c>
      <c r="G1136" s="7" t="s">
        <v>169</v>
      </c>
      <c r="H1136" s="7" t="s">
        <v>191</v>
      </c>
      <c r="I1136" s="7" t="s">
        <v>208</v>
      </c>
      <c r="J1136" s="7" t="s">
        <v>232</v>
      </c>
      <c r="K1136" s="7" t="s">
        <v>233</v>
      </c>
      <c r="L1136" s="7" t="s">
        <v>234</v>
      </c>
      <c r="M1136" s="7" t="n">
        <v>1</v>
      </c>
      <c r="N1136" s="27" t="n">
        <v>7999</v>
      </c>
      <c r="O1136" s="28" t="n">
        <v>0.1</v>
      </c>
      <c r="P1136" s="27" t="n">
        <v>7199</v>
      </c>
      <c r="Q1136" s="27" t="n">
        <v>5600</v>
      </c>
      <c r="R1136" s="27" t="n">
        <v>1599</v>
      </c>
      <c r="S1136" s="7" t="s">
        <v>60</v>
      </c>
      <c r="T1136" s="7" t="str">
        <f aca="false">IF(O1136=0,"No discount",IF(O1136&lt;=0.2,"Up to 20%","Above 20%"))</f>
        <v>Up to 20%</v>
      </c>
    </row>
    <row r="1137" customFormat="false" ht="15" hidden="false" customHeight="true" outlineLevel="0" collapsed="false">
      <c r="A1137" s="7" t="s">
        <v>1844</v>
      </c>
      <c r="B1137" s="26" t="n">
        <v>46002</v>
      </c>
      <c r="C1137" s="26" t="n">
        <v>46004</v>
      </c>
      <c r="D1137" s="7" t="s">
        <v>496</v>
      </c>
      <c r="E1137" s="7" t="s">
        <v>497</v>
      </c>
      <c r="F1137" s="7" t="s">
        <v>178</v>
      </c>
      <c r="G1137" s="7" t="s">
        <v>169</v>
      </c>
      <c r="H1137" s="7" t="s">
        <v>179</v>
      </c>
      <c r="I1137" s="7" t="s">
        <v>171</v>
      </c>
      <c r="J1137" s="7" t="s">
        <v>172</v>
      </c>
      <c r="K1137" s="7" t="s">
        <v>173</v>
      </c>
      <c r="L1137" s="7" t="s">
        <v>174</v>
      </c>
      <c r="M1137" s="7" t="n">
        <v>1</v>
      </c>
      <c r="N1137" s="27" t="n">
        <v>699</v>
      </c>
      <c r="O1137" s="28" t="n">
        <v>0.2</v>
      </c>
      <c r="P1137" s="27" t="n">
        <v>559</v>
      </c>
      <c r="Q1137" s="27" t="n">
        <v>320</v>
      </c>
      <c r="R1137" s="27" t="n">
        <v>239</v>
      </c>
      <c r="S1137" s="7" t="s">
        <v>60</v>
      </c>
      <c r="T1137" s="7" t="str">
        <f aca="false">IF(O1137=0,"No discount",IF(O1137&lt;=0.2,"Up to 20%","Above 20%"))</f>
        <v>Up to 20%</v>
      </c>
    </row>
    <row r="1138" customFormat="false" ht="15" hidden="false" customHeight="true" outlineLevel="0" collapsed="false">
      <c r="A1138" s="7" t="s">
        <v>1845</v>
      </c>
      <c r="B1138" s="26" t="n">
        <v>46003</v>
      </c>
      <c r="C1138" s="26" t="n">
        <v>46004</v>
      </c>
      <c r="D1138" s="7" t="s">
        <v>416</v>
      </c>
      <c r="E1138" s="7" t="s">
        <v>417</v>
      </c>
      <c r="F1138" s="7" t="s">
        <v>159</v>
      </c>
      <c r="G1138" s="7" t="s">
        <v>160</v>
      </c>
      <c r="H1138" s="7" t="s">
        <v>269</v>
      </c>
      <c r="I1138" s="7" t="s">
        <v>199</v>
      </c>
      <c r="J1138" s="7" t="s">
        <v>223</v>
      </c>
      <c r="K1138" s="7" t="s">
        <v>246</v>
      </c>
      <c r="L1138" s="7" t="s">
        <v>247</v>
      </c>
      <c r="M1138" s="7" t="n">
        <v>1</v>
      </c>
      <c r="N1138" s="27" t="n">
        <v>599</v>
      </c>
      <c r="O1138" s="28" t="n">
        <v>0.1</v>
      </c>
      <c r="P1138" s="27" t="n">
        <v>539</v>
      </c>
      <c r="Q1138" s="27" t="n">
        <v>270</v>
      </c>
      <c r="R1138" s="27" t="n">
        <v>269</v>
      </c>
      <c r="S1138" s="7" t="s">
        <v>60</v>
      </c>
      <c r="T1138" s="7" t="str">
        <f aca="false">IF(O1138=0,"No discount",IF(O1138&lt;=0.2,"Up to 20%","Above 20%"))</f>
        <v>Up to 20%</v>
      </c>
    </row>
    <row r="1139" customFormat="false" ht="15" hidden="false" customHeight="true" outlineLevel="0" collapsed="false">
      <c r="A1139" s="7" t="s">
        <v>1846</v>
      </c>
      <c r="B1139" s="26" t="n">
        <v>46003</v>
      </c>
      <c r="C1139" s="26" t="n">
        <v>46007</v>
      </c>
      <c r="D1139" s="7" t="s">
        <v>896</v>
      </c>
      <c r="E1139" s="7" t="s">
        <v>897</v>
      </c>
      <c r="F1139" s="7" t="s">
        <v>159</v>
      </c>
      <c r="G1139" s="7" t="s">
        <v>160</v>
      </c>
      <c r="H1139" s="7" t="s">
        <v>269</v>
      </c>
      <c r="I1139" s="7" t="s">
        <v>199</v>
      </c>
      <c r="J1139" s="7" t="s">
        <v>292</v>
      </c>
      <c r="K1139" s="7" t="s">
        <v>293</v>
      </c>
      <c r="L1139" s="7" t="s">
        <v>294</v>
      </c>
      <c r="M1139" s="7" t="n">
        <v>1</v>
      </c>
      <c r="N1139" s="27" t="n">
        <v>1599</v>
      </c>
      <c r="O1139" s="28" t="n">
        <v>0</v>
      </c>
      <c r="P1139" s="27" t="n">
        <v>1599</v>
      </c>
      <c r="Q1139" s="27" t="n">
        <v>750</v>
      </c>
      <c r="R1139" s="27" t="n">
        <v>849</v>
      </c>
      <c r="S1139" s="7" t="s">
        <v>60</v>
      </c>
      <c r="T1139" s="7" t="str">
        <f aca="false">IF(O1139=0,"No discount",IF(O1139&lt;=0.2,"Up to 20%","Above 20%"))</f>
        <v>No discount</v>
      </c>
    </row>
    <row r="1140" customFormat="false" ht="15" hidden="false" customHeight="true" outlineLevel="0" collapsed="false">
      <c r="A1140" s="7" t="s">
        <v>1847</v>
      </c>
      <c r="B1140" s="26" t="n">
        <v>46003</v>
      </c>
      <c r="C1140" s="26" t="n">
        <v>46006</v>
      </c>
      <c r="D1140" s="7" t="s">
        <v>227</v>
      </c>
      <c r="E1140" s="7" t="s">
        <v>228</v>
      </c>
      <c r="F1140" s="7" t="s">
        <v>159</v>
      </c>
      <c r="G1140" s="7" t="s">
        <v>169</v>
      </c>
      <c r="H1140" s="7" t="s">
        <v>179</v>
      </c>
      <c r="I1140" s="7" t="s">
        <v>208</v>
      </c>
      <c r="J1140" s="7" t="s">
        <v>232</v>
      </c>
      <c r="K1140" s="7" t="s">
        <v>233</v>
      </c>
      <c r="L1140" s="7" t="s">
        <v>234</v>
      </c>
      <c r="M1140" s="7" t="n">
        <v>1</v>
      </c>
      <c r="N1140" s="27" t="n">
        <v>7999</v>
      </c>
      <c r="O1140" s="28" t="n">
        <v>0.1</v>
      </c>
      <c r="P1140" s="27" t="n">
        <v>7199</v>
      </c>
      <c r="Q1140" s="27" t="n">
        <v>5600</v>
      </c>
      <c r="R1140" s="27" t="n">
        <v>1599</v>
      </c>
      <c r="S1140" s="7" t="s">
        <v>60</v>
      </c>
      <c r="T1140" s="7" t="str">
        <f aca="false">IF(O1140=0,"No discount",IF(O1140&lt;=0.2,"Up to 20%","Above 20%"))</f>
        <v>Up to 20%</v>
      </c>
    </row>
    <row r="1141" customFormat="false" ht="15" hidden="false" customHeight="true" outlineLevel="0" collapsed="false">
      <c r="A1141" s="7" t="s">
        <v>1848</v>
      </c>
      <c r="B1141" s="26" t="n">
        <v>46003</v>
      </c>
      <c r="C1141" s="26" t="n">
        <v>46005</v>
      </c>
      <c r="D1141" s="7" t="s">
        <v>597</v>
      </c>
      <c r="E1141" s="7" t="s">
        <v>598</v>
      </c>
      <c r="F1141" s="7" t="s">
        <v>159</v>
      </c>
      <c r="G1141" s="7" t="s">
        <v>160</v>
      </c>
      <c r="H1141" s="7" t="s">
        <v>269</v>
      </c>
      <c r="I1141" s="7" t="s">
        <v>208</v>
      </c>
      <c r="J1141" s="7" t="s">
        <v>232</v>
      </c>
      <c r="K1141" s="7" t="s">
        <v>671</v>
      </c>
      <c r="L1141" s="7" t="s">
        <v>672</v>
      </c>
      <c r="M1141" s="7" t="n">
        <v>1</v>
      </c>
      <c r="N1141" s="27" t="n">
        <v>3299</v>
      </c>
      <c r="O1141" s="28" t="n">
        <v>0.15</v>
      </c>
      <c r="P1141" s="27" t="n">
        <v>2804</v>
      </c>
      <c r="Q1141" s="27" t="n">
        <v>2100</v>
      </c>
      <c r="R1141" s="27" t="n">
        <v>704</v>
      </c>
      <c r="S1141" s="7" t="s">
        <v>60</v>
      </c>
      <c r="T1141" s="7" t="str">
        <f aca="false">IF(O1141=0,"No discount",IF(O1141&lt;=0.2,"Up to 20%","Above 20%"))</f>
        <v>Up to 20%</v>
      </c>
    </row>
    <row r="1142" customFormat="false" ht="15" hidden="false" customHeight="true" outlineLevel="0" collapsed="false">
      <c r="A1142" s="7" t="s">
        <v>1849</v>
      </c>
      <c r="B1142" s="26" t="n">
        <v>46005</v>
      </c>
      <c r="C1142" s="26" t="n">
        <v>46009</v>
      </c>
      <c r="D1142" s="7" t="s">
        <v>560</v>
      </c>
      <c r="E1142" s="7" t="s">
        <v>561</v>
      </c>
      <c r="F1142" s="7" t="s">
        <v>219</v>
      </c>
      <c r="G1142" s="7" t="s">
        <v>160</v>
      </c>
      <c r="H1142" s="7" t="s">
        <v>269</v>
      </c>
      <c r="I1142" s="7" t="s">
        <v>192</v>
      </c>
      <c r="J1142" s="7" t="s">
        <v>502</v>
      </c>
      <c r="K1142" s="7" t="s">
        <v>526</v>
      </c>
      <c r="L1142" s="7" t="s">
        <v>527</v>
      </c>
      <c r="M1142" s="7" t="n">
        <v>3</v>
      </c>
      <c r="N1142" s="27" t="n">
        <v>6499</v>
      </c>
      <c r="O1142" s="28" t="n">
        <v>0.2</v>
      </c>
      <c r="P1142" s="27" t="n">
        <v>15598</v>
      </c>
      <c r="Q1142" s="27" t="n">
        <v>15000</v>
      </c>
      <c r="R1142" s="27" t="n">
        <v>598</v>
      </c>
      <c r="S1142" s="7" t="s">
        <v>60</v>
      </c>
      <c r="T1142" s="7" t="str">
        <f aca="false">IF(O1142=0,"No discount",IF(O1142&lt;=0.2,"Up to 20%","Above 20%"))</f>
        <v>Up to 20%</v>
      </c>
    </row>
    <row r="1143" customFormat="false" ht="15" hidden="false" customHeight="true" outlineLevel="0" collapsed="false">
      <c r="A1143" s="7" t="s">
        <v>1850</v>
      </c>
      <c r="B1143" s="26" t="n">
        <v>46005</v>
      </c>
      <c r="C1143" s="26" t="n">
        <v>46006</v>
      </c>
      <c r="D1143" s="7" t="s">
        <v>757</v>
      </c>
      <c r="E1143" s="7" t="s">
        <v>758</v>
      </c>
      <c r="F1143" s="7" t="s">
        <v>159</v>
      </c>
      <c r="G1143" s="7" t="s">
        <v>160</v>
      </c>
      <c r="H1143" s="7" t="s">
        <v>161</v>
      </c>
      <c r="I1143" s="7" t="s">
        <v>199</v>
      </c>
      <c r="J1143" s="7" t="s">
        <v>223</v>
      </c>
      <c r="K1143" s="7" t="s">
        <v>246</v>
      </c>
      <c r="L1143" s="7" t="s">
        <v>247</v>
      </c>
      <c r="M1143" s="7" t="n">
        <v>1</v>
      </c>
      <c r="N1143" s="27" t="n">
        <v>599</v>
      </c>
      <c r="O1143" s="28" t="n">
        <v>0</v>
      </c>
      <c r="P1143" s="27" t="n">
        <v>599</v>
      </c>
      <c r="Q1143" s="27" t="n">
        <v>270</v>
      </c>
      <c r="R1143" s="27" t="n">
        <v>329</v>
      </c>
      <c r="S1143" s="7" t="s">
        <v>60</v>
      </c>
      <c r="T1143" s="7" t="str">
        <f aca="false">IF(O1143=0,"No discount",IF(O1143&lt;=0.2,"Up to 20%","Above 20%"))</f>
        <v>No discount</v>
      </c>
    </row>
    <row r="1144" customFormat="false" ht="15" hidden="false" customHeight="true" outlineLevel="0" collapsed="false">
      <c r="A1144" s="7" t="s">
        <v>1851</v>
      </c>
      <c r="B1144" s="26" t="n">
        <v>46005</v>
      </c>
      <c r="C1144" s="26" t="n">
        <v>46007</v>
      </c>
      <c r="D1144" s="7" t="s">
        <v>903</v>
      </c>
      <c r="E1144" s="7" t="s">
        <v>904</v>
      </c>
      <c r="F1144" s="7" t="s">
        <v>219</v>
      </c>
      <c r="G1144" s="7" t="s">
        <v>206</v>
      </c>
      <c r="H1144" s="7" t="s">
        <v>207</v>
      </c>
      <c r="I1144" s="7" t="s">
        <v>171</v>
      </c>
      <c r="J1144" s="7" t="s">
        <v>172</v>
      </c>
      <c r="K1144" s="7" t="s">
        <v>173</v>
      </c>
      <c r="L1144" s="7" t="s">
        <v>174</v>
      </c>
      <c r="M1144" s="7" t="n">
        <v>1</v>
      </c>
      <c r="N1144" s="27" t="n">
        <v>699</v>
      </c>
      <c r="O1144" s="28" t="n">
        <v>0</v>
      </c>
      <c r="P1144" s="27" t="n">
        <v>699</v>
      </c>
      <c r="Q1144" s="27" t="n">
        <v>320</v>
      </c>
      <c r="R1144" s="27" t="n">
        <v>379</v>
      </c>
      <c r="S1144" s="7" t="s">
        <v>60</v>
      </c>
      <c r="T1144" s="7" t="str">
        <f aca="false">IF(O1144=0,"No discount",IF(O1144&lt;=0.2,"Up to 20%","Above 20%"))</f>
        <v>No discount</v>
      </c>
    </row>
    <row r="1145" customFormat="false" ht="15" hidden="false" customHeight="true" outlineLevel="0" collapsed="false">
      <c r="A1145" s="7" t="s">
        <v>1852</v>
      </c>
      <c r="B1145" s="26" t="n">
        <v>46005</v>
      </c>
      <c r="C1145" s="26" t="n">
        <v>46006</v>
      </c>
      <c r="D1145" s="7" t="s">
        <v>345</v>
      </c>
      <c r="E1145" s="7" t="s">
        <v>346</v>
      </c>
      <c r="F1145" s="7" t="s">
        <v>159</v>
      </c>
      <c r="G1145" s="7" t="s">
        <v>160</v>
      </c>
      <c r="H1145" s="7" t="s">
        <v>161</v>
      </c>
      <c r="I1145" s="7" t="s">
        <v>171</v>
      </c>
      <c r="J1145" s="7" t="s">
        <v>172</v>
      </c>
      <c r="K1145" s="7" t="s">
        <v>173</v>
      </c>
      <c r="L1145" s="7" t="s">
        <v>174</v>
      </c>
      <c r="M1145" s="7" t="n">
        <v>1</v>
      </c>
      <c r="N1145" s="27" t="n">
        <v>699</v>
      </c>
      <c r="O1145" s="28" t="n">
        <v>0.2</v>
      </c>
      <c r="P1145" s="27" t="n">
        <v>559</v>
      </c>
      <c r="Q1145" s="27" t="n">
        <v>320</v>
      </c>
      <c r="R1145" s="27" t="n">
        <v>239</v>
      </c>
      <c r="S1145" s="7" t="s">
        <v>60</v>
      </c>
      <c r="T1145" s="7" t="str">
        <f aca="false">IF(O1145=0,"No discount",IF(O1145&lt;=0.2,"Up to 20%","Above 20%"))</f>
        <v>Up to 20%</v>
      </c>
    </row>
    <row r="1146" customFormat="false" ht="15" hidden="false" customHeight="true" outlineLevel="0" collapsed="false">
      <c r="A1146" s="7" t="s">
        <v>1853</v>
      </c>
      <c r="B1146" s="26" t="n">
        <v>46005</v>
      </c>
      <c r="C1146" s="26" t="n">
        <v>46006</v>
      </c>
      <c r="D1146" s="7" t="s">
        <v>1124</v>
      </c>
      <c r="E1146" s="7" t="s">
        <v>1125</v>
      </c>
      <c r="F1146" s="7" t="s">
        <v>159</v>
      </c>
      <c r="G1146" s="7" t="s">
        <v>169</v>
      </c>
      <c r="H1146" s="7" t="s">
        <v>191</v>
      </c>
      <c r="I1146" s="7" t="s">
        <v>192</v>
      </c>
      <c r="J1146" s="7" t="s">
        <v>502</v>
      </c>
      <c r="K1146" s="7" t="s">
        <v>503</v>
      </c>
      <c r="L1146" s="7" t="s">
        <v>504</v>
      </c>
      <c r="M1146" s="7" t="n">
        <v>1</v>
      </c>
      <c r="N1146" s="27" t="n">
        <v>3499</v>
      </c>
      <c r="O1146" s="28" t="n">
        <v>0.3</v>
      </c>
      <c r="P1146" s="27" t="n">
        <v>2449</v>
      </c>
      <c r="Q1146" s="27" t="n">
        <v>2500</v>
      </c>
      <c r="R1146" s="27" t="n">
        <v>-51</v>
      </c>
      <c r="S1146" s="7" t="s">
        <v>60</v>
      </c>
      <c r="T1146" s="7" t="str">
        <f aca="false">IF(O1146=0,"No discount",IF(O1146&lt;=0.2,"Up to 20%","Above 20%"))</f>
        <v>Above 20%</v>
      </c>
    </row>
    <row r="1147" customFormat="false" ht="15" hidden="false" customHeight="true" outlineLevel="0" collapsed="false">
      <c r="A1147" s="7" t="s">
        <v>1854</v>
      </c>
      <c r="B1147" s="26" t="n">
        <v>46006</v>
      </c>
      <c r="C1147" s="26" t="n">
        <v>46012</v>
      </c>
      <c r="D1147" s="7" t="s">
        <v>729</v>
      </c>
      <c r="E1147" s="7" t="s">
        <v>730</v>
      </c>
      <c r="F1147" s="7" t="s">
        <v>159</v>
      </c>
      <c r="G1147" s="7" t="s">
        <v>160</v>
      </c>
      <c r="H1147" s="7" t="s">
        <v>269</v>
      </c>
      <c r="I1147" s="7" t="s">
        <v>282</v>
      </c>
      <c r="J1147" s="7" t="s">
        <v>283</v>
      </c>
      <c r="K1147" s="7" t="s">
        <v>284</v>
      </c>
      <c r="L1147" s="7" t="s">
        <v>285</v>
      </c>
      <c r="M1147" s="7" t="n">
        <v>1</v>
      </c>
      <c r="N1147" s="27" t="n">
        <v>199</v>
      </c>
      <c r="O1147" s="28" t="n">
        <v>0</v>
      </c>
      <c r="P1147" s="27" t="n">
        <v>199</v>
      </c>
      <c r="Q1147" s="27" t="n">
        <v>90</v>
      </c>
      <c r="R1147" s="27" t="n">
        <v>109</v>
      </c>
      <c r="S1147" s="7" t="s">
        <v>60</v>
      </c>
      <c r="T1147" s="7" t="str">
        <f aca="false">IF(O1147=0,"No discount",IF(O1147&lt;=0.2,"Up to 20%","Above 20%"))</f>
        <v>No discount</v>
      </c>
    </row>
    <row r="1148" customFormat="false" ht="15" hidden="false" customHeight="true" outlineLevel="0" collapsed="false">
      <c r="A1148" s="7" t="s">
        <v>1855</v>
      </c>
      <c r="B1148" s="26" t="n">
        <v>46006</v>
      </c>
      <c r="C1148" s="26" t="n">
        <v>46011</v>
      </c>
      <c r="D1148" s="7" t="s">
        <v>896</v>
      </c>
      <c r="E1148" s="7" t="s">
        <v>897</v>
      </c>
      <c r="F1148" s="7" t="s">
        <v>159</v>
      </c>
      <c r="G1148" s="7" t="s">
        <v>160</v>
      </c>
      <c r="H1148" s="7" t="s">
        <v>269</v>
      </c>
      <c r="I1148" s="7" t="s">
        <v>282</v>
      </c>
      <c r="J1148" s="7" t="s">
        <v>283</v>
      </c>
      <c r="K1148" s="7" t="s">
        <v>284</v>
      </c>
      <c r="L1148" s="7" t="s">
        <v>285</v>
      </c>
      <c r="M1148" s="7" t="n">
        <v>2</v>
      </c>
      <c r="N1148" s="27" t="n">
        <v>199</v>
      </c>
      <c r="O1148" s="28" t="n">
        <v>0</v>
      </c>
      <c r="P1148" s="27" t="n">
        <v>398</v>
      </c>
      <c r="Q1148" s="27" t="n">
        <v>180</v>
      </c>
      <c r="R1148" s="27" t="n">
        <v>218</v>
      </c>
      <c r="S1148" s="7" t="s">
        <v>60</v>
      </c>
      <c r="T1148" s="7" t="str">
        <f aca="false">IF(O1148=0,"No discount",IF(O1148&lt;=0.2,"Up to 20%","Above 20%"))</f>
        <v>No discount</v>
      </c>
    </row>
    <row r="1149" customFormat="false" ht="15" hidden="false" customHeight="true" outlineLevel="0" collapsed="false">
      <c r="A1149" s="7" t="s">
        <v>1856</v>
      </c>
      <c r="B1149" s="26" t="n">
        <v>46006</v>
      </c>
      <c r="C1149" s="26" t="n">
        <v>46009</v>
      </c>
      <c r="D1149" s="7" t="s">
        <v>1027</v>
      </c>
      <c r="E1149" s="7" t="s">
        <v>1028</v>
      </c>
      <c r="F1149" s="7" t="s">
        <v>159</v>
      </c>
      <c r="G1149" s="7" t="s">
        <v>169</v>
      </c>
      <c r="H1149" s="7" t="s">
        <v>170</v>
      </c>
      <c r="I1149" s="7" t="s">
        <v>192</v>
      </c>
      <c r="J1149" s="7" t="s">
        <v>213</v>
      </c>
      <c r="K1149" s="7" t="s">
        <v>214</v>
      </c>
      <c r="L1149" s="7" t="s">
        <v>215</v>
      </c>
      <c r="M1149" s="7" t="n">
        <v>1</v>
      </c>
      <c r="N1149" s="27" t="n">
        <v>5999</v>
      </c>
      <c r="O1149" s="28" t="n">
        <v>0.3</v>
      </c>
      <c r="P1149" s="27" t="n">
        <v>4199</v>
      </c>
      <c r="Q1149" s="27" t="n">
        <v>4600</v>
      </c>
      <c r="R1149" s="27" t="n">
        <v>-401</v>
      </c>
      <c r="S1149" s="7" t="s">
        <v>60</v>
      </c>
      <c r="T1149" s="7" t="str">
        <f aca="false">IF(O1149=0,"No discount",IF(O1149&lt;=0.2,"Up to 20%","Above 20%"))</f>
        <v>Above 20%</v>
      </c>
    </row>
    <row r="1150" customFormat="false" ht="15" hidden="false" customHeight="true" outlineLevel="0" collapsed="false">
      <c r="A1150" s="7" t="s">
        <v>1857</v>
      </c>
      <c r="B1150" s="26" t="n">
        <v>46006</v>
      </c>
      <c r="C1150" s="26" t="n">
        <v>46009</v>
      </c>
      <c r="D1150" s="7" t="s">
        <v>973</v>
      </c>
      <c r="E1150" s="7" t="s">
        <v>974</v>
      </c>
      <c r="F1150" s="7" t="s">
        <v>159</v>
      </c>
      <c r="G1150" s="7" t="s">
        <v>160</v>
      </c>
      <c r="H1150" s="7" t="s">
        <v>269</v>
      </c>
      <c r="I1150" s="7" t="s">
        <v>192</v>
      </c>
      <c r="J1150" s="7" t="s">
        <v>502</v>
      </c>
      <c r="K1150" s="7" t="s">
        <v>503</v>
      </c>
      <c r="L1150" s="7" t="s">
        <v>504</v>
      </c>
      <c r="M1150" s="7" t="n">
        <v>1</v>
      </c>
      <c r="N1150" s="27" t="n">
        <v>3499</v>
      </c>
      <c r="O1150" s="28" t="n">
        <v>0.1</v>
      </c>
      <c r="P1150" s="27" t="n">
        <v>3149</v>
      </c>
      <c r="Q1150" s="27" t="n">
        <v>2500</v>
      </c>
      <c r="R1150" s="27" t="n">
        <v>649</v>
      </c>
      <c r="S1150" s="7" t="s">
        <v>60</v>
      </c>
      <c r="T1150" s="7" t="str">
        <f aca="false">IF(O1150=0,"No discount",IF(O1150&lt;=0.2,"Up to 20%","Above 20%"))</f>
        <v>Up to 20%</v>
      </c>
    </row>
    <row r="1151" customFormat="false" ht="15" hidden="false" customHeight="true" outlineLevel="0" collapsed="false">
      <c r="A1151" s="7" t="s">
        <v>1858</v>
      </c>
      <c r="B1151" s="26" t="n">
        <v>46007</v>
      </c>
      <c r="C1151" s="26" t="n">
        <v>46011</v>
      </c>
      <c r="D1151" s="7" t="s">
        <v>567</v>
      </c>
      <c r="E1151" s="7" t="s">
        <v>568</v>
      </c>
      <c r="F1151" s="7" t="s">
        <v>159</v>
      </c>
      <c r="G1151" s="7" t="s">
        <v>169</v>
      </c>
      <c r="H1151" s="7" t="s">
        <v>179</v>
      </c>
      <c r="I1151" s="7" t="s">
        <v>192</v>
      </c>
      <c r="J1151" s="7" t="s">
        <v>193</v>
      </c>
      <c r="K1151" s="7" t="s">
        <v>194</v>
      </c>
      <c r="L1151" s="7" t="s">
        <v>195</v>
      </c>
      <c r="M1151" s="7" t="n">
        <v>1</v>
      </c>
      <c r="N1151" s="27" t="n">
        <v>8999</v>
      </c>
      <c r="O1151" s="28" t="n">
        <v>0.2</v>
      </c>
      <c r="P1151" s="27" t="n">
        <v>7199</v>
      </c>
      <c r="Q1151" s="27" t="n">
        <v>6800</v>
      </c>
      <c r="R1151" s="27" t="n">
        <v>399</v>
      </c>
      <c r="S1151" s="7" t="s">
        <v>60</v>
      </c>
      <c r="T1151" s="7" t="str">
        <f aca="false">IF(O1151=0,"No discount",IF(O1151&lt;=0.2,"Up to 20%","Above 20%"))</f>
        <v>Up to 20%</v>
      </c>
    </row>
    <row r="1152" customFormat="false" ht="15" hidden="false" customHeight="true" outlineLevel="0" collapsed="false">
      <c r="A1152" s="7" t="s">
        <v>1859</v>
      </c>
      <c r="B1152" s="26" t="n">
        <v>46007</v>
      </c>
      <c r="C1152" s="26" t="n">
        <v>46009</v>
      </c>
      <c r="D1152" s="7" t="s">
        <v>462</v>
      </c>
      <c r="E1152" s="7" t="s">
        <v>463</v>
      </c>
      <c r="F1152" s="7" t="s">
        <v>159</v>
      </c>
      <c r="G1152" s="7" t="s">
        <v>169</v>
      </c>
      <c r="H1152" s="7" t="s">
        <v>191</v>
      </c>
      <c r="I1152" s="7" t="s">
        <v>171</v>
      </c>
      <c r="J1152" s="7" t="s">
        <v>172</v>
      </c>
      <c r="K1152" s="7" t="s">
        <v>173</v>
      </c>
      <c r="L1152" s="7" t="s">
        <v>174</v>
      </c>
      <c r="M1152" s="7" t="n">
        <v>1</v>
      </c>
      <c r="N1152" s="27" t="n">
        <v>699</v>
      </c>
      <c r="O1152" s="28" t="n">
        <v>0.05</v>
      </c>
      <c r="P1152" s="27" t="n">
        <v>664</v>
      </c>
      <c r="Q1152" s="27" t="n">
        <v>320</v>
      </c>
      <c r="R1152" s="27" t="n">
        <v>344</v>
      </c>
      <c r="S1152" s="7" t="s">
        <v>60</v>
      </c>
      <c r="T1152" s="7" t="str">
        <f aca="false">IF(O1152=0,"No discount",IF(O1152&lt;=0.2,"Up to 20%","Above 20%"))</f>
        <v>Up to 20%</v>
      </c>
    </row>
    <row r="1153" customFormat="false" ht="15" hidden="false" customHeight="true" outlineLevel="0" collapsed="false">
      <c r="A1153" s="7" t="s">
        <v>1860</v>
      </c>
      <c r="B1153" s="26" t="n">
        <v>46008</v>
      </c>
      <c r="C1153" s="26" t="n">
        <v>46014</v>
      </c>
      <c r="D1153" s="7" t="s">
        <v>375</v>
      </c>
      <c r="E1153" s="7" t="s">
        <v>376</v>
      </c>
      <c r="F1153" s="7" t="s">
        <v>159</v>
      </c>
      <c r="G1153" s="7" t="s">
        <v>160</v>
      </c>
      <c r="H1153" s="7" t="s">
        <v>269</v>
      </c>
      <c r="I1153" s="7" t="s">
        <v>192</v>
      </c>
      <c r="J1153" s="7" t="s">
        <v>213</v>
      </c>
      <c r="K1153" s="7" t="s">
        <v>214</v>
      </c>
      <c r="L1153" s="7" t="s">
        <v>215</v>
      </c>
      <c r="M1153" s="7" t="n">
        <v>1</v>
      </c>
      <c r="N1153" s="27" t="n">
        <v>5999</v>
      </c>
      <c r="O1153" s="28" t="n">
        <v>0</v>
      </c>
      <c r="P1153" s="27" t="n">
        <v>5999</v>
      </c>
      <c r="Q1153" s="27" t="n">
        <v>4600</v>
      </c>
      <c r="R1153" s="27" t="n">
        <v>1399</v>
      </c>
      <c r="S1153" s="7" t="s">
        <v>60</v>
      </c>
      <c r="T1153" s="7" t="str">
        <f aca="false">IF(O1153=0,"No discount",IF(O1153&lt;=0.2,"Up to 20%","Above 20%"))</f>
        <v>No discount</v>
      </c>
    </row>
    <row r="1154" customFormat="false" ht="15" hidden="false" customHeight="true" outlineLevel="0" collapsed="false">
      <c r="A1154" s="7" t="s">
        <v>1861</v>
      </c>
      <c r="B1154" s="26" t="n">
        <v>46008</v>
      </c>
      <c r="C1154" s="26" t="n">
        <v>46014</v>
      </c>
      <c r="D1154" s="7" t="s">
        <v>197</v>
      </c>
      <c r="E1154" s="7" t="s">
        <v>198</v>
      </c>
      <c r="F1154" s="7" t="s">
        <v>178</v>
      </c>
      <c r="G1154" s="7" t="s">
        <v>169</v>
      </c>
      <c r="H1154" s="7" t="s">
        <v>191</v>
      </c>
      <c r="I1154" s="7" t="s">
        <v>192</v>
      </c>
      <c r="J1154" s="7" t="s">
        <v>213</v>
      </c>
      <c r="K1154" s="7" t="s">
        <v>264</v>
      </c>
      <c r="L1154" s="7" t="s">
        <v>265</v>
      </c>
      <c r="M1154" s="7" t="n">
        <v>2</v>
      </c>
      <c r="N1154" s="27" t="n">
        <v>2499</v>
      </c>
      <c r="O1154" s="28" t="n">
        <v>0.2</v>
      </c>
      <c r="P1154" s="27" t="n">
        <v>3998</v>
      </c>
      <c r="Q1154" s="27" t="n">
        <v>3400</v>
      </c>
      <c r="R1154" s="27" t="n">
        <v>598</v>
      </c>
      <c r="S1154" s="7" t="s">
        <v>60</v>
      </c>
      <c r="T1154" s="7" t="str">
        <f aca="false">IF(O1154=0,"No discount",IF(O1154&lt;=0.2,"Up to 20%","Above 20%"))</f>
        <v>Up to 20%</v>
      </c>
    </row>
    <row r="1155" customFormat="false" ht="15" hidden="false" customHeight="true" outlineLevel="0" collapsed="false">
      <c r="A1155" s="7" t="s">
        <v>1862</v>
      </c>
      <c r="B1155" s="26" t="n">
        <v>46008</v>
      </c>
      <c r="C1155" s="26" t="n">
        <v>46010</v>
      </c>
      <c r="D1155" s="7" t="s">
        <v>708</v>
      </c>
      <c r="E1155" s="7" t="s">
        <v>709</v>
      </c>
      <c r="F1155" s="7" t="s">
        <v>219</v>
      </c>
      <c r="G1155" s="7" t="s">
        <v>169</v>
      </c>
      <c r="H1155" s="7" t="s">
        <v>191</v>
      </c>
      <c r="I1155" s="7" t="s">
        <v>162</v>
      </c>
      <c r="J1155" s="7" t="s">
        <v>163</v>
      </c>
      <c r="K1155" s="7" t="s">
        <v>507</v>
      </c>
      <c r="L1155" s="7" t="s">
        <v>508</v>
      </c>
      <c r="M1155" s="7" t="n">
        <v>1</v>
      </c>
      <c r="N1155" s="27" t="n">
        <v>1199</v>
      </c>
      <c r="O1155" s="28" t="n">
        <v>0</v>
      </c>
      <c r="P1155" s="27" t="n">
        <v>1199</v>
      </c>
      <c r="Q1155" s="27" t="n">
        <v>600</v>
      </c>
      <c r="R1155" s="27" t="n">
        <v>599</v>
      </c>
      <c r="S1155" s="7" t="s">
        <v>60</v>
      </c>
      <c r="T1155" s="7" t="str">
        <f aca="false">IF(O1155=0,"No discount",IF(O1155&lt;=0.2,"Up to 20%","Above 20%"))</f>
        <v>No discount</v>
      </c>
    </row>
    <row r="1156" customFormat="false" ht="15" hidden="false" customHeight="true" outlineLevel="0" collapsed="false">
      <c r="A1156" s="7" t="s">
        <v>1863</v>
      </c>
      <c r="B1156" s="26" t="n">
        <v>46008</v>
      </c>
      <c r="C1156" s="26" t="n">
        <v>46012</v>
      </c>
      <c r="D1156" s="7" t="s">
        <v>659</v>
      </c>
      <c r="E1156" s="7" t="s">
        <v>660</v>
      </c>
      <c r="F1156" s="7" t="s">
        <v>159</v>
      </c>
      <c r="G1156" s="7" t="s">
        <v>160</v>
      </c>
      <c r="H1156" s="7" t="s">
        <v>161</v>
      </c>
      <c r="I1156" s="7" t="s">
        <v>282</v>
      </c>
      <c r="J1156" s="7" t="s">
        <v>387</v>
      </c>
      <c r="K1156" s="7" t="s">
        <v>547</v>
      </c>
      <c r="L1156" s="7" t="s">
        <v>548</v>
      </c>
      <c r="M1156" s="7" t="n">
        <v>5</v>
      </c>
      <c r="N1156" s="27" t="n">
        <v>249</v>
      </c>
      <c r="O1156" s="28" t="n">
        <v>0.05</v>
      </c>
      <c r="P1156" s="27" t="n">
        <v>1183</v>
      </c>
      <c r="Q1156" s="27" t="n">
        <v>600</v>
      </c>
      <c r="R1156" s="27" t="n">
        <v>583</v>
      </c>
      <c r="S1156" s="7" t="s">
        <v>60</v>
      </c>
      <c r="T1156" s="7" t="str">
        <f aca="false">IF(O1156=0,"No discount",IF(O1156&lt;=0.2,"Up to 20%","Above 20%"))</f>
        <v>Up to 20%</v>
      </c>
    </row>
    <row r="1157" customFormat="false" ht="15" hidden="false" customHeight="true" outlineLevel="0" collapsed="false">
      <c r="A1157" s="7" t="s">
        <v>1864</v>
      </c>
      <c r="B1157" s="26" t="n">
        <v>46008</v>
      </c>
      <c r="C1157" s="26" t="n">
        <v>46014</v>
      </c>
      <c r="D1157" s="7" t="s">
        <v>204</v>
      </c>
      <c r="E1157" s="7" t="s">
        <v>205</v>
      </c>
      <c r="F1157" s="7" t="s">
        <v>159</v>
      </c>
      <c r="G1157" s="7" t="s">
        <v>206</v>
      </c>
      <c r="H1157" s="7" t="s">
        <v>207</v>
      </c>
      <c r="I1157" s="7" t="s">
        <v>199</v>
      </c>
      <c r="J1157" s="7" t="s">
        <v>292</v>
      </c>
      <c r="K1157" s="7" t="s">
        <v>293</v>
      </c>
      <c r="L1157" s="7" t="s">
        <v>294</v>
      </c>
      <c r="M1157" s="7" t="n">
        <v>2</v>
      </c>
      <c r="N1157" s="27" t="n">
        <v>1599</v>
      </c>
      <c r="O1157" s="28" t="n">
        <v>0.3</v>
      </c>
      <c r="P1157" s="27" t="n">
        <v>2239</v>
      </c>
      <c r="Q1157" s="27" t="n">
        <v>1500</v>
      </c>
      <c r="R1157" s="27" t="n">
        <v>739</v>
      </c>
      <c r="S1157" s="7" t="s">
        <v>60</v>
      </c>
      <c r="T1157" s="7" t="str">
        <f aca="false">IF(O1157=0,"No discount",IF(O1157&lt;=0.2,"Up to 20%","Above 20%"))</f>
        <v>Above 20%</v>
      </c>
    </row>
    <row r="1158" customFormat="false" ht="15" hidden="false" customHeight="true" outlineLevel="0" collapsed="false">
      <c r="A1158" s="7" t="s">
        <v>1865</v>
      </c>
      <c r="B1158" s="26" t="n">
        <v>46008</v>
      </c>
      <c r="C1158" s="26" t="n">
        <v>46014</v>
      </c>
      <c r="D1158" s="7" t="s">
        <v>1093</v>
      </c>
      <c r="E1158" s="7" t="s">
        <v>1094</v>
      </c>
      <c r="F1158" s="7" t="s">
        <v>219</v>
      </c>
      <c r="G1158" s="7" t="s">
        <v>160</v>
      </c>
      <c r="H1158" s="7" t="s">
        <v>269</v>
      </c>
      <c r="I1158" s="7" t="s">
        <v>199</v>
      </c>
      <c r="J1158" s="7" t="s">
        <v>292</v>
      </c>
      <c r="K1158" s="7" t="s">
        <v>293</v>
      </c>
      <c r="L1158" s="7" t="s">
        <v>294</v>
      </c>
      <c r="M1158" s="7" t="n">
        <v>5</v>
      </c>
      <c r="N1158" s="27" t="n">
        <v>1599</v>
      </c>
      <c r="O1158" s="28" t="n">
        <v>0.1</v>
      </c>
      <c r="P1158" s="27" t="n">
        <v>7196</v>
      </c>
      <c r="Q1158" s="27" t="n">
        <v>3750</v>
      </c>
      <c r="R1158" s="27" t="n">
        <v>3446</v>
      </c>
      <c r="S1158" s="7" t="s">
        <v>60</v>
      </c>
      <c r="T1158" s="7" t="str">
        <f aca="false">IF(O1158=0,"No discount",IF(O1158&lt;=0.2,"Up to 20%","Above 20%"))</f>
        <v>Up to 20%</v>
      </c>
    </row>
    <row r="1159" customFormat="false" ht="15" hidden="false" customHeight="true" outlineLevel="0" collapsed="false">
      <c r="A1159" s="7" t="s">
        <v>1866</v>
      </c>
      <c r="B1159" s="26" t="n">
        <v>46009</v>
      </c>
      <c r="C1159" s="26" t="n">
        <v>46011</v>
      </c>
      <c r="D1159" s="7" t="s">
        <v>1867</v>
      </c>
      <c r="E1159" s="7" t="s">
        <v>1868</v>
      </c>
      <c r="F1159" s="7" t="s">
        <v>159</v>
      </c>
      <c r="G1159" s="7" t="s">
        <v>160</v>
      </c>
      <c r="H1159" s="7" t="s">
        <v>263</v>
      </c>
      <c r="I1159" s="7" t="s">
        <v>199</v>
      </c>
      <c r="J1159" s="7" t="s">
        <v>200</v>
      </c>
      <c r="K1159" s="7" t="s">
        <v>201</v>
      </c>
      <c r="L1159" s="7" t="s">
        <v>202</v>
      </c>
      <c r="M1159" s="7" t="n">
        <v>3</v>
      </c>
      <c r="N1159" s="27" t="n">
        <v>399</v>
      </c>
      <c r="O1159" s="28" t="n">
        <v>0</v>
      </c>
      <c r="P1159" s="27" t="n">
        <v>1197</v>
      </c>
      <c r="Q1159" s="27" t="n">
        <v>480</v>
      </c>
      <c r="R1159" s="27" t="n">
        <v>717</v>
      </c>
      <c r="S1159" s="7" t="s">
        <v>60</v>
      </c>
      <c r="T1159" s="7" t="str">
        <f aca="false">IF(O1159=0,"No discount",IF(O1159&lt;=0.2,"Up to 20%","Above 20%"))</f>
        <v>No discount</v>
      </c>
    </row>
    <row r="1160" customFormat="false" ht="15" hidden="false" customHeight="true" outlineLevel="0" collapsed="false">
      <c r="A1160" s="7" t="s">
        <v>1869</v>
      </c>
      <c r="B1160" s="26" t="n">
        <v>46009</v>
      </c>
      <c r="C1160" s="26" t="n">
        <v>46013</v>
      </c>
      <c r="D1160" s="7" t="s">
        <v>1003</v>
      </c>
      <c r="E1160" s="7" t="s">
        <v>1004</v>
      </c>
      <c r="F1160" s="7" t="s">
        <v>159</v>
      </c>
      <c r="G1160" s="7" t="s">
        <v>206</v>
      </c>
      <c r="H1160" s="7" t="s">
        <v>207</v>
      </c>
      <c r="I1160" s="7" t="s">
        <v>162</v>
      </c>
      <c r="J1160" s="7" t="s">
        <v>163</v>
      </c>
      <c r="K1160" s="7" t="s">
        <v>507</v>
      </c>
      <c r="L1160" s="7" t="s">
        <v>508</v>
      </c>
      <c r="M1160" s="7" t="n">
        <v>2</v>
      </c>
      <c r="N1160" s="27" t="n">
        <v>1199</v>
      </c>
      <c r="O1160" s="28" t="n">
        <v>0.1</v>
      </c>
      <c r="P1160" s="27" t="n">
        <v>2158</v>
      </c>
      <c r="Q1160" s="27" t="n">
        <v>1200</v>
      </c>
      <c r="R1160" s="27" t="n">
        <v>958</v>
      </c>
      <c r="S1160" s="7" t="s">
        <v>60</v>
      </c>
      <c r="T1160" s="7" t="str">
        <f aca="false">IF(O1160=0,"No discount",IF(O1160&lt;=0.2,"Up to 20%","Above 20%"))</f>
        <v>Up to 20%</v>
      </c>
    </row>
    <row r="1161" customFormat="false" ht="15" hidden="false" customHeight="true" outlineLevel="0" collapsed="false">
      <c r="A1161" s="7" t="s">
        <v>1870</v>
      </c>
      <c r="B1161" s="26" t="n">
        <v>46010</v>
      </c>
      <c r="C1161" s="26" t="n">
        <v>46014</v>
      </c>
      <c r="D1161" s="7" t="s">
        <v>993</v>
      </c>
      <c r="E1161" s="7" t="s">
        <v>994</v>
      </c>
      <c r="F1161" s="7" t="s">
        <v>219</v>
      </c>
      <c r="G1161" s="7" t="s">
        <v>160</v>
      </c>
      <c r="H1161" s="7" t="s">
        <v>263</v>
      </c>
      <c r="I1161" s="7" t="s">
        <v>208</v>
      </c>
      <c r="J1161" s="7" t="s">
        <v>232</v>
      </c>
      <c r="K1161" s="7" t="s">
        <v>233</v>
      </c>
      <c r="L1161" s="7" t="s">
        <v>234</v>
      </c>
      <c r="M1161" s="7" t="n">
        <v>2</v>
      </c>
      <c r="N1161" s="27" t="n">
        <v>7999</v>
      </c>
      <c r="O1161" s="28" t="n">
        <v>0.05</v>
      </c>
      <c r="P1161" s="27" t="n">
        <v>15198</v>
      </c>
      <c r="Q1161" s="27" t="n">
        <v>11200</v>
      </c>
      <c r="R1161" s="27" t="n">
        <v>3998</v>
      </c>
      <c r="S1161" s="7" t="s">
        <v>60</v>
      </c>
      <c r="T1161" s="7" t="str">
        <f aca="false">IF(O1161=0,"No discount",IF(O1161&lt;=0.2,"Up to 20%","Above 20%"))</f>
        <v>Up to 20%</v>
      </c>
    </row>
    <row r="1162" customFormat="false" ht="15" hidden="false" customHeight="true" outlineLevel="0" collapsed="false">
      <c r="A1162" s="7" t="s">
        <v>1871</v>
      </c>
      <c r="B1162" s="26" t="n">
        <v>46010</v>
      </c>
      <c r="C1162" s="26" t="n">
        <v>46017</v>
      </c>
      <c r="D1162" s="7" t="s">
        <v>943</v>
      </c>
      <c r="E1162" s="7" t="s">
        <v>944</v>
      </c>
      <c r="F1162" s="7" t="s">
        <v>159</v>
      </c>
      <c r="G1162" s="7" t="s">
        <v>160</v>
      </c>
      <c r="H1162" s="7" t="s">
        <v>269</v>
      </c>
      <c r="I1162" s="7" t="s">
        <v>199</v>
      </c>
      <c r="J1162" s="7" t="s">
        <v>223</v>
      </c>
      <c r="K1162" s="7" t="s">
        <v>224</v>
      </c>
      <c r="L1162" s="7" t="s">
        <v>225</v>
      </c>
      <c r="M1162" s="7" t="n">
        <v>5</v>
      </c>
      <c r="N1162" s="27" t="n">
        <v>899</v>
      </c>
      <c r="O1162" s="28" t="n">
        <v>0.1</v>
      </c>
      <c r="P1162" s="27" t="n">
        <v>4046</v>
      </c>
      <c r="Q1162" s="27" t="n">
        <v>1900</v>
      </c>
      <c r="R1162" s="27" t="n">
        <v>2146</v>
      </c>
      <c r="S1162" s="7" t="s">
        <v>60</v>
      </c>
      <c r="T1162" s="7" t="str">
        <f aca="false">IF(O1162=0,"No discount",IF(O1162&lt;=0.2,"Up to 20%","Above 20%"))</f>
        <v>Up to 20%</v>
      </c>
    </row>
    <row r="1163" customFormat="false" ht="15" hidden="false" customHeight="true" outlineLevel="0" collapsed="false">
      <c r="A1163" s="7" t="s">
        <v>1872</v>
      </c>
      <c r="B1163" s="26" t="n">
        <v>46010</v>
      </c>
      <c r="C1163" s="26" t="n">
        <v>46015</v>
      </c>
      <c r="D1163" s="7" t="s">
        <v>1073</v>
      </c>
      <c r="E1163" s="7" t="s">
        <v>1074</v>
      </c>
      <c r="F1163" s="7" t="s">
        <v>159</v>
      </c>
      <c r="G1163" s="7" t="s">
        <v>206</v>
      </c>
      <c r="H1163" s="7" t="s">
        <v>207</v>
      </c>
      <c r="I1163" s="7" t="s">
        <v>199</v>
      </c>
      <c r="J1163" s="7" t="s">
        <v>292</v>
      </c>
      <c r="K1163" s="7" t="s">
        <v>293</v>
      </c>
      <c r="L1163" s="7" t="s">
        <v>294</v>
      </c>
      <c r="M1163" s="7" t="n">
        <v>1</v>
      </c>
      <c r="N1163" s="27" t="n">
        <v>1599</v>
      </c>
      <c r="O1163" s="28" t="n">
        <v>0.1</v>
      </c>
      <c r="P1163" s="27" t="n">
        <v>1439</v>
      </c>
      <c r="Q1163" s="27" t="n">
        <v>750</v>
      </c>
      <c r="R1163" s="27" t="n">
        <v>689</v>
      </c>
      <c r="S1163" s="7" t="s">
        <v>60</v>
      </c>
      <c r="T1163" s="7" t="str">
        <f aca="false">IF(O1163=0,"No discount",IF(O1163&lt;=0.2,"Up to 20%","Above 20%"))</f>
        <v>Up to 20%</v>
      </c>
    </row>
    <row r="1164" customFormat="false" ht="15" hidden="false" customHeight="true" outlineLevel="0" collapsed="false">
      <c r="A1164" s="7" t="s">
        <v>1873</v>
      </c>
      <c r="B1164" s="26" t="n">
        <v>46011</v>
      </c>
      <c r="C1164" s="26" t="n">
        <v>46015</v>
      </c>
      <c r="D1164" s="7" t="s">
        <v>1076</v>
      </c>
      <c r="E1164" s="7" t="s">
        <v>1077</v>
      </c>
      <c r="F1164" s="7" t="s">
        <v>219</v>
      </c>
      <c r="G1164" s="7" t="s">
        <v>169</v>
      </c>
      <c r="H1164" s="7" t="s">
        <v>179</v>
      </c>
      <c r="I1164" s="7" t="s">
        <v>282</v>
      </c>
      <c r="J1164" s="7" t="s">
        <v>387</v>
      </c>
      <c r="K1164" s="7" t="s">
        <v>388</v>
      </c>
      <c r="L1164" s="7" t="s">
        <v>389</v>
      </c>
      <c r="M1164" s="7" t="n">
        <v>1</v>
      </c>
      <c r="N1164" s="27" t="n">
        <v>1299</v>
      </c>
      <c r="O1164" s="28" t="n">
        <v>0</v>
      </c>
      <c r="P1164" s="27" t="n">
        <v>1299</v>
      </c>
      <c r="Q1164" s="27" t="n">
        <v>780</v>
      </c>
      <c r="R1164" s="27" t="n">
        <v>519</v>
      </c>
      <c r="S1164" s="7" t="s">
        <v>60</v>
      </c>
      <c r="T1164" s="7" t="str">
        <f aca="false">IF(O1164=0,"No discount",IF(O1164&lt;=0.2,"Up to 20%","Above 20%"))</f>
        <v>No discount</v>
      </c>
    </row>
    <row r="1165" customFormat="false" ht="15" hidden="false" customHeight="true" outlineLevel="0" collapsed="false">
      <c r="A1165" s="7" t="s">
        <v>1874</v>
      </c>
      <c r="B1165" s="26" t="n">
        <v>46011</v>
      </c>
      <c r="C1165" s="26" t="n">
        <v>46012</v>
      </c>
      <c r="D1165" s="7" t="s">
        <v>1146</v>
      </c>
      <c r="E1165" s="7" t="s">
        <v>1147</v>
      </c>
      <c r="F1165" s="7" t="s">
        <v>178</v>
      </c>
      <c r="G1165" s="7" t="s">
        <v>160</v>
      </c>
      <c r="H1165" s="7" t="s">
        <v>269</v>
      </c>
      <c r="I1165" s="7" t="s">
        <v>282</v>
      </c>
      <c r="J1165" s="7" t="s">
        <v>283</v>
      </c>
      <c r="K1165" s="7" t="s">
        <v>284</v>
      </c>
      <c r="L1165" s="7" t="s">
        <v>285</v>
      </c>
      <c r="M1165" s="7" t="n">
        <v>10</v>
      </c>
      <c r="N1165" s="27" t="n">
        <v>199</v>
      </c>
      <c r="O1165" s="28" t="n">
        <v>0</v>
      </c>
      <c r="P1165" s="27" t="n">
        <v>1990</v>
      </c>
      <c r="Q1165" s="27" t="n">
        <v>900</v>
      </c>
      <c r="R1165" s="27" t="n">
        <v>1090</v>
      </c>
      <c r="S1165" s="7" t="s">
        <v>60</v>
      </c>
      <c r="T1165" s="7" t="str">
        <f aca="false">IF(O1165=0,"No discount",IF(O1165&lt;=0.2,"Up to 20%","Above 20%"))</f>
        <v>No discount</v>
      </c>
    </row>
    <row r="1166" customFormat="false" ht="15" hidden="false" customHeight="true" outlineLevel="0" collapsed="false">
      <c r="A1166" s="7" t="s">
        <v>1875</v>
      </c>
      <c r="B1166" s="26" t="n">
        <v>46011</v>
      </c>
      <c r="C1166" s="26" t="n">
        <v>46014</v>
      </c>
      <c r="D1166" s="7" t="s">
        <v>189</v>
      </c>
      <c r="E1166" s="7" t="s">
        <v>190</v>
      </c>
      <c r="F1166" s="7" t="s">
        <v>159</v>
      </c>
      <c r="G1166" s="7" t="s">
        <v>169</v>
      </c>
      <c r="H1166" s="7" t="s">
        <v>191</v>
      </c>
      <c r="I1166" s="7" t="s">
        <v>208</v>
      </c>
      <c r="J1166" s="7" t="s">
        <v>209</v>
      </c>
      <c r="K1166" s="7" t="s">
        <v>238</v>
      </c>
      <c r="L1166" s="7" t="s">
        <v>239</v>
      </c>
      <c r="M1166" s="7" t="n">
        <v>1</v>
      </c>
      <c r="N1166" s="27" t="n">
        <v>2199</v>
      </c>
      <c r="O1166" s="28" t="n">
        <v>0</v>
      </c>
      <c r="P1166" s="27" t="n">
        <v>2199</v>
      </c>
      <c r="Q1166" s="27" t="n">
        <v>1400</v>
      </c>
      <c r="R1166" s="27" t="n">
        <v>799</v>
      </c>
      <c r="S1166" s="7" t="s">
        <v>60</v>
      </c>
      <c r="T1166" s="7" t="str">
        <f aca="false">IF(O1166=0,"No discount",IF(O1166&lt;=0.2,"Up to 20%","Above 20%"))</f>
        <v>No discount</v>
      </c>
    </row>
    <row r="1167" customFormat="false" ht="15" hidden="false" customHeight="true" outlineLevel="0" collapsed="false">
      <c r="A1167" s="7" t="s">
        <v>1876</v>
      </c>
      <c r="B1167" s="26" t="n">
        <v>46011</v>
      </c>
      <c r="C1167" s="26" t="n">
        <v>46018</v>
      </c>
      <c r="D1167" s="7" t="s">
        <v>227</v>
      </c>
      <c r="E1167" s="7" t="s">
        <v>228</v>
      </c>
      <c r="F1167" s="7" t="s">
        <v>159</v>
      </c>
      <c r="G1167" s="7" t="s">
        <v>169</v>
      </c>
      <c r="H1167" s="7" t="s">
        <v>179</v>
      </c>
      <c r="I1167" s="7" t="s">
        <v>192</v>
      </c>
      <c r="J1167" s="7" t="s">
        <v>193</v>
      </c>
      <c r="K1167" s="7" t="s">
        <v>194</v>
      </c>
      <c r="L1167" s="7" t="s">
        <v>195</v>
      </c>
      <c r="M1167" s="7" t="n">
        <v>1</v>
      </c>
      <c r="N1167" s="27" t="n">
        <v>8999</v>
      </c>
      <c r="O1167" s="28" t="n">
        <v>0.3</v>
      </c>
      <c r="P1167" s="27" t="n">
        <v>6299</v>
      </c>
      <c r="Q1167" s="27" t="n">
        <v>6800</v>
      </c>
      <c r="R1167" s="27" t="n">
        <v>-501</v>
      </c>
      <c r="S1167" s="7" t="s">
        <v>60</v>
      </c>
      <c r="T1167" s="7" t="str">
        <f aca="false">IF(O1167=0,"No discount",IF(O1167&lt;=0.2,"Up to 20%","Above 20%"))</f>
        <v>Above 20%</v>
      </c>
    </row>
    <row r="1168" customFormat="false" ht="15" hidden="false" customHeight="true" outlineLevel="0" collapsed="false">
      <c r="A1168" s="7" t="s">
        <v>1877</v>
      </c>
      <c r="B1168" s="26" t="n">
        <v>46011</v>
      </c>
      <c r="C1168" s="26" t="n">
        <v>46017</v>
      </c>
      <c r="D1168" s="7" t="s">
        <v>496</v>
      </c>
      <c r="E1168" s="7" t="s">
        <v>497</v>
      </c>
      <c r="F1168" s="7" t="s">
        <v>178</v>
      </c>
      <c r="G1168" s="7" t="s">
        <v>169</v>
      </c>
      <c r="H1168" s="7" t="s">
        <v>179</v>
      </c>
      <c r="I1168" s="7" t="s">
        <v>282</v>
      </c>
      <c r="J1168" s="7" t="s">
        <v>283</v>
      </c>
      <c r="K1168" s="7" t="s">
        <v>284</v>
      </c>
      <c r="L1168" s="7" t="s">
        <v>285</v>
      </c>
      <c r="M1168" s="7" t="n">
        <v>2</v>
      </c>
      <c r="N1168" s="27" t="n">
        <v>199</v>
      </c>
      <c r="O1168" s="28" t="n">
        <v>0.05</v>
      </c>
      <c r="P1168" s="27" t="n">
        <v>378</v>
      </c>
      <c r="Q1168" s="27" t="n">
        <v>180</v>
      </c>
      <c r="R1168" s="27" t="n">
        <v>198</v>
      </c>
      <c r="S1168" s="7" t="s">
        <v>60</v>
      </c>
      <c r="T1168" s="7" t="str">
        <f aca="false">IF(O1168=0,"No discount",IF(O1168&lt;=0.2,"Up to 20%","Above 20%"))</f>
        <v>Up to 20%</v>
      </c>
    </row>
    <row r="1169" customFormat="false" ht="15" hidden="false" customHeight="true" outlineLevel="0" collapsed="false">
      <c r="A1169" s="7" t="s">
        <v>1878</v>
      </c>
      <c r="B1169" s="26" t="n">
        <v>46012</v>
      </c>
      <c r="C1169" s="26" t="n">
        <v>46014</v>
      </c>
      <c r="D1169" s="7" t="s">
        <v>249</v>
      </c>
      <c r="E1169" s="7" t="s">
        <v>250</v>
      </c>
      <c r="F1169" s="7" t="s">
        <v>159</v>
      </c>
      <c r="G1169" s="7" t="s">
        <v>169</v>
      </c>
      <c r="H1169" s="7" t="s">
        <v>191</v>
      </c>
      <c r="I1169" s="7" t="s">
        <v>282</v>
      </c>
      <c r="J1169" s="7" t="s">
        <v>387</v>
      </c>
      <c r="K1169" s="7" t="s">
        <v>388</v>
      </c>
      <c r="L1169" s="7" t="s">
        <v>389</v>
      </c>
      <c r="M1169" s="7" t="n">
        <v>5</v>
      </c>
      <c r="N1169" s="27" t="n">
        <v>1299</v>
      </c>
      <c r="O1169" s="28" t="n">
        <v>0.1</v>
      </c>
      <c r="P1169" s="27" t="n">
        <v>5846</v>
      </c>
      <c r="Q1169" s="27" t="n">
        <v>3900</v>
      </c>
      <c r="R1169" s="27" t="n">
        <v>1946</v>
      </c>
      <c r="S1169" s="7" t="s">
        <v>60</v>
      </c>
      <c r="T1169" s="7" t="str">
        <f aca="false">IF(O1169=0,"No discount",IF(O1169&lt;=0.2,"Up to 20%","Above 20%"))</f>
        <v>Up to 20%</v>
      </c>
    </row>
    <row r="1170" customFormat="false" ht="15" hidden="false" customHeight="true" outlineLevel="0" collapsed="false">
      <c r="A1170" s="7" t="s">
        <v>1879</v>
      </c>
      <c r="B1170" s="26" t="n">
        <v>46012</v>
      </c>
      <c r="C1170" s="26" t="n">
        <v>46015</v>
      </c>
      <c r="D1170" s="7" t="s">
        <v>351</v>
      </c>
      <c r="E1170" s="7" t="s">
        <v>352</v>
      </c>
      <c r="F1170" s="7" t="s">
        <v>178</v>
      </c>
      <c r="G1170" s="7" t="s">
        <v>169</v>
      </c>
      <c r="H1170" s="7" t="s">
        <v>179</v>
      </c>
      <c r="I1170" s="7" t="s">
        <v>171</v>
      </c>
      <c r="J1170" s="7" t="s">
        <v>172</v>
      </c>
      <c r="K1170" s="7" t="s">
        <v>180</v>
      </c>
      <c r="L1170" s="7" t="s">
        <v>181</v>
      </c>
      <c r="M1170" s="7" t="n">
        <v>2</v>
      </c>
      <c r="N1170" s="27" t="n">
        <v>999</v>
      </c>
      <c r="O1170" s="28" t="n">
        <v>0</v>
      </c>
      <c r="P1170" s="27" t="n">
        <v>1998</v>
      </c>
      <c r="Q1170" s="27" t="n">
        <v>1040</v>
      </c>
      <c r="R1170" s="27" t="n">
        <v>958</v>
      </c>
      <c r="S1170" s="7" t="s">
        <v>60</v>
      </c>
      <c r="T1170" s="7" t="str">
        <f aca="false">IF(O1170=0,"No discount",IF(O1170&lt;=0.2,"Up to 20%","Above 20%"))</f>
        <v>No discount</v>
      </c>
    </row>
    <row r="1171" customFormat="false" ht="15" hidden="false" customHeight="true" outlineLevel="0" collapsed="false">
      <c r="A1171" s="7" t="s">
        <v>1880</v>
      </c>
      <c r="B1171" s="26" t="n">
        <v>46012</v>
      </c>
      <c r="C1171" s="26" t="n">
        <v>46013</v>
      </c>
      <c r="D1171" s="7" t="s">
        <v>241</v>
      </c>
      <c r="E1171" s="7" t="s">
        <v>242</v>
      </c>
      <c r="F1171" s="7" t="s">
        <v>159</v>
      </c>
      <c r="G1171" s="7" t="s">
        <v>206</v>
      </c>
      <c r="H1171" s="7" t="s">
        <v>207</v>
      </c>
      <c r="I1171" s="7" t="s">
        <v>282</v>
      </c>
      <c r="J1171" s="7" t="s">
        <v>427</v>
      </c>
      <c r="K1171" s="7" t="s">
        <v>428</v>
      </c>
      <c r="L1171" s="7" t="s">
        <v>429</v>
      </c>
      <c r="M1171" s="7" t="n">
        <v>1</v>
      </c>
      <c r="N1171" s="27" t="n">
        <v>149</v>
      </c>
      <c r="O1171" s="28" t="n">
        <v>0.1</v>
      </c>
      <c r="P1171" s="27" t="n">
        <v>134</v>
      </c>
      <c r="Q1171" s="27" t="n">
        <v>70</v>
      </c>
      <c r="R1171" s="27" t="n">
        <v>64</v>
      </c>
      <c r="S1171" s="7" t="s">
        <v>60</v>
      </c>
      <c r="T1171" s="7" t="str">
        <f aca="false">IF(O1171=0,"No discount",IF(O1171&lt;=0.2,"Up to 20%","Above 20%"))</f>
        <v>Up to 20%</v>
      </c>
    </row>
    <row r="1172" customFormat="false" ht="15" hidden="false" customHeight="true" outlineLevel="0" collapsed="false">
      <c r="A1172" s="7" t="s">
        <v>1881</v>
      </c>
      <c r="B1172" s="26" t="n">
        <v>46012</v>
      </c>
      <c r="C1172" s="26" t="n">
        <v>46015</v>
      </c>
      <c r="D1172" s="7" t="s">
        <v>425</v>
      </c>
      <c r="E1172" s="7" t="s">
        <v>426</v>
      </c>
      <c r="F1172" s="7" t="s">
        <v>159</v>
      </c>
      <c r="G1172" s="7" t="s">
        <v>206</v>
      </c>
      <c r="H1172" s="7" t="s">
        <v>207</v>
      </c>
      <c r="I1172" s="7" t="s">
        <v>192</v>
      </c>
      <c r="J1172" s="7" t="s">
        <v>502</v>
      </c>
      <c r="K1172" s="7" t="s">
        <v>526</v>
      </c>
      <c r="L1172" s="7" t="s">
        <v>527</v>
      </c>
      <c r="M1172" s="7" t="n">
        <v>2</v>
      </c>
      <c r="N1172" s="27" t="n">
        <v>6499</v>
      </c>
      <c r="O1172" s="28" t="n">
        <v>0.4</v>
      </c>
      <c r="P1172" s="27" t="n">
        <v>7799</v>
      </c>
      <c r="Q1172" s="27" t="n">
        <v>10000</v>
      </c>
      <c r="R1172" s="27" t="n">
        <v>-2201</v>
      </c>
      <c r="S1172" s="7" t="s">
        <v>60</v>
      </c>
      <c r="T1172" s="7" t="str">
        <f aca="false">IF(O1172=0,"No discount",IF(O1172&lt;=0.2,"Up to 20%","Above 20%"))</f>
        <v>Above 20%</v>
      </c>
    </row>
    <row r="1173" customFormat="false" ht="15" hidden="false" customHeight="true" outlineLevel="0" collapsed="false">
      <c r="A1173" s="7" t="s">
        <v>1882</v>
      </c>
      <c r="B1173" s="26" t="n">
        <v>46012</v>
      </c>
      <c r="C1173" s="26" t="n">
        <v>46016</v>
      </c>
      <c r="D1173" s="7" t="s">
        <v>746</v>
      </c>
      <c r="E1173" s="7" t="s">
        <v>747</v>
      </c>
      <c r="F1173" s="7" t="s">
        <v>159</v>
      </c>
      <c r="G1173" s="7" t="s">
        <v>160</v>
      </c>
      <c r="H1173" s="7" t="s">
        <v>269</v>
      </c>
      <c r="I1173" s="7" t="s">
        <v>208</v>
      </c>
      <c r="J1173" s="7" t="s">
        <v>232</v>
      </c>
      <c r="K1173" s="7" t="s">
        <v>233</v>
      </c>
      <c r="L1173" s="7" t="s">
        <v>234</v>
      </c>
      <c r="M1173" s="7" t="n">
        <v>5</v>
      </c>
      <c r="N1173" s="27" t="n">
        <v>7999</v>
      </c>
      <c r="O1173" s="28" t="n">
        <v>0.05</v>
      </c>
      <c r="P1173" s="27" t="n">
        <v>37995</v>
      </c>
      <c r="Q1173" s="27" t="n">
        <v>28000</v>
      </c>
      <c r="R1173" s="27" t="n">
        <v>9995</v>
      </c>
      <c r="S1173" s="7" t="s">
        <v>60</v>
      </c>
      <c r="T1173" s="7" t="str">
        <f aca="false">IF(O1173=0,"No discount",IF(O1173&lt;=0.2,"Up to 20%","Above 20%"))</f>
        <v>Up to 20%</v>
      </c>
    </row>
    <row r="1174" customFormat="false" ht="15" hidden="false" customHeight="true" outlineLevel="0" collapsed="false">
      <c r="A1174" s="7" t="s">
        <v>1883</v>
      </c>
      <c r="B1174" s="26" t="n">
        <v>46013</v>
      </c>
      <c r="C1174" s="26" t="n">
        <v>46018</v>
      </c>
      <c r="D1174" s="7" t="s">
        <v>1884</v>
      </c>
      <c r="E1174" s="7" t="s">
        <v>1885</v>
      </c>
      <c r="F1174" s="7" t="s">
        <v>159</v>
      </c>
      <c r="G1174" s="7" t="s">
        <v>169</v>
      </c>
      <c r="H1174" s="7" t="s">
        <v>170</v>
      </c>
      <c r="I1174" s="7" t="s">
        <v>199</v>
      </c>
      <c r="J1174" s="7" t="s">
        <v>223</v>
      </c>
      <c r="K1174" s="7" t="s">
        <v>224</v>
      </c>
      <c r="L1174" s="7" t="s">
        <v>225</v>
      </c>
      <c r="M1174" s="7" t="n">
        <v>3</v>
      </c>
      <c r="N1174" s="27" t="n">
        <v>899</v>
      </c>
      <c r="O1174" s="28" t="n">
        <v>0</v>
      </c>
      <c r="P1174" s="27" t="n">
        <v>2697</v>
      </c>
      <c r="Q1174" s="27" t="n">
        <v>1140</v>
      </c>
      <c r="R1174" s="27" t="n">
        <v>1557</v>
      </c>
      <c r="S1174" s="7" t="s">
        <v>60</v>
      </c>
      <c r="T1174" s="7" t="str">
        <f aca="false">IF(O1174=0,"No discount",IF(O1174&lt;=0.2,"Up to 20%","Above 20%"))</f>
        <v>No discount</v>
      </c>
    </row>
    <row r="1175" customFormat="false" ht="15" hidden="false" customHeight="true" outlineLevel="0" collapsed="false">
      <c r="A1175" s="7" t="s">
        <v>1886</v>
      </c>
      <c r="B1175" s="26" t="n">
        <v>46013</v>
      </c>
      <c r="C1175" s="26" t="n">
        <v>46020</v>
      </c>
      <c r="D1175" s="7" t="s">
        <v>462</v>
      </c>
      <c r="E1175" s="7" t="s">
        <v>463</v>
      </c>
      <c r="F1175" s="7" t="s">
        <v>159</v>
      </c>
      <c r="G1175" s="7" t="s">
        <v>169</v>
      </c>
      <c r="H1175" s="7" t="s">
        <v>191</v>
      </c>
      <c r="I1175" s="7" t="s">
        <v>162</v>
      </c>
      <c r="J1175" s="7" t="s">
        <v>163</v>
      </c>
      <c r="K1175" s="7" t="s">
        <v>164</v>
      </c>
      <c r="L1175" s="7" t="s">
        <v>165</v>
      </c>
      <c r="M1175" s="7" t="n">
        <v>1</v>
      </c>
      <c r="N1175" s="27" t="n">
        <v>1999</v>
      </c>
      <c r="O1175" s="28" t="n">
        <v>0</v>
      </c>
      <c r="P1175" s="27" t="n">
        <v>1999</v>
      </c>
      <c r="Q1175" s="27" t="n">
        <v>1050</v>
      </c>
      <c r="R1175" s="27" t="n">
        <v>949</v>
      </c>
      <c r="S1175" s="7" t="s">
        <v>60</v>
      </c>
      <c r="T1175" s="7" t="str">
        <f aca="false">IF(O1175=0,"No discount",IF(O1175&lt;=0.2,"Up to 20%","Above 20%"))</f>
        <v>No discount</v>
      </c>
    </row>
    <row r="1176" customFormat="false" ht="15" hidden="false" customHeight="true" outlineLevel="0" collapsed="false">
      <c r="A1176" s="7" t="s">
        <v>1887</v>
      </c>
      <c r="B1176" s="26" t="n">
        <v>46014</v>
      </c>
      <c r="C1176" s="26" t="n">
        <v>46015</v>
      </c>
      <c r="D1176" s="7" t="s">
        <v>321</v>
      </c>
      <c r="E1176" s="7" t="s">
        <v>322</v>
      </c>
      <c r="F1176" s="7" t="s">
        <v>219</v>
      </c>
      <c r="G1176" s="7" t="s">
        <v>323</v>
      </c>
      <c r="H1176" s="7" t="s">
        <v>324</v>
      </c>
      <c r="I1176" s="7" t="s">
        <v>171</v>
      </c>
      <c r="J1176" s="7" t="s">
        <v>172</v>
      </c>
      <c r="K1176" s="7" t="s">
        <v>173</v>
      </c>
      <c r="L1176" s="7" t="s">
        <v>174</v>
      </c>
      <c r="M1176" s="7" t="n">
        <v>1</v>
      </c>
      <c r="N1176" s="27" t="n">
        <v>699</v>
      </c>
      <c r="O1176" s="28" t="n">
        <v>0</v>
      </c>
      <c r="P1176" s="27" t="n">
        <v>699</v>
      </c>
      <c r="Q1176" s="27" t="n">
        <v>320</v>
      </c>
      <c r="R1176" s="27" t="n">
        <v>379</v>
      </c>
      <c r="S1176" s="7" t="s">
        <v>60</v>
      </c>
      <c r="T1176" s="7" t="str">
        <f aca="false">IF(O1176=0,"No discount",IF(O1176&lt;=0.2,"Up to 20%","Above 20%"))</f>
        <v>No discount</v>
      </c>
    </row>
    <row r="1177" customFormat="false" ht="15" hidden="false" customHeight="true" outlineLevel="0" collapsed="false">
      <c r="A1177" s="7" t="s">
        <v>1888</v>
      </c>
      <c r="B1177" s="26" t="n">
        <v>46014</v>
      </c>
      <c r="C1177" s="26" t="n">
        <v>46021</v>
      </c>
      <c r="D1177" s="7" t="s">
        <v>746</v>
      </c>
      <c r="E1177" s="7" t="s">
        <v>747</v>
      </c>
      <c r="F1177" s="7" t="s">
        <v>159</v>
      </c>
      <c r="G1177" s="7" t="s">
        <v>160</v>
      </c>
      <c r="H1177" s="7" t="s">
        <v>269</v>
      </c>
      <c r="I1177" s="7" t="s">
        <v>171</v>
      </c>
      <c r="J1177" s="7" t="s">
        <v>304</v>
      </c>
      <c r="K1177" s="7" t="s">
        <v>305</v>
      </c>
      <c r="L1177" s="7" t="s">
        <v>306</v>
      </c>
      <c r="M1177" s="7" t="n">
        <v>1</v>
      </c>
      <c r="N1177" s="27" t="n">
        <v>2999</v>
      </c>
      <c r="O1177" s="28" t="n">
        <v>0</v>
      </c>
      <c r="P1177" s="27" t="n">
        <v>2999</v>
      </c>
      <c r="Q1177" s="27" t="n">
        <v>2000</v>
      </c>
      <c r="R1177" s="27" t="n">
        <v>999</v>
      </c>
      <c r="S1177" s="7" t="s">
        <v>60</v>
      </c>
      <c r="T1177" s="7" t="str">
        <f aca="false">IF(O1177=0,"No discount",IF(O1177&lt;=0.2,"Up to 20%","Above 20%"))</f>
        <v>No discount</v>
      </c>
    </row>
    <row r="1178" customFormat="false" ht="15" hidden="false" customHeight="true" outlineLevel="0" collapsed="false">
      <c r="A1178" s="7" t="s">
        <v>1889</v>
      </c>
      <c r="B1178" s="26" t="n">
        <v>46014</v>
      </c>
      <c r="C1178" s="26" t="n">
        <v>46018</v>
      </c>
      <c r="D1178" s="7" t="s">
        <v>465</v>
      </c>
      <c r="E1178" s="7" t="s">
        <v>466</v>
      </c>
      <c r="F1178" s="7" t="s">
        <v>219</v>
      </c>
      <c r="G1178" s="7" t="s">
        <v>323</v>
      </c>
      <c r="H1178" s="7" t="s">
        <v>324</v>
      </c>
      <c r="I1178" s="7" t="s">
        <v>192</v>
      </c>
      <c r="J1178" s="7" t="s">
        <v>213</v>
      </c>
      <c r="K1178" s="7" t="s">
        <v>214</v>
      </c>
      <c r="L1178" s="7" t="s">
        <v>215</v>
      </c>
      <c r="M1178" s="7" t="n">
        <v>5</v>
      </c>
      <c r="N1178" s="27" t="n">
        <v>5999</v>
      </c>
      <c r="O1178" s="28" t="n">
        <v>0.2</v>
      </c>
      <c r="P1178" s="27" t="n">
        <v>23996</v>
      </c>
      <c r="Q1178" s="27" t="n">
        <v>23000</v>
      </c>
      <c r="R1178" s="27" t="n">
        <v>996</v>
      </c>
      <c r="S1178" s="7" t="s">
        <v>60</v>
      </c>
      <c r="T1178" s="7" t="str">
        <f aca="false">IF(O1178=0,"No discount",IF(O1178&lt;=0.2,"Up to 20%","Above 20%"))</f>
        <v>Up to 20%</v>
      </c>
    </row>
    <row r="1179" customFormat="false" ht="15" hidden="false" customHeight="true" outlineLevel="0" collapsed="false">
      <c r="A1179" s="7" t="s">
        <v>1890</v>
      </c>
      <c r="B1179" s="26" t="n">
        <v>46014</v>
      </c>
      <c r="C1179" s="26" t="n">
        <v>46015</v>
      </c>
      <c r="D1179" s="7" t="s">
        <v>403</v>
      </c>
      <c r="E1179" s="7" t="s">
        <v>404</v>
      </c>
      <c r="F1179" s="7" t="s">
        <v>219</v>
      </c>
      <c r="G1179" s="7" t="s">
        <v>169</v>
      </c>
      <c r="H1179" s="7" t="s">
        <v>191</v>
      </c>
      <c r="I1179" s="7" t="s">
        <v>192</v>
      </c>
      <c r="J1179" s="7" t="s">
        <v>502</v>
      </c>
      <c r="K1179" s="7" t="s">
        <v>526</v>
      </c>
      <c r="L1179" s="7" t="s">
        <v>527</v>
      </c>
      <c r="M1179" s="7" t="n">
        <v>3</v>
      </c>
      <c r="N1179" s="27" t="n">
        <v>6499</v>
      </c>
      <c r="O1179" s="28" t="n">
        <v>0.1</v>
      </c>
      <c r="P1179" s="27" t="n">
        <v>17547</v>
      </c>
      <c r="Q1179" s="27" t="n">
        <v>15000</v>
      </c>
      <c r="R1179" s="27" t="n">
        <v>2547</v>
      </c>
      <c r="S1179" s="7" t="s">
        <v>60</v>
      </c>
      <c r="T1179" s="7" t="str">
        <f aca="false">IF(O1179=0,"No discount",IF(O1179&lt;=0.2,"Up to 20%","Above 20%"))</f>
        <v>Up to 20%</v>
      </c>
    </row>
    <row r="1180" customFormat="false" ht="15" hidden="false" customHeight="true" outlineLevel="0" collapsed="false">
      <c r="A1180" s="7" t="s">
        <v>1891</v>
      </c>
      <c r="B1180" s="26" t="n">
        <v>46014</v>
      </c>
      <c r="C1180" s="26" t="n">
        <v>46015</v>
      </c>
      <c r="D1180" s="7" t="s">
        <v>444</v>
      </c>
      <c r="E1180" s="7" t="s">
        <v>445</v>
      </c>
      <c r="F1180" s="7" t="s">
        <v>159</v>
      </c>
      <c r="G1180" s="7" t="s">
        <v>206</v>
      </c>
      <c r="H1180" s="7" t="s">
        <v>207</v>
      </c>
      <c r="I1180" s="7" t="s">
        <v>192</v>
      </c>
      <c r="J1180" s="7" t="s">
        <v>213</v>
      </c>
      <c r="K1180" s="7" t="s">
        <v>214</v>
      </c>
      <c r="L1180" s="7" t="s">
        <v>215</v>
      </c>
      <c r="M1180" s="7" t="n">
        <v>3</v>
      </c>
      <c r="N1180" s="27" t="n">
        <v>5999</v>
      </c>
      <c r="O1180" s="28" t="n">
        <v>0.3</v>
      </c>
      <c r="P1180" s="27" t="n">
        <v>12598</v>
      </c>
      <c r="Q1180" s="27" t="n">
        <v>13800</v>
      </c>
      <c r="R1180" s="27" t="n">
        <v>-1202</v>
      </c>
      <c r="S1180" s="7" t="s">
        <v>60</v>
      </c>
      <c r="T1180" s="7" t="str">
        <f aca="false">IF(O1180=0,"No discount",IF(O1180&lt;=0.2,"Up to 20%","Above 20%"))</f>
        <v>Above 20%</v>
      </c>
    </row>
    <row r="1181" customFormat="false" ht="15" hidden="false" customHeight="true" outlineLevel="0" collapsed="false">
      <c r="A1181" s="7" t="s">
        <v>1892</v>
      </c>
      <c r="B1181" s="26" t="n">
        <v>46015</v>
      </c>
      <c r="C1181" s="26" t="n">
        <v>46017</v>
      </c>
      <c r="D1181" s="7" t="s">
        <v>1216</v>
      </c>
      <c r="E1181" s="7" t="s">
        <v>1217</v>
      </c>
      <c r="F1181" s="7" t="s">
        <v>159</v>
      </c>
      <c r="G1181" s="7" t="s">
        <v>160</v>
      </c>
      <c r="H1181" s="7" t="s">
        <v>161</v>
      </c>
      <c r="I1181" s="7" t="s">
        <v>162</v>
      </c>
      <c r="J1181" s="7" t="s">
        <v>325</v>
      </c>
      <c r="K1181" s="7" t="s">
        <v>583</v>
      </c>
      <c r="L1181" s="7" t="s">
        <v>584</v>
      </c>
      <c r="M1181" s="7" t="n">
        <v>1</v>
      </c>
      <c r="N1181" s="27" t="n">
        <v>1499</v>
      </c>
      <c r="O1181" s="28" t="n">
        <v>0.2</v>
      </c>
      <c r="P1181" s="27" t="n">
        <v>1199</v>
      </c>
      <c r="Q1181" s="27" t="n">
        <v>750</v>
      </c>
      <c r="R1181" s="27" t="n">
        <v>449</v>
      </c>
      <c r="S1181" s="7" t="s">
        <v>60</v>
      </c>
      <c r="T1181" s="7" t="str">
        <f aca="false">IF(O1181=0,"No discount",IF(O1181&lt;=0.2,"Up to 20%","Above 20%"))</f>
        <v>Up to 20%</v>
      </c>
    </row>
    <row r="1182" customFormat="false" ht="15" hidden="false" customHeight="true" outlineLevel="0" collapsed="false">
      <c r="A1182" s="7" t="s">
        <v>1893</v>
      </c>
      <c r="B1182" s="26" t="n">
        <v>46015</v>
      </c>
      <c r="C1182" s="26" t="n">
        <v>46022</v>
      </c>
      <c r="D1182" s="7" t="s">
        <v>167</v>
      </c>
      <c r="E1182" s="7" t="s">
        <v>168</v>
      </c>
      <c r="F1182" s="7" t="s">
        <v>159</v>
      </c>
      <c r="G1182" s="7" t="s">
        <v>169</v>
      </c>
      <c r="H1182" s="7" t="s">
        <v>170</v>
      </c>
      <c r="I1182" s="7" t="s">
        <v>162</v>
      </c>
      <c r="J1182" s="7" t="s">
        <v>251</v>
      </c>
      <c r="K1182" s="7" t="s">
        <v>252</v>
      </c>
      <c r="L1182" s="7" t="s">
        <v>253</v>
      </c>
      <c r="M1182" s="7" t="n">
        <v>1</v>
      </c>
      <c r="N1182" s="27" t="n">
        <v>3999</v>
      </c>
      <c r="O1182" s="28" t="n">
        <v>0</v>
      </c>
      <c r="P1182" s="27" t="n">
        <v>3999</v>
      </c>
      <c r="Q1182" s="27" t="n">
        <v>2400</v>
      </c>
      <c r="R1182" s="27" t="n">
        <v>1599</v>
      </c>
      <c r="S1182" s="7" t="s">
        <v>60</v>
      </c>
      <c r="T1182" s="7" t="str">
        <f aca="false">IF(O1182=0,"No discount",IF(O1182&lt;=0.2,"Up to 20%","Above 20%"))</f>
        <v>No discount</v>
      </c>
    </row>
    <row r="1183" customFormat="false" ht="15" hidden="false" customHeight="true" outlineLevel="0" collapsed="false">
      <c r="A1183" s="7" t="s">
        <v>1894</v>
      </c>
      <c r="B1183" s="26" t="n">
        <v>46016</v>
      </c>
      <c r="C1183" s="26" t="n">
        <v>46019</v>
      </c>
      <c r="D1183" s="7" t="s">
        <v>302</v>
      </c>
      <c r="E1183" s="7" t="s">
        <v>303</v>
      </c>
      <c r="F1183" s="7" t="s">
        <v>159</v>
      </c>
      <c r="G1183" s="7" t="s">
        <v>160</v>
      </c>
      <c r="H1183" s="7" t="s">
        <v>269</v>
      </c>
      <c r="I1183" s="7" t="s">
        <v>162</v>
      </c>
      <c r="J1183" s="7" t="s">
        <v>185</v>
      </c>
      <c r="K1183" s="7" t="s">
        <v>186</v>
      </c>
      <c r="L1183" s="7" t="s">
        <v>187</v>
      </c>
      <c r="M1183" s="7" t="n">
        <v>1</v>
      </c>
      <c r="N1183" s="27" t="n">
        <v>3299</v>
      </c>
      <c r="O1183" s="28" t="n">
        <v>0</v>
      </c>
      <c r="P1183" s="27" t="n">
        <v>3299</v>
      </c>
      <c r="Q1183" s="27" t="n">
        <v>1900</v>
      </c>
      <c r="R1183" s="27" t="n">
        <v>1399</v>
      </c>
      <c r="S1183" s="7" t="s">
        <v>60</v>
      </c>
      <c r="T1183" s="7" t="str">
        <f aca="false">IF(O1183=0,"No discount",IF(O1183&lt;=0.2,"Up to 20%","Above 20%"))</f>
        <v>No discount</v>
      </c>
    </row>
    <row r="1184" customFormat="false" ht="15" hidden="false" customHeight="true" outlineLevel="0" collapsed="false">
      <c r="A1184" s="7" t="s">
        <v>1895</v>
      </c>
      <c r="B1184" s="26" t="n">
        <v>46017</v>
      </c>
      <c r="C1184" s="26" t="n">
        <v>46020</v>
      </c>
      <c r="D1184" s="7" t="s">
        <v>935</v>
      </c>
      <c r="E1184" s="7" t="s">
        <v>936</v>
      </c>
      <c r="F1184" s="7" t="s">
        <v>159</v>
      </c>
      <c r="G1184" s="7" t="s">
        <v>169</v>
      </c>
      <c r="H1184" s="7" t="s">
        <v>170</v>
      </c>
      <c r="I1184" s="7" t="s">
        <v>208</v>
      </c>
      <c r="J1184" s="7" t="s">
        <v>232</v>
      </c>
      <c r="K1184" s="7" t="s">
        <v>671</v>
      </c>
      <c r="L1184" s="7" t="s">
        <v>672</v>
      </c>
      <c r="M1184" s="7" t="n">
        <v>1</v>
      </c>
      <c r="N1184" s="27" t="n">
        <v>3299</v>
      </c>
      <c r="O1184" s="28" t="n">
        <v>0</v>
      </c>
      <c r="P1184" s="27" t="n">
        <v>3299</v>
      </c>
      <c r="Q1184" s="27" t="n">
        <v>2100</v>
      </c>
      <c r="R1184" s="27" t="n">
        <v>1199</v>
      </c>
      <c r="S1184" s="7" t="s">
        <v>60</v>
      </c>
      <c r="T1184" s="7" t="str">
        <f aca="false">IF(O1184=0,"No discount",IF(O1184&lt;=0.2,"Up to 20%","Above 20%"))</f>
        <v>No discount</v>
      </c>
    </row>
    <row r="1185" customFormat="false" ht="15" hidden="false" customHeight="true" outlineLevel="0" collapsed="false">
      <c r="A1185" s="7" t="s">
        <v>1896</v>
      </c>
      <c r="B1185" s="26" t="n">
        <v>46017</v>
      </c>
      <c r="C1185" s="26" t="n">
        <v>46022</v>
      </c>
      <c r="D1185" s="7" t="s">
        <v>311</v>
      </c>
      <c r="E1185" s="7" t="s">
        <v>312</v>
      </c>
      <c r="F1185" s="7" t="s">
        <v>178</v>
      </c>
      <c r="G1185" s="7" t="s">
        <v>206</v>
      </c>
      <c r="H1185" s="7" t="s">
        <v>207</v>
      </c>
      <c r="I1185" s="7" t="s">
        <v>162</v>
      </c>
      <c r="J1185" s="7" t="s">
        <v>163</v>
      </c>
      <c r="K1185" s="7" t="s">
        <v>507</v>
      </c>
      <c r="L1185" s="7" t="s">
        <v>508</v>
      </c>
      <c r="M1185" s="7" t="n">
        <v>3</v>
      </c>
      <c r="N1185" s="27" t="n">
        <v>1199</v>
      </c>
      <c r="O1185" s="28" t="n">
        <v>0.1</v>
      </c>
      <c r="P1185" s="27" t="n">
        <v>3237</v>
      </c>
      <c r="Q1185" s="27" t="n">
        <v>1800</v>
      </c>
      <c r="R1185" s="27" t="n">
        <v>1437</v>
      </c>
      <c r="S1185" s="7" t="s">
        <v>60</v>
      </c>
      <c r="T1185" s="7" t="str">
        <f aca="false">IF(O1185=0,"No discount",IF(O1185&lt;=0.2,"Up to 20%","Above 20%"))</f>
        <v>Up to 20%</v>
      </c>
    </row>
    <row r="1186" customFormat="false" ht="15" hidden="false" customHeight="true" outlineLevel="0" collapsed="false">
      <c r="A1186" s="7" t="s">
        <v>1897</v>
      </c>
      <c r="B1186" s="26" t="n">
        <v>46017</v>
      </c>
      <c r="C1186" s="26" t="n">
        <v>46019</v>
      </c>
      <c r="D1186" s="7" t="s">
        <v>1124</v>
      </c>
      <c r="E1186" s="7" t="s">
        <v>1125</v>
      </c>
      <c r="F1186" s="7" t="s">
        <v>159</v>
      </c>
      <c r="G1186" s="7" t="s">
        <v>169</v>
      </c>
      <c r="H1186" s="7" t="s">
        <v>191</v>
      </c>
      <c r="I1186" s="7" t="s">
        <v>199</v>
      </c>
      <c r="J1186" s="7" t="s">
        <v>398</v>
      </c>
      <c r="K1186" s="7" t="s">
        <v>399</v>
      </c>
      <c r="L1186" s="7" t="s">
        <v>400</v>
      </c>
      <c r="M1186" s="7" t="n">
        <v>1</v>
      </c>
      <c r="N1186" s="27" t="n">
        <v>749</v>
      </c>
      <c r="O1186" s="28" t="n">
        <v>0</v>
      </c>
      <c r="P1186" s="27" t="n">
        <v>749</v>
      </c>
      <c r="Q1186" s="27" t="n">
        <v>350</v>
      </c>
      <c r="R1186" s="27" t="n">
        <v>399</v>
      </c>
      <c r="S1186" s="7" t="s">
        <v>60</v>
      </c>
      <c r="T1186" s="7" t="str">
        <f aca="false">IF(O1186=0,"No discount",IF(O1186&lt;=0.2,"Up to 20%","Above 20%"))</f>
        <v>No discount</v>
      </c>
    </row>
    <row r="1187" customFormat="false" ht="15" hidden="false" customHeight="true" outlineLevel="0" collapsed="false">
      <c r="A1187" s="7" t="s">
        <v>1898</v>
      </c>
      <c r="B1187" s="26" t="n">
        <v>46018</v>
      </c>
      <c r="C1187" s="26" t="n">
        <v>46023</v>
      </c>
      <c r="D1187" s="7" t="s">
        <v>597</v>
      </c>
      <c r="E1187" s="7" t="s">
        <v>598</v>
      </c>
      <c r="F1187" s="7" t="s">
        <v>159</v>
      </c>
      <c r="G1187" s="7" t="s">
        <v>160</v>
      </c>
      <c r="H1187" s="7" t="s">
        <v>269</v>
      </c>
      <c r="I1187" s="7" t="s">
        <v>162</v>
      </c>
      <c r="J1187" s="7" t="s">
        <v>185</v>
      </c>
      <c r="K1187" s="7" t="s">
        <v>186</v>
      </c>
      <c r="L1187" s="7" t="s">
        <v>187</v>
      </c>
      <c r="M1187" s="7" t="n">
        <v>1</v>
      </c>
      <c r="N1187" s="27" t="n">
        <v>3299</v>
      </c>
      <c r="O1187" s="28" t="n">
        <v>0.1</v>
      </c>
      <c r="P1187" s="27" t="n">
        <v>2969</v>
      </c>
      <c r="Q1187" s="27" t="n">
        <v>1900</v>
      </c>
      <c r="R1187" s="27" t="n">
        <v>1069</v>
      </c>
      <c r="S1187" s="7" t="s">
        <v>47</v>
      </c>
      <c r="T1187" s="7" t="str">
        <f aca="false">IF(O1187=0,"No discount",IF(O1187&lt;=0.2,"Up to 20%","Above 20%"))</f>
        <v>Up to 20%</v>
      </c>
    </row>
    <row r="1188" customFormat="false" ht="15" hidden="false" customHeight="true" outlineLevel="0" collapsed="false">
      <c r="A1188" s="7" t="s">
        <v>1899</v>
      </c>
      <c r="B1188" s="26" t="n">
        <v>46019</v>
      </c>
      <c r="C1188" s="26" t="n">
        <v>46023</v>
      </c>
      <c r="D1188" s="7" t="s">
        <v>267</v>
      </c>
      <c r="E1188" s="7" t="s">
        <v>268</v>
      </c>
      <c r="F1188" s="7" t="s">
        <v>159</v>
      </c>
      <c r="G1188" s="7" t="s">
        <v>160</v>
      </c>
      <c r="H1188" s="7" t="s">
        <v>269</v>
      </c>
      <c r="I1188" s="7" t="s">
        <v>171</v>
      </c>
      <c r="J1188" s="7" t="s">
        <v>304</v>
      </c>
      <c r="K1188" s="7" t="s">
        <v>499</v>
      </c>
      <c r="L1188" s="7" t="s">
        <v>500</v>
      </c>
      <c r="M1188" s="7" t="n">
        <v>2</v>
      </c>
      <c r="N1188" s="27" t="n">
        <v>5499</v>
      </c>
      <c r="O1188" s="28" t="n">
        <v>0.2</v>
      </c>
      <c r="P1188" s="27" t="n">
        <v>8798</v>
      </c>
      <c r="Q1188" s="27" t="n">
        <v>7800</v>
      </c>
      <c r="R1188" s="27" t="n">
        <v>998</v>
      </c>
      <c r="S1188" s="7" t="s">
        <v>60</v>
      </c>
      <c r="T1188" s="7" t="str">
        <f aca="false">IF(O1188=0,"No discount",IF(O1188&lt;=0.2,"Up to 20%","Above 20%"))</f>
        <v>Up to 20%</v>
      </c>
    </row>
    <row r="1189" customFormat="false" ht="15" hidden="false" customHeight="true" outlineLevel="0" collapsed="false">
      <c r="A1189" s="7" t="s">
        <v>1900</v>
      </c>
      <c r="B1189" s="26" t="n">
        <v>46020</v>
      </c>
      <c r="C1189" s="26" t="n">
        <v>46026</v>
      </c>
      <c r="D1189" s="7" t="s">
        <v>299</v>
      </c>
      <c r="E1189" s="7" t="s">
        <v>300</v>
      </c>
      <c r="F1189" s="7" t="s">
        <v>159</v>
      </c>
      <c r="G1189" s="7" t="s">
        <v>160</v>
      </c>
      <c r="H1189" s="7" t="s">
        <v>269</v>
      </c>
      <c r="I1189" s="7" t="s">
        <v>171</v>
      </c>
      <c r="J1189" s="7" t="s">
        <v>304</v>
      </c>
      <c r="K1189" s="7" t="s">
        <v>305</v>
      </c>
      <c r="L1189" s="7" t="s">
        <v>306</v>
      </c>
      <c r="M1189" s="7" t="n">
        <v>5</v>
      </c>
      <c r="N1189" s="27" t="n">
        <v>2999</v>
      </c>
      <c r="O1189" s="28" t="n">
        <v>0</v>
      </c>
      <c r="P1189" s="27" t="n">
        <v>14995</v>
      </c>
      <c r="Q1189" s="27" t="n">
        <v>10000</v>
      </c>
      <c r="R1189" s="27" t="n">
        <v>4995</v>
      </c>
      <c r="S1189" s="7" t="s">
        <v>60</v>
      </c>
      <c r="T1189" s="7" t="str">
        <f aca="false">IF(O1189=0,"No discount",IF(O1189&lt;=0.2,"Up to 20%","Above 20%"))</f>
        <v>No discount</v>
      </c>
    </row>
    <row r="1190" customFormat="false" ht="15" hidden="false" customHeight="true" outlineLevel="0" collapsed="false">
      <c r="A1190" s="7" t="s">
        <v>1901</v>
      </c>
      <c r="B1190" s="26" t="n">
        <v>46020</v>
      </c>
      <c r="C1190" s="26" t="n">
        <v>46023</v>
      </c>
      <c r="D1190" s="7" t="s">
        <v>318</v>
      </c>
      <c r="E1190" s="7" t="s">
        <v>319</v>
      </c>
      <c r="F1190" s="7" t="s">
        <v>219</v>
      </c>
      <c r="G1190" s="7" t="s">
        <v>160</v>
      </c>
      <c r="H1190" s="7" t="s">
        <v>263</v>
      </c>
      <c r="I1190" s="7" t="s">
        <v>199</v>
      </c>
      <c r="J1190" s="7" t="s">
        <v>200</v>
      </c>
      <c r="K1190" s="7" t="s">
        <v>201</v>
      </c>
      <c r="L1190" s="7" t="s">
        <v>202</v>
      </c>
      <c r="M1190" s="7" t="n">
        <v>2</v>
      </c>
      <c r="N1190" s="27" t="n">
        <v>399</v>
      </c>
      <c r="O1190" s="28" t="n">
        <v>0.15</v>
      </c>
      <c r="P1190" s="27" t="n">
        <v>678</v>
      </c>
      <c r="Q1190" s="27" t="n">
        <v>320</v>
      </c>
      <c r="R1190" s="27" t="n">
        <v>358</v>
      </c>
      <c r="S1190" s="7" t="s">
        <v>60</v>
      </c>
      <c r="T1190" s="7" t="str">
        <f aca="false">IF(O1190=0,"No discount",IF(O1190&lt;=0.2,"Up to 20%","Above 20%"))</f>
        <v>Up to 20%</v>
      </c>
    </row>
    <row r="1191" customFormat="false" ht="15" hidden="false" customHeight="true" outlineLevel="0" collapsed="false">
      <c r="A1191" s="7" t="s">
        <v>1902</v>
      </c>
      <c r="B1191" s="26" t="n">
        <v>46020</v>
      </c>
      <c r="C1191" s="26" t="n">
        <v>46027</v>
      </c>
      <c r="D1191" s="7" t="s">
        <v>1124</v>
      </c>
      <c r="E1191" s="7" t="s">
        <v>1125</v>
      </c>
      <c r="F1191" s="7" t="s">
        <v>159</v>
      </c>
      <c r="G1191" s="7" t="s">
        <v>169</v>
      </c>
      <c r="H1191" s="7" t="s">
        <v>191</v>
      </c>
      <c r="I1191" s="7" t="s">
        <v>282</v>
      </c>
      <c r="J1191" s="7" t="s">
        <v>283</v>
      </c>
      <c r="K1191" s="7" t="s">
        <v>284</v>
      </c>
      <c r="L1191" s="7" t="s">
        <v>285</v>
      </c>
      <c r="M1191" s="7" t="n">
        <v>2</v>
      </c>
      <c r="N1191" s="27" t="n">
        <v>199</v>
      </c>
      <c r="O1191" s="28" t="n">
        <v>0</v>
      </c>
      <c r="P1191" s="27" t="n">
        <v>398</v>
      </c>
      <c r="Q1191" s="27" t="n">
        <v>180</v>
      </c>
      <c r="R1191" s="27" t="n">
        <v>218</v>
      </c>
      <c r="S1191" s="7" t="s">
        <v>60</v>
      </c>
      <c r="T1191" s="7" t="str">
        <f aca="false">IF(O1191=0,"No discount",IF(O1191&lt;=0.2,"Up to 20%","Above 20%"))</f>
        <v>No discount</v>
      </c>
    </row>
    <row r="1192" customFormat="false" ht="15" hidden="false" customHeight="true" outlineLevel="0" collapsed="false">
      <c r="A1192" s="7" t="s">
        <v>1903</v>
      </c>
      <c r="B1192" s="26" t="n">
        <v>46020</v>
      </c>
      <c r="C1192" s="26" t="n">
        <v>46023</v>
      </c>
      <c r="D1192" s="7" t="s">
        <v>197</v>
      </c>
      <c r="E1192" s="7" t="s">
        <v>198</v>
      </c>
      <c r="F1192" s="7" t="s">
        <v>178</v>
      </c>
      <c r="G1192" s="7" t="s">
        <v>169</v>
      </c>
      <c r="H1192" s="7" t="s">
        <v>191</v>
      </c>
      <c r="I1192" s="7" t="s">
        <v>282</v>
      </c>
      <c r="J1192" s="7" t="s">
        <v>387</v>
      </c>
      <c r="K1192" s="7" t="s">
        <v>547</v>
      </c>
      <c r="L1192" s="7" t="s">
        <v>548</v>
      </c>
      <c r="M1192" s="7" t="n">
        <v>2</v>
      </c>
      <c r="N1192" s="27" t="n">
        <v>249</v>
      </c>
      <c r="O1192" s="28" t="n">
        <v>0.05</v>
      </c>
      <c r="P1192" s="27" t="n">
        <v>473</v>
      </c>
      <c r="Q1192" s="27" t="n">
        <v>240</v>
      </c>
      <c r="R1192" s="27" t="n">
        <v>233</v>
      </c>
      <c r="S1192" s="7" t="s">
        <v>60</v>
      </c>
      <c r="T1192" s="7" t="str">
        <f aca="false">IF(O1192=0,"No discount",IF(O1192&lt;=0.2,"Up to 20%","Above 20%"))</f>
        <v>Up to 20%</v>
      </c>
    </row>
    <row r="1193" customFormat="false" ht="15" hidden="false" customHeight="true" outlineLevel="0" collapsed="false">
      <c r="A1193" s="7" t="s">
        <v>1904</v>
      </c>
      <c r="B1193" s="26" t="n">
        <v>46020</v>
      </c>
      <c r="C1193" s="26" t="n">
        <v>46027</v>
      </c>
      <c r="D1193" s="7" t="s">
        <v>227</v>
      </c>
      <c r="E1193" s="7" t="s">
        <v>228</v>
      </c>
      <c r="F1193" s="7" t="s">
        <v>159</v>
      </c>
      <c r="G1193" s="7" t="s">
        <v>169</v>
      </c>
      <c r="H1193" s="7" t="s">
        <v>179</v>
      </c>
      <c r="I1193" s="7" t="s">
        <v>192</v>
      </c>
      <c r="J1193" s="7" t="s">
        <v>213</v>
      </c>
      <c r="K1193" s="7" t="s">
        <v>214</v>
      </c>
      <c r="L1193" s="7" t="s">
        <v>215</v>
      </c>
      <c r="M1193" s="7" t="n">
        <v>1</v>
      </c>
      <c r="N1193" s="27" t="n">
        <v>5999</v>
      </c>
      <c r="O1193" s="28" t="n">
        <v>0.2</v>
      </c>
      <c r="P1193" s="27" t="n">
        <v>4799</v>
      </c>
      <c r="Q1193" s="27" t="n">
        <v>4600</v>
      </c>
      <c r="R1193" s="27" t="n">
        <v>199</v>
      </c>
      <c r="S1193" s="7" t="s">
        <v>60</v>
      </c>
      <c r="T1193" s="7" t="str">
        <f aca="false">IF(O1193=0,"No discount",IF(O1193&lt;=0.2,"Up to 20%","Above 20%"))</f>
        <v>Up to 20%</v>
      </c>
    </row>
    <row r="1194" customFormat="false" ht="15" hidden="false" customHeight="true" outlineLevel="0" collapsed="false">
      <c r="A1194" s="7" t="s">
        <v>1905</v>
      </c>
      <c r="B1194" s="26" t="n">
        <v>46020</v>
      </c>
      <c r="C1194" s="26" t="n">
        <v>46021</v>
      </c>
      <c r="D1194" s="7" t="s">
        <v>903</v>
      </c>
      <c r="E1194" s="7" t="s">
        <v>904</v>
      </c>
      <c r="F1194" s="7" t="s">
        <v>219</v>
      </c>
      <c r="G1194" s="7" t="s">
        <v>206</v>
      </c>
      <c r="H1194" s="7" t="s">
        <v>207</v>
      </c>
      <c r="I1194" s="7" t="s">
        <v>171</v>
      </c>
      <c r="J1194" s="7" t="s">
        <v>172</v>
      </c>
      <c r="K1194" s="7" t="s">
        <v>180</v>
      </c>
      <c r="L1194" s="7" t="s">
        <v>181</v>
      </c>
      <c r="M1194" s="7" t="n">
        <v>1</v>
      </c>
      <c r="N1194" s="27" t="n">
        <v>999</v>
      </c>
      <c r="O1194" s="28" t="n">
        <v>0</v>
      </c>
      <c r="P1194" s="27" t="n">
        <v>999</v>
      </c>
      <c r="Q1194" s="27" t="n">
        <v>520</v>
      </c>
      <c r="R1194" s="27" t="n">
        <v>479</v>
      </c>
      <c r="S1194" s="7" t="s">
        <v>60</v>
      </c>
      <c r="T1194" s="7" t="str">
        <f aca="false">IF(O1194=0,"No discount",IF(O1194&lt;=0.2,"Up to 20%","Above 20%"))</f>
        <v>No discount</v>
      </c>
    </row>
    <row r="1195" customFormat="false" ht="15" hidden="false" customHeight="true" outlineLevel="0" collapsed="false">
      <c r="A1195" s="7" t="s">
        <v>1906</v>
      </c>
      <c r="B1195" s="26" t="n">
        <v>46021</v>
      </c>
      <c r="C1195" s="26" t="n">
        <v>46023</v>
      </c>
      <c r="D1195" s="7" t="s">
        <v>330</v>
      </c>
      <c r="E1195" s="7" t="s">
        <v>331</v>
      </c>
      <c r="F1195" s="7" t="s">
        <v>219</v>
      </c>
      <c r="G1195" s="7" t="s">
        <v>206</v>
      </c>
      <c r="H1195" s="7" t="s">
        <v>207</v>
      </c>
      <c r="I1195" s="7" t="s">
        <v>171</v>
      </c>
      <c r="J1195" s="7" t="s">
        <v>172</v>
      </c>
      <c r="K1195" s="7" t="s">
        <v>173</v>
      </c>
      <c r="L1195" s="7" t="s">
        <v>174</v>
      </c>
      <c r="M1195" s="7" t="n">
        <v>3</v>
      </c>
      <c r="N1195" s="27" t="n">
        <v>699</v>
      </c>
      <c r="O1195" s="28" t="n">
        <v>0.2</v>
      </c>
      <c r="P1195" s="27" t="n">
        <v>1678</v>
      </c>
      <c r="Q1195" s="27" t="n">
        <v>960</v>
      </c>
      <c r="R1195" s="27" t="n">
        <v>718</v>
      </c>
      <c r="S1195" s="7" t="s">
        <v>60</v>
      </c>
      <c r="T1195" s="7" t="str">
        <f aca="false">IF(O1195=0,"No discount",IF(O1195&lt;=0.2,"Up to 20%","Above 20%"))</f>
        <v>Up to 20%</v>
      </c>
    </row>
    <row r="1196" customFormat="false" ht="15" hidden="false" customHeight="true" outlineLevel="0" collapsed="false">
      <c r="A1196" s="7" t="s">
        <v>1907</v>
      </c>
      <c r="B1196" s="26" t="n">
        <v>46021</v>
      </c>
      <c r="C1196" s="26" t="n">
        <v>46027</v>
      </c>
      <c r="D1196" s="7" t="s">
        <v>419</v>
      </c>
      <c r="E1196" s="7" t="s">
        <v>420</v>
      </c>
      <c r="F1196" s="7" t="s">
        <v>178</v>
      </c>
      <c r="G1196" s="7" t="s">
        <v>169</v>
      </c>
      <c r="H1196" s="7" t="s">
        <v>179</v>
      </c>
      <c r="I1196" s="7" t="s">
        <v>171</v>
      </c>
      <c r="J1196" s="7" t="s">
        <v>314</v>
      </c>
      <c r="K1196" s="7" t="s">
        <v>315</v>
      </c>
      <c r="L1196" s="7" t="s">
        <v>316</v>
      </c>
      <c r="M1196" s="7" t="n">
        <v>3</v>
      </c>
      <c r="N1196" s="27" t="n">
        <v>1299</v>
      </c>
      <c r="O1196" s="28" t="n">
        <v>0.05</v>
      </c>
      <c r="P1196" s="27" t="n">
        <v>3702</v>
      </c>
      <c r="Q1196" s="27" t="n">
        <v>2100</v>
      </c>
      <c r="R1196" s="27" t="n">
        <v>1602</v>
      </c>
      <c r="S1196" s="7" t="s">
        <v>60</v>
      </c>
      <c r="T1196" s="7" t="str">
        <f aca="false">IF(O1196=0,"No discount",IF(O1196&lt;=0.2,"Up to 20%","Above 20%"))</f>
        <v>Up to 20%</v>
      </c>
    </row>
    <row r="1197" customFormat="false" ht="15" hidden="false" customHeight="true" outlineLevel="0" collapsed="false">
      <c r="A1197" s="7" t="s">
        <v>1908</v>
      </c>
      <c r="B1197" s="26" t="n">
        <v>46021</v>
      </c>
      <c r="C1197" s="26" t="n">
        <v>46023</v>
      </c>
      <c r="D1197" s="7" t="s">
        <v>261</v>
      </c>
      <c r="E1197" s="7" t="s">
        <v>262</v>
      </c>
      <c r="F1197" s="7" t="s">
        <v>159</v>
      </c>
      <c r="G1197" s="7" t="s">
        <v>160</v>
      </c>
      <c r="H1197" s="7" t="s">
        <v>263</v>
      </c>
      <c r="I1197" s="7" t="s">
        <v>171</v>
      </c>
      <c r="J1197" s="7" t="s">
        <v>304</v>
      </c>
      <c r="K1197" s="7" t="s">
        <v>305</v>
      </c>
      <c r="L1197" s="7" t="s">
        <v>306</v>
      </c>
      <c r="M1197" s="7" t="n">
        <v>2</v>
      </c>
      <c r="N1197" s="27" t="n">
        <v>2999</v>
      </c>
      <c r="O1197" s="28" t="n">
        <v>0.05</v>
      </c>
      <c r="P1197" s="27" t="n">
        <v>5698</v>
      </c>
      <c r="Q1197" s="27" t="n">
        <v>4000</v>
      </c>
      <c r="R1197" s="27" t="n">
        <v>1698</v>
      </c>
      <c r="S1197" s="7" t="s">
        <v>60</v>
      </c>
      <c r="T1197" s="7" t="str">
        <f aca="false">IF(O1197=0,"No discount",IF(O1197&lt;=0.2,"Up to 20%","Above 20%"))</f>
        <v>Up to 20%</v>
      </c>
    </row>
    <row r="1198" customFormat="false" ht="15" hidden="false" customHeight="true" outlineLevel="0" collapsed="false">
      <c r="A1198" s="7" t="s">
        <v>1909</v>
      </c>
      <c r="B1198" s="26" t="n">
        <v>46021</v>
      </c>
      <c r="C1198" s="26" t="n">
        <v>46023</v>
      </c>
      <c r="D1198" s="7" t="s">
        <v>407</v>
      </c>
      <c r="E1198" s="7" t="s">
        <v>408</v>
      </c>
      <c r="F1198" s="7" t="s">
        <v>159</v>
      </c>
      <c r="G1198" s="7" t="s">
        <v>169</v>
      </c>
      <c r="H1198" s="7" t="s">
        <v>191</v>
      </c>
      <c r="I1198" s="7" t="s">
        <v>171</v>
      </c>
      <c r="J1198" s="7" t="s">
        <v>172</v>
      </c>
      <c r="K1198" s="7" t="s">
        <v>173</v>
      </c>
      <c r="L1198" s="7" t="s">
        <v>174</v>
      </c>
      <c r="M1198" s="7" t="n">
        <v>1</v>
      </c>
      <c r="N1198" s="27" t="n">
        <v>699</v>
      </c>
      <c r="O1198" s="28" t="n">
        <v>0.05</v>
      </c>
      <c r="P1198" s="27" t="n">
        <v>664</v>
      </c>
      <c r="Q1198" s="27" t="n">
        <v>320</v>
      </c>
      <c r="R1198" s="27" t="n">
        <v>344</v>
      </c>
      <c r="S1198" s="7" t="s">
        <v>60</v>
      </c>
      <c r="T1198" s="7" t="str">
        <f aca="false">IF(O1198=0,"No discount",IF(O1198&lt;=0.2,"Up to 20%","Above 20%"))</f>
        <v>Up to 20%</v>
      </c>
    </row>
    <row r="1199" customFormat="false" ht="15" hidden="false" customHeight="true" outlineLevel="0" collapsed="false">
      <c r="A1199" s="7" t="s">
        <v>1910</v>
      </c>
      <c r="B1199" s="26" t="n">
        <v>46021</v>
      </c>
      <c r="C1199" s="26" t="n">
        <v>46025</v>
      </c>
      <c r="D1199" s="7" t="s">
        <v>491</v>
      </c>
      <c r="E1199" s="7" t="s">
        <v>492</v>
      </c>
      <c r="F1199" s="7" t="s">
        <v>159</v>
      </c>
      <c r="G1199" s="7" t="s">
        <v>169</v>
      </c>
      <c r="H1199" s="7" t="s">
        <v>179</v>
      </c>
      <c r="I1199" s="7" t="s">
        <v>199</v>
      </c>
      <c r="J1199" s="7" t="s">
        <v>292</v>
      </c>
      <c r="K1199" s="7" t="s">
        <v>293</v>
      </c>
      <c r="L1199" s="7" t="s">
        <v>294</v>
      </c>
      <c r="M1199" s="7" t="n">
        <v>1</v>
      </c>
      <c r="N1199" s="27" t="n">
        <v>1599</v>
      </c>
      <c r="O1199" s="28" t="n">
        <v>0</v>
      </c>
      <c r="P1199" s="27" t="n">
        <v>1599</v>
      </c>
      <c r="Q1199" s="27" t="n">
        <v>750</v>
      </c>
      <c r="R1199" s="27" t="n">
        <v>849</v>
      </c>
      <c r="S1199" s="7" t="s">
        <v>60</v>
      </c>
      <c r="T1199" s="7" t="str">
        <f aca="false">IF(O1199=0,"No discount",IF(O1199&lt;=0.2,"Up to 20%","Above 20%"))</f>
        <v>No discount</v>
      </c>
    </row>
    <row r="1200" customFormat="false" ht="15" hidden="false" customHeight="true" outlineLevel="0" collapsed="false">
      <c r="A1200" s="7" t="s">
        <v>1911</v>
      </c>
      <c r="B1200" s="26" t="n">
        <v>46022</v>
      </c>
      <c r="C1200" s="26" t="n">
        <v>46025</v>
      </c>
      <c r="D1200" s="7" t="s">
        <v>792</v>
      </c>
      <c r="E1200" s="7" t="s">
        <v>793</v>
      </c>
      <c r="F1200" s="7" t="s">
        <v>219</v>
      </c>
      <c r="G1200" s="7" t="s">
        <v>160</v>
      </c>
      <c r="H1200" s="7" t="s">
        <v>161</v>
      </c>
      <c r="I1200" s="7" t="s">
        <v>171</v>
      </c>
      <c r="J1200" s="7" t="s">
        <v>172</v>
      </c>
      <c r="K1200" s="7" t="s">
        <v>180</v>
      </c>
      <c r="L1200" s="7" t="s">
        <v>181</v>
      </c>
      <c r="M1200" s="7" t="n">
        <v>1</v>
      </c>
      <c r="N1200" s="27" t="n">
        <v>999</v>
      </c>
      <c r="O1200" s="28" t="n">
        <v>0.05</v>
      </c>
      <c r="P1200" s="27" t="n">
        <v>949</v>
      </c>
      <c r="Q1200" s="27" t="n">
        <v>520</v>
      </c>
      <c r="R1200" s="27" t="n">
        <v>429</v>
      </c>
      <c r="S1200" s="7" t="s">
        <v>60</v>
      </c>
      <c r="T1200" s="7" t="str">
        <f aca="false">IF(O1200=0,"No discount",IF(O1200&lt;=0.2,"Up to 20%","Above 20%"))</f>
        <v>Up to 20%</v>
      </c>
    </row>
    <row r="1201" customFormat="false" ht="15" hidden="false" customHeight="true" outlineLevel="0" collapsed="false">
      <c r="A1201" s="7" t="s">
        <v>1912</v>
      </c>
      <c r="B1201" s="26" t="n">
        <v>46022</v>
      </c>
      <c r="C1201" s="26" t="n">
        <v>46023</v>
      </c>
      <c r="D1201" s="7" t="s">
        <v>311</v>
      </c>
      <c r="E1201" s="7" t="s">
        <v>312</v>
      </c>
      <c r="F1201" s="7" t="s">
        <v>178</v>
      </c>
      <c r="G1201" s="7" t="s">
        <v>206</v>
      </c>
      <c r="H1201" s="7" t="s">
        <v>207</v>
      </c>
      <c r="I1201" s="7" t="s">
        <v>162</v>
      </c>
      <c r="J1201" s="7" t="s">
        <v>163</v>
      </c>
      <c r="K1201" s="7" t="s">
        <v>164</v>
      </c>
      <c r="L1201" s="7" t="s">
        <v>165</v>
      </c>
      <c r="M1201" s="7" t="n">
        <v>1</v>
      </c>
      <c r="N1201" s="27" t="n">
        <v>1999</v>
      </c>
      <c r="O1201" s="28" t="n">
        <v>0.3</v>
      </c>
      <c r="P1201" s="27" t="n">
        <v>1399</v>
      </c>
      <c r="Q1201" s="27" t="n">
        <v>1050</v>
      </c>
      <c r="R1201" s="27" t="n">
        <v>349</v>
      </c>
      <c r="S1201" s="7" t="s">
        <v>60</v>
      </c>
      <c r="T1201" s="7" t="str">
        <f aca="false">IF(O1201=0,"No discount",IF(O1201&lt;=0.2,"Up to 20%","Above 20%"))</f>
        <v>Above 20%</v>
      </c>
    </row>
  </sheetData>
  <autoFilter ref="A1:T1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2"/>
    <col collapsed="false" customWidth="true" hidden="false" outlineLevel="0" max="3" min="3" style="1" width="22"/>
    <col collapsed="false" customWidth="true" hidden="false" outlineLevel="0" max="4" min="4" style="1" width="14"/>
  </cols>
  <sheetData>
    <row r="1" customFormat="false" ht="19.5" hidden="false" customHeight="true" outlineLevel="0" collapsed="false">
      <c r="A1" s="2" t="s">
        <v>10</v>
      </c>
    </row>
    <row r="2" customFormat="false" ht="15" hidden="false" customHeight="true" outlineLevel="0" collapsed="false">
      <c r="A2" s="3" t="s">
        <v>1913</v>
      </c>
    </row>
    <row r="4" customFormat="false" ht="15" hidden="false" customHeight="true" outlineLevel="0" collapsed="false">
      <c r="A4" s="4" t="s">
        <v>72</v>
      </c>
      <c r="B4" s="4" t="s">
        <v>73</v>
      </c>
      <c r="C4" s="4" t="s">
        <v>74</v>
      </c>
      <c r="D4" s="4" t="s">
        <v>43</v>
      </c>
    </row>
    <row r="5" customFormat="false" ht="31.5" hidden="false" customHeight="true" outlineLevel="0" collapsed="false">
      <c r="A5" s="11" t="n">
        <v>1</v>
      </c>
      <c r="B5" s="5" t="s">
        <v>1914</v>
      </c>
      <c r="C5" s="13" t="n">
        <f aca="false">SUM('Sales Data'!$P$2:$P$1201)</f>
        <v>5426671</v>
      </c>
      <c r="D5" s="9" t="s">
        <v>47</v>
      </c>
    </row>
    <row r="6" customFormat="false" ht="31.5" hidden="false" customHeight="true" outlineLevel="0" collapsed="false">
      <c r="A6" s="11" t="n">
        <v>2</v>
      </c>
      <c r="B6" s="5" t="s">
        <v>1915</v>
      </c>
      <c r="C6" s="13" t="n">
        <f aca="false">SUM('Sales Data'!$R$2:$R$1201)</f>
        <v>1212441</v>
      </c>
      <c r="D6" s="9" t="s">
        <v>47</v>
      </c>
    </row>
    <row r="7" customFormat="false" ht="31.5" hidden="false" customHeight="true" outlineLevel="0" collapsed="false">
      <c r="A7" s="11" t="n">
        <v>3</v>
      </c>
      <c r="B7" s="5" t="s">
        <v>1916</v>
      </c>
      <c r="C7" s="29" t="n">
        <f aca="false">C6/C5</f>
        <v>0.22342261028907</v>
      </c>
      <c r="D7" s="9" t="s">
        <v>47</v>
      </c>
    </row>
    <row r="8" customFormat="false" ht="31.5" hidden="false" customHeight="true" outlineLevel="0" collapsed="false">
      <c r="A8" s="11" t="n">
        <v>4</v>
      </c>
      <c r="B8" s="5" t="s">
        <v>1917</v>
      </c>
      <c r="C8" s="12" t="n">
        <f aca="false">COUNTA('Sales Data'!$A$2:$A$1201)</f>
        <v>1200</v>
      </c>
      <c r="D8" s="9" t="s">
        <v>47</v>
      </c>
    </row>
    <row r="9" customFormat="false" ht="31.5" hidden="false" customHeight="true" outlineLevel="0" collapsed="false">
      <c r="A9" s="11" t="n">
        <v>5</v>
      </c>
      <c r="B9" s="5" t="s">
        <v>1918</v>
      </c>
      <c r="C9" s="13" t="n">
        <f aca="false">C5/C8</f>
        <v>4522.22583333333</v>
      </c>
      <c r="D9" s="9" t="s">
        <v>47</v>
      </c>
    </row>
    <row r="10" customFormat="false" ht="43.5" hidden="false" customHeight="true" outlineLevel="0" collapsed="false">
      <c r="A10" s="11" t="n">
        <v>6</v>
      </c>
      <c r="B10" s="5" t="s">
        <v>1919</v>
      </c>
      <c r="C10" s="29" t="n">
        <f aca="false">COUNTIF('Sales Data'!$S$2:$S$1201,"Y")/C8</f>
        <v>0.04</v>
      </c>
      <c r="D10" s="9" t="s">
        <v>47</v>
      </c>
    </row>
    <row r="11" customFormat="false" ht="31.5" hidden="false" customHeight="true" outlineLevel="0" collapsed="false">
      <c r="A11" s="11" t="n">
        <v>7</v>
      </c>
      <c r="B11" s="5" t="s">
        <v>1920</v>
      </c>
      <c r="C11" s="12" t="str">
        <f aca="false">INDEX(Pivots!$B$24:$B$35,MATCH(MAX(Pivots!$D$24:$D$35),Pivots!$D$24:$D$35,0))</f>
        <v>November</v>
      </c>
      <c r="D11" s="9" t="s">
        <v>47</v>
      </c>
    </row>
    <row r="12" customFormat="false" ht="43.5" hidden="false" customHeight="true" outlineLevel="0" collapsed="false">
      <c r="A12" s="11" t="n">
        <v>8</v>
      </c>
      <c r="B12" s="5" t="s">
        <v>1921</v>
      </c>
      <c r="C12" s="29" t="n">
        <f aca="false">(Pivots!$D$35-Pivots!$D$34)/Pivots!$D$34</f>
        <v>-0.313736241106272</v>
      </c>
      <c r="D12" s="9" t="s">
        <v>47</v>
      </c>
    </row>
    <row r="13" customFormat="false" ht="31.5" hidden="false" customHeight="true" outlineLevel="0" collapsed="false">
      <c r="A13" s="11" t="n">
        <v>9</v>
      </c>
      <c r="B13" s="5" t="s">
        <v>1922</v>
      </c>
      <c r="C13" s="13" t="n">
        <f aca="false">SUMIFS('Sales Data'!$P$2:$P$1201,'Sales Data'!$G$2:$G$1201,"West",'Sales Data'!$O$2:$O$1201,"&gt;=0.2")</f>
        <v>698690</v>
      </c>
      <c r="D13" s="9" t="s">
        <v>47</v>
      </c>
    </row>
    <row r="14" customFormat="false" ht="31.5" hidden="false" customHeight="true" outlineLevel="0" collapsed="false">
      <c r="A14" s="11" t="n">
        <v>10</v>
      </c>
      <c r="B14" s="5" t="s">
        <v>1923</v>
      </c>
      <c r="C14" s="12" t="n">
        <f aca="false">COUNTIF('Sales Data'!$R$2:$R$1201,"&lt;0")</f>
        <v>92</v>
      </c>
      <c r="D14" s="9" t="s">
        <v>47</v>
      </c>
    </row>
    <row r="15" customFormat="false" ht="31.5" hidden="false" customHeight="true" outlineLevel="0" collapsed="false">
      <c r="A15" s="11" t="n">
        <v>11</v>
      </c>
      <c r="B15" s="5" t="s">
        <v>1924</v>
      </c>
      <c r="C15" s="13" t="n">
        <f aca="false">-SUMIF('Sales Data'!$R$2:$R$1201,"&lt;0")</f>
        <v>85926</v>
      </c>
      <c r="D15" s="9" t="s">
        <v>47</v>
      </c>
    </row>
    <row r="16" customFormat="false" ht="31.5" hidden="false" customHeight="true" outlineLevel="0" collapsed="false">
      <c r="A16" s="11" t="n">
        <v>12</v>
      </c>
      <c r="B16" s="5" t="s">
        <v>1925</v>
      </c>
      <c r="C16" s="30" t="n">
        <f aca="false">ROUND(SUMPRODUCT('Sales Data'!$C$2:$C$1201-'Sales Data'!$B$2:$B$1201)/COUNTA('Sales Data'!$A$2:$A$1201),2)</f>
        <v>4</v>
      </c>
      <c r="D16" s="9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N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8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6" min="5" style="1" width="13"/>
    <col collapsed="false" customWidth="true" hidden="false" outlineLevel="0" max="7" min="7" style="1" width="3"/>
    <col collapsed="false" customWidth="true" hidden="false" outlineLevel="0" max="8" min="8" style="1" width="11"/>
    <col collapsed="false" customWidth="true" hidden="false" outlineLevel="0" max="10" min="9" style="1" width="13"/>
    <col collapsed="false" customWidth="true" hidden="false" outlineLevel="0" max="12" min="11" style="1" width="12"/>
    <col collapsed="false" customWidth="true" hidden="false" outlineLevel="0" max="13" min="13" style="1" width="14"/>
    <col collapsed="false" customWidth="true" hidden="false" outlineLevel="0" max="14" min="14" style="1" width="11"/>
  </cols>
  <sheetData>
    <row r="1" customFormat="false" ht="19.5" hidden="false" customHeight="true" outlineLevel="0" collapsed="false">
      <c r="A1" s="2" t="s">
        <v>1926</v>
      </c>
    </row>
    <row r="2" customFormat="false" ht="15" hidden="false" customHeight="true" outlineLevel="0" collapsed="false">
      <c r="A2" s="3" t="s">
        <v>1927</v>
      </c>
    </row>
    <row r="4" customFormat="false" ht="23.25" hidden="false" customHeight="true" outlineLevel="0" collapsed="false">
      <c r="A4" s="25" t="s">
        <v>146</v>
      </c>
      <c r="B4" s="25" t="s">
        <v>147</v>
      </c>
      <c r="C4" s="25" t="s">
        <v>144</v>
      </c>
      <c r="D4" s="25" t="s">
        <v>145</v>
      </c>
      <c r="E4" s="25" t="s">
        <v>149</v>
      </c>
      <c r="F4" s="25" t="s">
        <v>1928</v>
      </c>
      <c r="H4" s="25" t="s">
        <v>1929</v>
      </c>
      <c r="I4" s="25" t="s">
        <v>151</v>
      </c>
      <c r="J4" s="25" t="s">
        <v>153</v>
      </c>
      <c r="K4" s="25" t="s">
        <v>1930</v>
      </c>
      <c r="L4" s="25" t="s">
        <v>1931</v>
      </c>
      <c r="M4" s="25" t="s">
        <v>1932</v>
      </c>
      <c r="N4" s="25" t="s">
        <v>1933</v>
      </c>
    </row>
    <row r="5" customFormat="false" ht="15" hidden="false" customHeight="true" outlineLevel="0" collapsed="false">
      <c r="A5" s="11" t="s">
        <v>1011</v>
      </c>
      <c r="B5" s="11" t="s">
        <v>1012</v>
      </c>
      <c r="C5" s="11" t="s">
        <v>208</v>
      </c>
      <c r="D5" s="11" t="s">
        <v>232</v>
      </c>
      <c r="E5" s="31" t="n">
        <v>2499</v>
      </c>
      <c r="F5" s="31" t="n">
        <v>1500</v>
      </c>
      <c r="H5" s="32" t="n">
        <f aca="false">SUMIFS('Sales Data'!$M$2:$M$1201,'Sales Data'!$K$2:$K$1201,A5)</f>
        <v>10</v>
      </c>
      <c r="I5" s="33" t="n">
        <f aca="false">SUMIFS('Sales Data'!$P$2:$P$1201,'Sales Data'!$K$2:$K$1201,A5)</f>
        <v>24240</v>
      </c>
      <c r="J5" s="33" t="n">
        <f aca="false">SUMIFS('Sales Data'!$R$2:$R$1201,'Sales Data'!$K$2:$K$1201,A5)</f>
        <v>9240</v>
      </c>
      <c r="K5" s="34" t="n">
        <f aca="false">IF(I5=0,0,J5/I5)</f>
        <v>0.381188118811881</v>
      </c>
      <c r="L5" s="34" t="n">
        <f aca="false">I5/SUM($I$5:$I$44)</f>
        <v>0.00446682689995395</v>
      </c>
      <c r="M5" s="34" t="n">
        <f aca="false">SUMIF($I$5:$I$44,"&gt;="&amp;I5)/SUM($I$5:$I$44)</f>
        <v>0.979164205827108</v>
      </c>
      <c r="N5" s="9" t="str">
        <f aca="false">IF(M5&lt;=0.8,"A",IF(M5&lt;=0.95,"B",IF(M5&lt;=1,"C","C")))</f>
        <v>C</v>
      </c>
    </row>
    <row r="6" customFormat="false" ht="15" hidden="false" customHeight="true" outlineLevel="0" collapsed="false">
      <c r="A6" s="11" t="s">
        <v>422</v>
      </c>
      <c r="B6" s="11" t="s">
        <v>423</v>
      </c>
      <c r="C6" s="11" t="s">
        <v>208</v>
      </c>
      <c r="D6" s="11" t="s">
        <v>421</v>
      </c>
      <c r="E6" s="31" t="n">
        <v>5999</v>
      </c>
      <c r="F6" s="31" t="n">
        <v>4300</v>
      </c>
      <c r="H6" s="32" t="n">
        <f aca="false">SUMIFS('Sales Data'!$M$2:$M$1201,'Sales Data'!$K$2:$K$1201,A6)</f>
        <v>37</v>
      </c>
      <c r="I6" s="33" t="n">
        <f aca="false">SUMIFS('Sales Data'!$P$2:$P$1201,'Sales Data'!$K$2:$K$1201,A6)</f>
        <v>208164</v>
      </c>
      <c r="J6" s="33" t="n">
        <f aca="false">SUMIFS('Sales Data'!$R$2:$R$1201,'Sales Data'!$K$2:$K$1201,A6)</f>
        <v>49064</v>
      </c>
      <c r="K6" s="34" t="n">
        <f aca="false">IF(I6=0,0,J6/I6)</f>
        <v>0.235698775965104</v>
      </c>
      <c r="L6" s="34" t="n">
        <f aca="false">I6/SUM($I$5:$I$44)</f>
        <v>0.0383594288284659</v>
      </c>
      <c r="M6" s="34" t="n">
        <f aca="false">SUMIF($I$5:$I$44,"&gt;="&amp;I6)/SUM($I$5:$I$44)</f>
        <v>0.661305061611437</v>
      </c>
      <c r="N6" s="9" t="str">
        <f aca="false">IF(M6&lt;=0.8,"A",IF(M6&lt;=0.95,"B",IF(M6&lt;=1,"C","C")))</f>
        <v>A</v>
      </c>
    </row>
    <row r="7" customFormat="false" ht="15" hidden="false" customHeight="true" outlineLevel="0" collapsed="false">
      <c r="A7" s="11" t="s">
        <v>641</v>
      </c>
      <c r="B7" s="11" t="s">
        <v>642</v>
      </c>
      <c r="C7" s="11" t="s">
        <v>208</v>
      </c>
      <c r="D7" s="11" t="s">
        <v>209</v>
      </c>
      <c r="E7" s="31" t="n">
        <v>1499</v>
      </c>
      <c r="F7" s="31" t="n">
        <v>900</v>
      </c>
      <c r="H7" s="32" t="n">
        <f aca="false">SUMIFS('Sales Data'!$M$2:$M$1201,'Sales Data'!$K$2:$K$1201,A7)</f>
        <v>23</v>
      </c>
      <c r="I7" s="33" t="n">
        <f aca="false">SUMIFS('Sales Data'!$P$2:$P$1201,'Sales Data'!$K$2:$K$1201,A7)</f>
        <v>31852</v>
      </c>
      <c r="J7" s="33" t="n">
        <f aca="false">SUMIFS('Sales Data'!$R$2:$R$1201,'Sales Data'!$K$2:$K$1201,A7)</f>
        <v>11152</v>
      </c>
      <c r="K7" s="34" t="n">
        <f aca="false">IF(I7=0,0,J7/I7)</f>
        <v>0.350119301770689</v>
      </c>
      <c r="L7" s="34" t="n">
        <f aca="false">I7/SUM($I$5:$I$44)</f>
        <v>0.00586952848256325</v>
      </c>
      <c r="M7" s="34" t="n">
        <f aca="false">SUMIF($I$5:$I$44,"&gt;="&amp;I7)/SUM($I$5:$I$44)</f>
        <v>0.964759057624831</v>
      </c>
      <c r="N7" s="9" t="str">
        <f aca="false">IF(M7&lt;=0.8,"A",IF(M7&lt;=0.95,"B",IF(M7&lt;=1,"C","C")))</f>
        <v>C</v>
      </c>
    </row>
    <row r="8" customFormat="false" ht="15" hidden="false" customHeight="true" outlineLevel="0" collapsed="false">
      <c r="A8" s="11" t="s">
        <v>671</v>
      </c>
      <c r="B8" s="11" t="s">
        <v>672</v>
      </c>
      <c r="C8" s="11" t="s">
        <v>208</v>
      </c>
      <c r="D8" s="11" t="s">
        <v>232</v>
      </c>
      <c r="E8" s="31" t="n">
        <v>3299</v>
      </c>
      <c r="F8" s="31" t="n">
        <v>2100</v>
      </c>
      <c r="H8" s="32" t="n">
        <f aca="false">SUMIFS('Sales Data'!$M$2:$M$1201,'Sales Data'!$K$2:$K$1201,A8)</f>
        <v>20</v>
      </c>
      <c r="I8" s="33" t="n">
        <f aca="false">SUMIFS('Sales Data'!$P$2:$P$1201,'Sales Data'!$K$2:$K$1201,A8)</f>
        <v>63670</v>
      </c>
      <c r="J8" s="33" t="n">
        <f aca="false">SUMIFS('Sales Data'!$R$2:$R$1201,'Sales Data'!$K$2:$K$1201,A8)</f>
        <v>21670</v>
      </c>
      <c r="K8" s="34" t="n">
        <f aca="false">IF(I8=0,0,J8/I8)</f>
        <v>0.340348672844354</v>
      </c>
      <c r="L8" s="34" t="n">
        <f aca="false">I8/SUM($I$5:$I$44)</f>
        <v>0.0117327916138642</v>
      </c>
      <c r="M8" s="34" t="n">
        <f aca="false">SUMIF($I$5:$I$44,"&gt;="&amp;I8)/SUM($I$5:$I$44)</f>
        <v>0.908466350733258</v>
      </c>
      <c r="N8" s="9" t="str">
        <f aca="false">IF(M8&lt;=0.8,"A",IF(M8&lt;=0.95,"B",IF(M8&lt;=1,"C","C")))</f>
        <v>B</v>
      </c>
    </row>
    <row r="9" customFormat="false" ht="15" hidden="false" customHeight="true" outlineLevel="0" collapsed="false">
      <c r="A9" s="11" t="s">
        <v>326</v>
      </c>
      <c r="B9" s="11" t="s">
        <v>327</v>
      </c>
      <c r="C9" s="11" t="s">
        <v>162</v>
      </c>
      <c r="D9" s="11" t="s">
        <v>325</v>
      </c>
      <c r="E9" s="31" t="n">
        <v>799</v>
      </c>
      <c r="F9" s="31" t="n">
        <v>380</v>
      </c>
      <c r="H9" s="32" t="n">
        <f aca="false">SUMIFS('Sales Data'!$M$2:$M$1201,'Sales Data'!$K$2:$K$1201,A9)</f>
        <v>13</v>
      </c>
      <c r="I9" s="33" t="n">
        <f aca="false">SUMIFS('Sales Data'!$P$2:$P$1201,'Sales Data'!$K$2:$K$1201,A9)</f>
        <v>7830</v>
      </c>
      <c r="J9" s="33" t="n">
        <f aca="false">SUMIFS('Sales Data'!$R$2:$R$1201,'Sales Data'!$K$2:$K$1201,A9)</f>
        <v>2890</v>
      </c>
      <c r="K9" s="34" t="n">
        <f aca="false">IF(I9=0,0,J9/I9)</f>
        <v>0.369093231162197</v>
      </c>
      <c r="L9" s="34" t="n">
        <f aca="false">I9/SUM($I$5:$I$44)</f>
        <v>0.00144287354070295</v>
      </c>
      <c r="M9" s="34" t="n">
        <f aca="false">SUMIF($I$5:$I$44,"&gt;="&amp;I9)/SUM($I$5:$I$44)</f>
        <v>0.999685442511625</v>
      </c>
      <c r="N9" s="9" t="str">
        <f aca="false">IF(M9&lt;=0.8,"A",IF(M9&lt;=0.95,"B",IF(M9&lt;=1,"C","C")))</f>
        <v>C</v>
      </c>
    </row>
    <row r="10" customFormat="false" ht="15" hidden="false" customHeight="true" outlineLevel="0" collapsed="false">
      <c r="A10" s="11" t="s">
        <v>164</v>
      </c>
      <c r="B10" s="11" t="s">
        <v>165</v>
      </c>
      <c r="C10" s="11" t="s">
        <v>162</v>
      </c>
      <c r="D10" s="11" t="s">
        <v>163</v>
      </c>
      <c r="E10" s="31" t="n">
        <v>1999</v>
      </c>
      <c r="F10" s="31" t="n">
        <v>1050</v>
      </c>
      <c r="H10" s="32" t="n">
        <f aca="false">SUMIFS('Sales Data'!$M$2:$M$1201,'Sales Data'!$K$2:$K$1201,A10)</f>
        <v>85</v>
      </c>
      <c r="I10" s="33" t="n">
        <f aca="false">SUMIFS('Sales Data'!$P$2:$P$1201,'Sales Data'!$K$2:$K$1201,A10)</f>
        <v>131131</v>
      </c>
      <c r="J10" s="33" t="n">
        <f aca="false">SUMIFS('Sales Data'!$R$2:$R$1201,'Sales Data'!$K$2:$K$1201,A10)</f>
        <v>41881</v>
      </c>
      <c r="K10" s="34" t="n">
        <f aca="false">IF(I10=0,0,J10/I10)</f>
        <v>0.319382907169167</v>
      </c>
      <c r="L10" s="34" t="n">
        <f aca="false">I10/SUM($I$5:$I$44)</f>
        <v>0.0241641698934761</v>
      </c>
      <c r="M10" s="34" t="n">
        <f aca="false">SUMIF($I$5:$I$44,"&gt;="&amp;I10)/SUM($I$5:$I$44)</f>
        <v>0.792471295938154</v>
      </c>
      <c r="N10" s="9" t="str">
        <f aca="false">IF(M10&lt;=0.8,"A",IF(M10&lt;=0.95,"B",IF(M10&lt;=1,"C","C")))</f>
        <v>A</v>
      </c>
    </row>
    <row r="11" customFormat="false" ht="15" hidden="false" customHeight="true" outlineLevel="0" collapsed="false">
      <c r="A11" s="11" t="s">
        <v>381</v>
      </c>
      <c r="B11" s="11" t="s">
        <v>382</v>
      </c>
      <c r="C11" s="11" t="s">
        <v>162</v>
      </c>
      <c r="D11" s="11" t="s">
        <v>325</v>
      </c>
      <c r="E11" s="31" t="n">
        <v>1799</v>
      </c>
      <c r="F11" s="31" t="n">
        <v>950</v>
      </c>
      <c r="H11" s="32" t="n">
        <f aca="false">SUMIFS('Sales Data'!$M$2:$M$1201,'Sales Data'!$K$2:$K$1201,A11)</f>
        <v>36</v>
      </c>
      <c r="I11" s="33" t="n">
        <f aca="false">SUMIFS('Sales Data'!$P$2:$P$1201,'Sales Data'!$K$2:$K$1201,A11)</f>
        <v>53429</v>
      </c>
      <c r="J11" s="33" t="n">
        <f aca="false">SUMIFS('Sales Data'!$R$2:$R$1201,'Sales Data'!$K$2:$K$1201,A11)</f>
        <v>19229</v>
      </c>
      <c r="K11" s="34" t="n">
        <f aca="false">IF(I11=0,0,J11/I11)</f>
        <v>0.359898182634899</v>
      </c>
      <c r="L11" s="34" t="n">
        <f aca="false">I11/SUM($I$5:$I$44)</f>
        <v>0.0098456309586485</v>
      </c>
      <c r="M11" s="34" t="n">
        <f aca="false">SUMIF($I$5:$I$44,"&gt;="&amp;I11)/SUM($I$5:$I$44)</f>
        <v>0.928787649002492</v>
      </c>
      <c r="N11" s="9" t="str">
        <f aca="false">IF(M11&lt;=0.8,"A",IF(M11&lt;=0.95,"B",IF(M11&lt;=1,"C","C")))</f>
        <v>B</v>
      </c>
    </row>
    <row r="12" customFormat="false" ht="15" hidden="false" customHeight="true" outlineLevel="0" collapsed="false">
      <c r="A12" s="11" t="s">
        <v>315</v>
      </c>
      <c r="B12" s="11" t="s">
        <v>316</v>
      </c>
      <c r="C12" s="11" t="s">
        <v>171</v>
      </c>
      <c r="D12" s="11" t="s">
        <v>314</v>
      </c>
      <c r="E12" s="31" t="n">
        <v>1299</v>
      </c>
      <c r="F12" s="31" t="n">
        <v>700</v>
      </c>
      <c r="H12" s="32" t="n">
        <f aca="false">SUMIFS('Sales Data'!$M$2:$M$1201,'Sales Data'!$K$2:$K$1201,A12)</f>
        <v>64</v>
      </c>
      <c r="I12" s="33" t="n">
        <f aca="false">SUMIFS('Sales Data'!$P$2:$P$1201,'Sales Data'!$K$2:$K$1201,A12)</f>
        <v>75598</v>
      </c>
      <c r="J12" s="33" t="n">
        <f aca="false">SUMIFS('Sales Data'!$R$2:$R$1201,'Sales Data'!$K$2:$K$1201,A12)</f>
        <v>30798</v>
      </c>
      <c r="K12" s="34" t="n">
        <f aca="false">IF(I12=0,0,J12/I12)</f>
        <v>0.407391729939946</v>
      </c>
      <c r="L12" s="34" t="n">
        <f aca="false">I12/SUM($I$5:$I$44)</f>
        <v>0.0139308242567128</v>
      </c>
      <c r="M12" s="34" t="n">
        <f aca="false">SUMIF($I$5:$I$44,"&gt;="&amp;I12)/SUM($I$5:$I$44)</f>
        <v>0.896733559119394</v>
      </c>
      <c r="N12" s="9" t="str">
        <f aca="false">IF(M12&lt;=0.8,"A",IF(M12&lt;=0.95,"B",IF(M12&lt;=1,"C","C")))</f>
        <v>B</v>
      </c>
    </row>
    <row r="13" customFormat="false" ht="15" hidden="false" customHeight="true" outlineLevel="0" collapsed="false">
      <c r="A13" s="11" t="s">
        <v>305</v>
      </c>
      <c r="B13" s="11" t="s">
        <v>306</v>
      </c>
      <c r="C13" s="11" t="s">
        <v>171</v>
      </c>
      <c r="D13" s="11" t="s">
        <v>304</v>
      </c>
      <c r="E13" s="31" t="n">
        <v>2999</v>
      </c>
      <c r="F13" s="31" t="n">
        <v>2000</v>
      </c>
      <c r="H13" s="32" t="n">
        <f aca="false">SUMIFS('Sales Data'!$M$2:$M$1201,'Sales Data'!$K$2:$K$1201,A13)</f>
        <v>105</v>
      </c>
      <c r="I13" s="33" t="n">
        <f aca="false">SUMIFS('Sales Data'!$P$2:$P$1201,'Sales Data'!$K$2:$K$1201,A13)</f>
        <v>287750</v>
      </c>
      <c r="J13" s="33" t="n">
        <f aca="false">SUMIFS('Sales Data'!$R$2:$R$1201,'Sales Data'!$K$2:$K$1201,A13)</f>
        <v>77750</v>
      </c>
      <c r="K13" s="34" t="n">
        <f aca="false">IF(I13=0,0,J13/I13)</f>
        <v>0.270199826238054</v>
      </c>
      <c r="L13" s="34" t="n">
        <f aca="false">I13/SUM($I$5:$I$44)</f>
        <v>0.0530251419332405</v>
      </c>
      <c r="M13" s="34" t="n">
        <f aca="false">SUMIF($I$5:$I$44,"&gt;="&amp;I13)/SUM($I$5:$I$44)</f>
        <v>0.572330071235201</v>
      </c>
      <c r="N13" s="9" t="str">
        <f aca="false">IF(M13&lt;=0.8,"A",IF(M13&lt;=0.95,"B",IF(M13&lt;=1,"C","C")))</f>
        <v>A</v>
      </c>
    </row>
    <row r="14" customFormat="false" ht="15" hidden="false" customHeight="true" outlineLevel="0" collapsed="false">
      <c r="A14" s="11" t="s">
        <v>180</v>
      </c>
      <c r="B14" s="11" t="s">
        <v>181</v>
      </c>
      <c r="C14" s="11" t="s">
        <v>171</v>
      </c>
      <c r="D14" s="11" t="s">
        <v>172</v>
      </c>
      <c r="E14" s="31" t="n">
        <v>999</v>
      </c>
      <c r="F14" s="31" t="n">
        <v>520</v>
      </c>
      <c r="H14" s="32" t="n">
        <f aca="false">SUMIFS('Sales Data'!$M$2:$M$1201,'Sales Data'!$K$2:$K$1201,A14)</f>
        <v>81</v>
      </c>
      <c r="I14" s="33" t="n">
        <f aca="false">SUMIFS('Sales Data'!$P$2:$P$1201,'Sales Data'!$K$2:$K$1201,A14)</f>
        <v>75622</v>
      </c>
      <c r="J14" s="33" t="n">
        <f aca="false">SUMIFS('Sales Data'!$R$2:$R$1201,'Sales Data'!$K$2:$K$1201,A14)</f>
        <v>33502</v>
      </c>
      <c r="K14" s="34" t="n">
        <f aca="false">IF(I14=0,0,J14/I14)</f>
        <v>0.443019227209013</v>
      </c>
      <c r="L14" s="34" t="n">
        <f aca="false">I14/SUM($I$5:$I$44)</f>
        <v>0.0139352468576039</v>
      </c>
      <c r="M14" s="34" t="n">
        <f aca="false">SUMIF($I$5:$I$44,"&gt;="&amp;I14)/SUM($I$5:$I$44)</f>
        <v>0.882802734862681</v>
      </c>
      <c r="N14" s="9" t="str">
        <f aca="false">IF(M14&lt;=0.8,"A",IF(M14&lt;=0.95,"B",IF(M14&lt;=1,"C","C")))</f>
        <v>B</v>
      </c>
    </row>
    <row r="15" customFormat="false" ht="15" hidden="false" customHeight="true" outlineLevel="0" collapsed="false">
      <c r="A15" s="11" t="s">
        <v>224</v>
      </c>
      <c r="B15" s="11" t="s">
        <v>225</v>
      </c>
      <c r="C15" s="11" t="s">
        <v>199</v>
      </c>
      <c r="D15" s="11" t="s">
        <v>223</v>
      </c>
      <c r="E15" s="31" t="n">
        <v>899</v>
      </c>
      <c r="F15" s="31" t="n">
        <v>380</v>
      </c>
      <c r="H15" s="32" t="n">
        <f aca="false">SUMIFS('Sales Data'!$M$2:$M$1201,'Sales Data'!$K$2:$K$1201,A15)</f>
        <v>63</v>
      </c>
      <c r="I15" s="33" t="n">
        <f aca="false">SUMIFS('Sales Data'!$P$2:$P$1201,'Sales Data'!$K$2:$K$1201,A15)</f>
        <v>49487</v>
      </c>
      <c r="J15" s="33" t="n">
        <f aca="false">SUMIFS('Sales Data'!$R$2:$R$1201,'Sales Data'!$K$2:$K$1201,A15)</f>
        <v>25547</v>
      </c>
      <c r="K15" s="34" t="n">
        <f aca="false">IF(I15=0,0,J15/I15)</f>
        <v>0.516236587386586</v>
      </c>
      <c r="L15" s="34" t="n">
        <f aca="false">I15/SUM($I$5:$I$44)</f>
        <v>0.0091192187622946</v>
      </c>
      <c r="M15" s="34" t="n">
        <f aca="false">SUMIF($I$5:$I$44,"&gt;="&amp;I15)/SUM($I$5:$I$44)</f>
        <v>0.937906867764786</v>
      </c>
      <c r="N15" s="9" t="str">
        <f aca="false">IF(M15&lt;=0.8,"A",IF(M15&lt;=0.95,"B",IF(M15&lt;=1,"C","C")))</f>
        <v>B</v>
      </c>
    </row>
    <row r="16" customFormat="false" ht="15" hidden="false" customHeight="true" outlineLevel="0" collapsed="false">
      <c r="A16" s="11" t="s">
        <v>293</v>
      </c>
      <c r="B16" s="11" t="s">
        <v>294</v>
      </c>
      <c r="C16" s="11" t="s">
        <v>199</v>
      </c>
      <c r="D16" s="11" t="s">
        <v>292</v>
      </c>
      <c r="E16" s="31" t="n">
        <v>1599</v>
      </c>
      <c r="F16" s="31" t="n">
        <v>750</v>
      </c>
      <c r="H16" s="32" t="n">
        <f aca="false">SUMIFS('Sales Data'!$M$2:$M$1201,'Sales Data'!$K$2:$K$1201,A16)</f>
        <v>92</v>
      </c>
      <c r="I16" s="33" t="n">
        <f aca="false">SUMIFS('Sales Data'!$P$2:$P$1201,'Sales Data'!$K$2:$K$1201,A16)</f>
        <v>129437</v>
      </c>
      <c r="J16" s="33" t="n">
        <f aca="false">SUMIFS('Sales Data'!$R$2:$R$1201,'Sales Data'!$K$2:$K$1201,A16)</f>
        <v>60437</v>
      </c>
      <c r="K16" s="34" t="n">
        <f aca="false">IF(I16=0,0,J16/I16)</f>
        <v>0.466922132002441</v>
      </c>
      <c r="L16" s="34" t="n">
        <f aca="false">I16/SUM($I$5:$I$44)</f>
        <v>0.0238520079805833</v>
      </c>
      <c r="M16" s="34" t="n">
        <f aca="false">SUMIF($I$5:$I$44,"&gt;="&amp;I16)/SUM($I$5:$I$44)</f>
        <v>0.816323303918738</v>
      </c>
      <c r="N16" s="9" t="str">
        <f aca="false">IF(M16&lt;=0.8,"A",IF(M16&lt;=0.95,"B",IF(M16&lt;=1,"C","C")))</f>
        <v>B</v>
      </c>
    </row>
    <row r="17" customFormat="false" ht="15" hidden="false" customHeight="true" outlineLevel="0" collapsed="false">
      <c r="A17" s="11" t="s">
        <v>428</v>
      </c>
      <c r="B17" s="11" t="s">
        <v>429</v>
      </c>
      <c r="C17" s="11" t="s">
        <v>282</v>
      </c>
      <c r="D17" s="11" t="s">
        <v>427</v>
      </c>
      <c r="E17" s="31" t="n">
        <v>149</v>
      </c>
      <c r="F17" s="31" t="n">
        <v>70</v>
      </c>
      <c r="H17" s="32" t="n">
        <f aca="false">SUMIFS('Sales Data'!$M$2:$M$1201,'Sales Data'!$K$2:$K$1201,A17)</f>
        <v>127</v>
      </c>
      <c r="I17" s="33" t="n">
        <f aca="false">SUMIFS('Sales Data'!$P$2:$P$1201,'Sales Data'!$K$2:$K$1201,A17)</f>
        <v>18494</v>
      </c>
      <c r="J17" s="33" t="n">
        <f aca="false">SUMIFS('Sales Data'!$R$2:$R$1201,'Sales Data'!$K$2:$K$1201,A17)</f>
        <v>9604</v>
      </c>
      <c r="K17" s="34" t="n">
        <f aca="false">IF(I17=0,0,J17/I17)</f>
        <v>0.519303557910674</v>
      </c>
      <c r="L17" s="34" t="n">
        <f aca="false">I17/SUM($I$5:$I$44)</f>
        <v>0.00340798253662328</v>
      </c>
      <c r="M17" s="34" t="n">
        <f aca="false">SUMIF($I$5:$I$44,"&gt;="&amp;I17)/SUM($I$5:$I$44)</f>
        <v>0.990950990026851</v>
      </c>
      <c r="N17" s="9" t="str">
        <f aca="false">IF(M17&lt;=0.8,"A",IF(M17&lt;=0.95,"B",IF(M17&lt;=1,"C","C")))</f>
        <v>C</v>
      </c>
    </row>
    <row r="18" customFormat="false" ht="15" hidden="false" customHeight="true" outlineLevel="0" collapsed="false">
      <c r="A18" s="11" t="s">
        <v>284</v>
      </c>
      <c r="B18" s="11" t="s">
        <v>285</v>
      </c>
      <c r="C18" s="11" t="s">
        <v>282</v>
      </c>
      <c r="D18" s="11" t="s">
        <v>283</v>
      </c>
      <c r="E18" s="31" t="n">
        <v>199</v>
      </c>
      <c r="F18" s="31" t="n">
        <v>90</v>
      </c>
      <c r="H18" s="32" t="n">
        <f aca="false">SUMIFS('Sales Data'!$M$2:$M$1201,'Sales Data'!$K$2:$K$1201,A18)</f>
        <v>146</v>
      </c>
      <c r="I18" s="33" t="n">
        <f aca="false">SUMIFS('Sales Data'!$P$2:$P$1201,'Sales Data'!$K$2:$K$1201,A18)</f>
        <v>28275</v>
      </c>
      <c r="J18" s="33" t="n">
        <f aca="false">SUMIFS('Sales Data'!$R$2:$R$1201,'Sales Data'!$K$2:$K$1201,A18)</f>
        <v>15135</v>
      </c>
      <c r="K18" s="34" t="n">
        <f aca="false">IF(I18=0,0,J18/I18)</f>
        <v>0.535278514588859</v>
      </c>
      <c r="L18" s="34" t="n">
        <f aca="false">I18/SUM($I$5:$I$44)</f>
        <v>0.00521037667476064</v>
      </c>
      <c r="M18" s="34" t="n">
        <f aca="false">SUMIF($I$5:$I$44,"&gt;="&amp;I18)/SUM($I$5:$I$44)</f>
        <v>0.969969434299592</v>
      </c>
      <c r="N18" s="9" t="str">
        <f aca="false">IF(M18&lt;=0.8,"A",IF(M18&lt;=0.95,"B",IF(M18&lt;=1,"C","C")))</f>
        <v>C</v>
      </c>
    </row>
    <row r="19" customFormat="false" ht="15" hidden="false" customHeight="true" outlineLevel="0" collapsed="false">
      <c r="A19" s="11" t="s">
        <v>691</v>
      </c>
      <c r="B19" s="11" t="s">
        <v>692</v>
      </c>
      <c r="C19" s="11" t="s">
        <v>282</v>
      </c>
      <c r="D19" s="11" t="s">
        <v>387</v>
      </c>
      <c r="E19" s="31" t="n">
        <v>499</v>
      </c>
      <c r="F19" s="31" t="n">
        <v>260</v>
      </c>
      <c r="H19" s="32" t="n">
        <f aca="false">SUMIFS('Sales Data'!$M$2:$M$1201,'Sales Data'!$K$2:$K$1201,A19)</f>
        <v>49</v>
      </c>
      <c r="I19" s="33" t="n">
        <f aca="false">SUMIFS('Sales Data'!$P$2:$P$1201,'Sales Data'!$K$2:$K$1201,A19)</f>
        <v>23528</v>
      </c>
      <c r="J19" s="33" t="n">
        <f aca="false">SUMIFS('Sales Data'!$R$2:$R$1201,'Sales Data'!$K$2:$K$1201,A19)</f>
        <v>10788</v>
      </c>
      <c r="K19" s="34" t="n">
        <f aca="false">IF(I19=0,0,J19/I19)</f>
        <v>0.458517511050663</v>
      </c>
      <c r="L19" s="34" t="n">
        <f aca="false">I19/SUM($I$5:$I$44)</f>
        <v>0.00433562307351966</v>
      </c>
      <c r="M19" s="34" t="n">
        <f aca="false">SUMIF($I$5:$I$44,"&gt;="&amp;I19)/SUM($I$5:$I$44)</f>
        <v>0.983499828900628</v>
      </c>
      <c r="N19" s="9" t="str">
        <f aca="false">IF(M19&lt;=0.8,"A",IF(M19&lt;=0.95,"B",IF(M19&lt;=1,"C","C")))</f>
        <v>C</v>
      </c>
    </row>
    <row r="20" customFormat="false" ht="15" hidden="false" customHeight="true" outlineLevel="0" collapsed="false">
      <c r="A20" s="11" t="s">
        <v>637</v>
      </c>
      <c r="B20" s="11" t="s">
        <v>638</v>
      </c>
      <c r="C20" s="11" t="s">
        <v>208</v>
      </c>
      <c r="D20" s="11" t="s">
        <v>209</v>
      </c>
      <c r="E20" s="31" t="n">
        <v>899</v>
      </c>
      <c r="F20" s="31" t="n">
        <v>480</v>
      </c>
      <c r="H20" s="32" t="n">
        <f aca="false">SUMIFS('Sales Data'!$M$2:$M$1201,'Sales Data'!$K$2:$K$1201,A20)</f>
        <v>41</v>
      </c>
      <c r="I20" s="33" t="n">
        <f aca="false">SUMIFS('Sales Data'!$P$2:$P$1201,'Sales Data'!$K$2:$K$1201,A20)</f>
        <v>35734</v>
      </c>
      <c r="J20" s="33" t="n">
        <f aca="false">SUMIFS('Sales Data'!$R$2:$R$1201,'Sales Data'!$K$2:$K$1201,A20)</f>
        <v>16054</v>
      </c>
      <c r="K20" s="34" t="n">
        <f aca="false">IF(I20=0,0,J20/I20)</f>
        <v>0.44926400626854</v>
      </c>
      <c r="L20" s="34" t="n">
        <f aca="false">I20/SUM($I$5:$I$44)</f>
        <v>0.00658488417668954</v>
      </c>
      <c r="M20" s="34" t="n">
        <f aca="false">SUMIF($I$5:$I$44,"&gt;="&amp;I20)/SUM($I$5:$I$44)</f>
        <v>0.952405627685924</v>
      </c>
      <c r="N20" s="9" t="str">
        <f aca="false">IF(M20&lt;=0.8,"A",IF(M20&lt;=0.95,"B",IF(M20&lt;=1,"C","C")))</f>
        <v>C</v>
      </c>
    </row>
    <row r="21" customFormat="false" ht="15" hidden="false" customHeight="true" outlineLevel="0" collapsed="false">
      <c r="A21" s="11" t="s">
        <v>210</v>
      </c>
      <c r="B21" s="11" t="s">
        <v>211</v>
      </c>
      <c r="C21" s="11" t="s">
        <v>208</v>
      </c>
      <c r="D21" s="11" t="s">
        <v>209</v>
      </c>
      <c r="E21" s="31" t="n">
        <v>3499</v>
      </c>
      <c r="F21" s="31" t="n">
        <v>2200</v>
      </c>
      <c r="H21" s="32" t="n">
        <f aca="false">SUMIFS('Sales Data'!$M$2:$M$1201,'Sales Data'!$K$2:$K$1201,A21)</f>
        <v>29</v>
      </c>
      <c r="I21" s="33" t="n">
        <f aca="false">SUMIFS('Sales Data'!$P$2:$P$1201,'Sales Data'!$K$2:$K$1201,A21)</f>
        <v>92722</v>
      </c>
      <c r="J21" s="33" t="n">
        <f aca="false">SUMIFS('Sales Data'!$R$2:$R$1201,'Sales Data'!$K$2:$K$1201,A21)</f>
        <v>28922</v>
      </c>
      <c r="K21" s="34" t="n">
        <f aca="false">IF(I21=0,0,J21/I21)</f>
        <v>0.311921658290373</v>
      </c>
      <c r="L21" s="34" t="n">
        <f aca="false">I21/SUM($I$5:$I$44)</f>
        <v>0.0170863499924724</v>
      </c>
      <c r="M21" s="34" t="n">
        <f aca="false">SUMIF($I$5:$I$44,"&gt;="&amp;I21)/SUM($I$5:$I$44)</f>
        <v>0.854338875527925</v>
      </c>
      <c r="N21" s="9" t="str">
        <f aca="false">IF(M21&lt;=0.8,"A",IF(M21&lt;=0.95,"B",IF(M21&lt;=1,"C","C")))</f>
        <v>B</v>
      </c>
    </row>
    <row r="22" customFormat="false" ht="15" hidden="false" customHeight="true" outlineLevel="0" collapsed="false">
      <c r="A22" s="11" t="s">
        <v>233</v>
      </c>
      <c r="B22" s="11" t="s">
        <v>234</v>
      </c>
      <c r="C22" s="11" t="s">
        <v>208</v>
      </c>
      <c r="D22" s="11" t="s">
        <v>232</v>
      </c>
      <c r="E22" s="31" t="n">
        <v>7999</v>
      </c>
      <c r="F22" s="31" t="n">
        <v>5600</v>
      </c>
      <c r="H22" s="32" t="n">
        <f aca="false">SUMIFS('Sales Data'!$M$2:$M$1201,'Sales Data'!$K$2:$K$1201,A22)</f>
        <v>147</v>
      </c>
      <c r="I22" s="33" t="n">
        <f aca="false">SUMIFS('Sales Data'!$P$2:$P$1201,'Sales Data'!$K$2:$K$1201,A22)</f>
        <v>1098257</v>
      </c>
      <c r="J22" s="33" t="n">
        <f aca="false">SUMIFS('Sales Data'!$R$2:$R$1201,'Sales Data'!$K$2:$K$1201,A22)</f>
        <v>275057</v>
      </c>
      <c r="K22" s="34" t="n">
        <f aca="false">IF(I22=0,0,J22/I22)</f>
        <v>0.250448665476296</v>
      </c>
      <c r="L22" s="34" t="n">
        <f aca="false">I22/SUM($I$5:$I$44)</f>
        <v>0.202381349449782</v>
      </c>
      <c r="M22" s="34" t="n">
        <f aca="false">SUMIF($I$5:$I$44,"&gt;="&amp;I22)/SUM($I$5:$I$44)</f>
        <v>0.202381349449782</v>
      </c>
      <c r="N22" s="9" t="str">
        <f aca="false">IF(M22&lt;=0.8,"A",IF(M22&lt;=0.95,"B",IF(M22&lt;=1,"C","C")))</f>
        <v>A</v>
      </c>
    </row>
    <row r="23" customFormat="false" ht="15" hidden="false" customHeight="true" outlineLevel="0" collapsed="false">
      <c r="A23" s="11" t="s">
        <v>238</v>
      </c>
      <c r="B23" s="11" t="s">
        <v>239</v>
      </c>
      <c r="C23" s="11" t="s">
        <v>208</v>
      </c>
      <c r="D23" s="11" t="s">
        <v>209</v>
      </c>
      <c r="E23" s="31" t="n">
        <v>2199</v>
      </c>
      <c r="F23" s="31" t="n">
        <v>1400</v>
      </c>
      <c r="H23" s="32" t="n">
        <f aca="false">SUMIFS('Sales Data'!$M$2:$M$1201,'Sales Data'!$K$2:$K$1201,A23)</f>
        <v>55</v>
      </c>
      <c r="I23" s="33" t="n">
        <f aca="false">SUMIFS('Sales Data'!$P$2:$P$1201,'Sales Data'!$K$2:$K$1201,A23)</f>
        <v>113576</v>
      </c>
      <c r="J23" s="33" t="n">
        <f aca="false">SUMIFS('Sales Data'!$R$2:$R$1201,'Sales Data'!$K$2:$K$1201,A23)</f>
        <v>36576</v>
      </c>
      <c r="K23" s="34" t="n">
        <f aca="false">IF(I23=0,0,J23/I23)</f>
        <v>0.322039867577657</v>
      </c>
      <c r="L23" s="34" t="n">
        <f aca="false">I23/SUM($I$5:$I$44)</f>
        <v>0.0209292216167149</v>
      </c>
      <c r="M23" s="34" t="n">
        <f aca="false">SUMIF($I$5:$I$44,"&gt;="&amp;I23)/SUM($I$5:$I$44)</f>
        <v>0.837252525535453</v>
      </c>
      <c r="N23" s="9" t="str">
        <f aca="false">IF(M23&lt;=0.8,"A",IF(M23&lt;=0.95,"B",IF(M23&lt;=1,"C","C")))</f>
        <v>B</v>
      </c>
    </row>
    <row r="24" customFormat="false" ht="15" hidden="false" customHeight="true" outlineLevel="0" collapsed="false">
      <c r="A24" s="11" t="s">
        <v>186</v>
      </c>
      <c r="B24" s="11" t="s">
        <v>187</v>
      </c>
      <c r="C24" s="11" t="s">
        <v>162</v>
      </c>
      <c r="D24" s="11" t="s">
        <v>185</v>
      </c>
      <c r="E24" s="31" t="n">
        <v>3299</v>
      </c>
      <c r="F24" s="31" t="n">
        <v>1900</v>
      </c>
      <c r="H24" s="32" t="n">
        <f aca="false">SUMIFS('Sales Data'!$M$2:$M$1201,'Sales Data'!$K$2:$K$1201,A24)</f>
        <v>142</v>
      </c>
      <c r="I24" s="33" t="n">
        <f aca="false">SUMIFS('Sales Data'!$P$2:$P$1201,'Sales Data'!$K$2:$K$1201,A24)</f>
        <v>361895</v>
      </c>
      <c r="J24" s="33" t="n">
        <f aca="false">SUMIFS('Sales Data'!$R$2:$R$1201,'Sales Data'!$K$2:$K$1201,A24)</f>
        <v>92095</v>
      </c>
      <c r="K24" s="34" t="n">
        <f aca="false">IF(I24=0,0,J24/I24)</f>
        <v>0.254479890575996</v>
      </c>
      <c r="L24" s="34" t="n">
        <f aca="false">I24/SUM($I$5:$I$44)</f>
        <v>0.066688214561008</v>
      </c>
      <c r="M24" s="34" t="n">
        <f aca="false">SUMIF($I$5:$I$44,"&gt;="&amp;I24)/SUM($I$5:$I$44)</f>
        <v>0.455234157368302</v>
      </c>
      <c r="N24" s="9" t="str">
        <f aca="false">IF(M24&lt;=0.8,"A",IF(M24&lt;=0.95,"B",IF(M24&lt;=1,"C","C")))</f>
        <v>A</v>
      </c>
    </row>
    <row r="25" customFormat="false" ht="15" hidden="false" customHeight="true" outlineLevel="0" collapsed="false">
      <c r="A25" s="11" t="s">
        <v>583</v>
      </c>
      <c r="B25" s="11" t="s">
        <v>584</v>
      </c>
      <c r="C25" s="11" t="s">
        <v>162</v>
      </c>
      <c r="D25" s="11" t="s">
        <v>325</v>
      </c>
      <c r="E25" s="31" t="n">
        <v>1499</v>
      </c>
      <c r="F25" s="31" t="n">
        <v>750</v>
      </c>
      <c r="H25" s="32" t="n">
        <f aca="false">SUMIFS('Sales Data'!$M$2:$M$1201,'Sales Data'!$K$2:$K$1201,A25)</f>
        <v>12</v>
      </c>
      <c r="I25" s="33" t="n">
        <f aca="false">SUMIFS('Sales Data'!$P$2:$P$1201,'Sales Data'!$K$2:$K$1201,A25)</f>
        <v>13041</v>
      </c>
      <c r="J25" s="33" t="n">
        <f aca="false">SUMIFS('Sales Data'!$R$2:$R$1201,'Sales Data'!$K$2:$K$1201,A25)</f>
        <v>4041</v>
      </c>
      <c r="K25" s="34" t="n">
        <f aca="false">IF(I25=0,0,J25/I25)</f>
        <v>0.309868875086266</v>
      </c>
      <c r="L25" s="34" t="n">
        <f aca="false">I25/SUM($I$5:$I$44)</f>
        <v>0.00240313075917077</v>
      </c>
      <c r="M25" s="34" t="n">
        <f aca="false">SUMIF($I$5:$I$44,"&gt;="&amp;I25)/SUM($I$5:$I$44)</f>
        <v>0.996086735311575</v>
      </c>
      <c r="N25" s="9" t="str">
        <f aca="false">IF(M25&lt;=0.8,"A",IF(M25&lt;=0.95,"B",IF(M25&lt;=1,"C","C")))</f>
        <v>C</v>
      </c>
    </row>
    <row r="26" customFormat="false" ht="15" hidden="false" customHeight="true" outlineLevel="0" collapsed="false">
      <c r="A26" s="11" t="s">
        <v>252</v>
      </c>
      <c r="B26" s="11" t="s">
        <v>253</v>
      </c>
      <c r="C26" s="11" t="s">
        <v>162</v>
      </c>
      <c r="D26" s="11" t="s">
        <v>251</v>
      </c>
      <c r="E26" s="31" t="n">
        <v>3999</v>
      </c>
      <c r="F26" s="31" t="n">
        <v>2400</v>
      </c>
      <c r="H26" s="32" t="n">
        <f aca="false">SUMIFS('Sales Data'!$M$2:$M$1201,'Sales Data'!$K$2:$K$1201,A26)</f>
        <v>44</v>
      </c>
      <c r="I26" s="33" t="n">
        <f aca="false">SUMIFS('Sales Data'!$P$2:$P$1201,'Sales Data'!$K$2:$K$1201,A26)</f>
        <v>136764</v>
      </c>
      <c r="J26" s="33" t="n">
        <f aca="false">SUMIFS('Sales Data'!$R$2:$R$1201,'Sales Data'!$K$2:$K$1201,A26)</f>
        <v>31164</v>
      </c>
      <c r="K26" s="34" t="n">
        <f aca="false">IF(I26=0,0,J26/I26)</f>
        <v>0.227866982539265</v>
      </c>
      <c r="L26" s="34" t="n">
        <f aca="false">I26/SUM($I$5:$I$44)</f>
        <v>0.0252021911776115</v>
      </c>
      <c r="M26" s="34" t="n">
        <f aca="false">SUMIF($I$5:$I$44,"&gt;="&amp;I26)/SUM($I$5:$I$44)</f>
        <v>0.768307126044678</v>
      </c>
      <c r="N26" s="9" t="str">
        <f aca="false">IF(M26&lt;=0.8,"A",IF(M26&lt;=0.95,"B",IF(M26&lt;=1,"C","C")))</f>
        <v>A</v>
      </c>
    </row>
    <row r="27" customFormat="false" ht="15" hidden="false" customHeight="true" outlineLevel="0" collapsed="false">
      <c r="A27" s="11" t="s">
        <v>507</v>
      </c>
      <c r="B27" s="11" t="s">
        <v>508</v>
      </c>
      <c r="C27" s="11" t="s">
        <v>162</v>
      </c>
      <c r="D27" s="11" t="s">
        <v>163</v>
      </c>
      <c r="E27" s="31" t="n">
        <v>1199</v>
      </c>
      <c r="F27" s="31" t="n">
        <v>600</v>
      </c>
      <c r="H27" s="32" t="n">
        <f aca="false">SUMIFS('Sales Data'!$M$2:$M$1201,'Sales Data'!$K$2:$K$1201,A27)</f>
        <v>22</v>
      </c>
      <c r="I27" s="33" t="n">
        <f aca="false">SUMIFS('Sales Data'!$P$2:$P$1201,'Sales Data'!$K$2:$K$1201,A27)</f>
        <v>21941</v>
      </c>
      <c r="J27" s="33" t="n">
        <f aca="false">SUMIFS('Sales Data'!$R$2:$R$1201,'Sales Data'!$K$2:$K$1201,A27)</f>
        <v>8741</v>
      </c>
      <c r="K27" s="34" t="n">
        <f aca="false">IF(I27=0,0,J27/I27)</f>
        <v>0.398386582197712</v>
      </c>
      <c r="L27" s="34" t="n">
        <f aca="false">I27/SUM($I$5:$I$44)</f>
        <v>0.00404317858959941</v>
      </c>
      <c r="M27" s="34" t="n">
        <f aca="false">SUMIF($I$5:$I$44,"&gt;="&amp;I27)/SUM($I$5:$I$44)</f>
        <v>0.987543007490227</v>
      </c>
      <c r="N27" s="9" t="str">
        <f aca="false">IF(M27&lt;=0.8,"A",IF(M27&lt;=0.95,"B",IF(M27&lt;=1,"C","C")))</f>
        <v>C</v>
      </c>
    </row>
    <row r="28" customFormat="false" ht="15" hidden="false" customHeight="true" outlineLevel="0" collapsed="false">
      <c r="A28" s="11" t="s">
        <v>499</v>
      </c>
      <c r="B28" s="11" t="s">
        <v>500</v>
      </c>
      <c r="C28" s="11" t="s">
        <v>171</v>
      </c>
      <c r="D28" s="11" t="s">
        <v>304</v>
      </c>
      <c r="E28" s="31" t="n">
        <v>5499</v>
      </c>
      <c r="F28" s="31" t="n">
        <v>3900</v>
      </c>
      <c r="H28" s="32" t="n">
        <f aca="false">SUMIFS('Sales Data'!$M$2:$M$1201,'Sales Data'!$K$2:$K$1201,A28)</f>
        <v>54</v>
      </c>
      <c r="I28" s="33" t="n">
        <f aca="false">SUMIFS('Sales Data'!$P$2:$P$1201,'Sales Data'!$K$2:$K$1201,A28)</f>
        <v>274674</v>
      </c>
      <c r="J28" s="33" t="n">
        <f aca="false">SUMIFS('Sales Data'!$R$2:$R$1201,'Sales Data'!$K$2:$K$1201,A28)</f>
        <v>64074</v>
      </c>
      <c r="K28" s="34" t="n">
        <f aca="false">IF(I28=0,0,J28/I28)</f>
        <v>0.233272898053693</v>
      </c>
      <c r="L28" s="34" t="n">
        <f aca="false">I28/SUM($I$5:$I$44)</f>
        <v>0.0506155615477703</v>
      </c>
      <c r="M28" s="34" t="n">
        <f aca="false">SUMIF($I$5:$I$44,"&gt;="&amp;I28)/SUM($I$5:$I$44)</f>
        <v>0.622945632782971</v>
      </c>
      <c r="N28" s="9" t="str">
        <f aca="false">IF(M28&lt;=0.8,"A",IF(M28&lt;=0.95,"B",IF(M28&lt;=1,"C","C")))</f>
        <v>A</v>
      </c>
    </row>
    <row r="29" customFormat="false" ht="15" hidden="false" customHeight="true" outlineLevel="0" collapsed="false">
      <c r="A29" s="11" t="s">
        <v>173</v>
      </c>
      <c r="B29" s="11" t="s">
        <v>174</v>
      </c>
      <c r="C29" s="11" t="s">
        <v>171</v>
      </c>
      <c r="D29" s="11" t="s">
        <v>172</v>
      </c>
      <c r="E29" s="31" t="n">
        <v>699</v>
      </c>
      <c r="F29" s="31" t="n">
        <v>320</v>
      </c>
      <c r="H29" s="32" t="n">
        <f aca="false">SUMIFS('Sales Data'!$M$2:$M$1201,'Sales Data'!$K$2:$K$1201,A29)</f>
        <v>126</v>
      </c>
      <c r="I29" s="33" t="n">
        <f aca="false">SUMIFS('Sales Data'!$P$2:$P$1201,'Sales Data'!$K$2:$K$1201,A29)</f>
        <v>78842</v>
      </c>
      <c r="J29" s="33" t="n">
        <f aca="false">SUMIFS('Sales Data'!$R$2:$R$1201,'Sales Data'!$K$2:$K$1201,A29)</f>
        <v>38522</v>
      </c>
      <c r="K29" s="34" t="n">
        <f aca="false">IF(I29=0,0,J29/I29)</f>
        <v>0.488597448060678</v>
      </c>
      <c r="L29" s="34" t="n">
        <f aca="false">I29/SUM($I$5:$I$44)</f>
        <v>0.0145286124771522</v>
      </c>
      <c r="M29" s="34" t="n">
        <f aca="false">SUMIF($I$5:$I$44,"&gt;="&amp;I29)/SUM($I$5:$I$44)</f>
        <v>0.868867488005077</v>
      </c>
      <c r="N29" s="9" t="str">
        <f aca="false">IF(M29&lt;=0.8,"A",IF(M29&lt;=0.95,"B",IF(M29&lt;=1,"C","C")))</f>
        <v>B</v>
      </c>
    </row>
    <row r="30" customFormat="false" ht="15" hidden="false" customHeight="true" outlineLevel="0" collapsed="false">
      <c r="A30" s="11" t="s">
        <v>593</v>
      </c>
      <c r="B30" s="11" t="s">
        <v>594</v>
      </c>
      <c r="C30" s="11" t="s">
        <v>171</v>
      </c>
      <c r="D30" s="11" t="s">
        <v>172</v>
      </c>
      <c r="E30" s="31" t="n">
        <v>1199</v>
      </c>
      <c r="F30" s="31" t="n">
        <v>650</v>
      </c>
      <c r="H30" s="32" t="n">
        <f aca="false">SUMIFS('Sales Data'!$M$2:$M$1201,'Sales Data'!$K$2:$K$1201,A30)</f>
        <v>23</v>
      </c>
      <c r="I30" s="33" t="n">
        <f aca="false">SUMIFS('Sales Data'!$P$2:$P$1201,'Sales Data'!$K$2:$K$1201,A30)</f>
        <v>25657</v>
      </c>
      <c r="J30" s="33" t="n">
        <f aca="false">SUMIFS('Sales Data'!$R$2:$R$1201,'Sales Data'!$K$2:$K$1201,A30)</f>
        <v>10707</v>
      </c>
      <c r="K30" s="34" t="n">
        <f aca="false">IF(I30=0,0,J30/I30)</f>
        <v>0.417313013992283</v>
      </c>
      <c r="L30" s="34" t="n">
        <f aca="false">I30/SUM($I$5:$I$44)</f>
        <v>0.00472794462756264</v>
      </c>
      <c r="M30" s="34" t="n">
        <f aca="false">SUMIF($I$5:$I$44,"&gt;="&amp;I30)/SUM($I$5:$I$44)</f>
        <v>0.974697378927155</v>
      </c>
      <c r="N30" s="9" t="str">
        <f aca="false">IF(M30&lt;=0.8,"A",IF(M30&lt;=0.95,"B",IF(M30&lt;=1,"C","C")))</f>
        <v>C</v>
      </c>
    </row>
    <row r="31" customFormat="false" ht="15" hidden="false" customHeight="true" outlineLevel="0" collapsed="false">
      <c r="A31" s="11" t="s">
        <v>201</v>
      </c>
      <c r="B31" s="11" t="s">
        <v>202</v>
      </c>
      <c r="C31" s="11" t="s">
        <v>199</v>
      </c>
      <c r="D31" s="11" t="s">
        <v>200</v>
      </c>
      <c r="E31" s="31" t="n">
        <v>399</v>
      </c>
      <c r="F31" s="31" t="n">
        <v>160</v>
      </c>
      <c r="H31" s="32" t="n">
        <f aca="false">SUMIFS('Sales Data'!$M$2:$M$1201,'Sales Data'!$K$2:$K$1201,A31)</f>
        <v>119</v>
      </c>
      <c r="I31" s="33" t="n">
        <f aca="false">SUMIFS('Sales Data'!$P$2:$P$1201,'Sales Data'!$K$2:$K$1201,A31)</f>
        <v>42946</v>
      </c>
      <c r="J31" s="33" t="n">
        <f aca="false">SUMIFS('Sales Data'!$R$2:$R$1201,'Sales Data'!$K$2:$K$1201,A31)</f>
        <v>23906</v>
      </c>
      <c r="K31" s="34" t="n">
        <f aca="false">IF(I31=0,0,J31/I31)</f>
        <v>0.556652540399572</v>
      </c>
      <c r="L31" s="34" t="n">
        <f aca="false">I31/SUM($I$5:$I$44)</f>
        <v>0.00791387574444812</v>
      </c>
      <c r="M31" s="34" t="n">
        <f aca="false">SUMIF($I$5:$I$44,"&gt;="&amp;I31)/SUM($I$5:$I$44)</f>
        <v>0.945820743509234</v>
      </c>
      <c r="N31" s="9" t="str">
        <f aca="false">IF(M31&lt;=0.8,"A",IF(M31&lt;=0.95,"B",IF(M31&lt;=1,"C","C")))</f>
        <v>B</v>
      </c>
    </row>
    <row r="32" customFormat="false" ht="15" hidden="false" customHeight="true" outlineLevel="0" collapsed="false">
      <c r="A32" s="11" t="s">
        <v>399</v>
      </c>
      <c r="B32" s="11" t="s">
        <v>400</v>
      </c>
      <c r="C32" s="11" t="s">
        <v>199</v>
      </c>
      <c r="D32" s="11" t="s">
        <v>398</v>
      </c>
      <c r="E32" s="31" t="n">
        <v>749</v>
      </c>
      <c r="F32" s="31" t="n">
        <v>350</v>
      </c>
      <c r="H32" s="32" t="n">
        <f aca="false">SUMIFS('Sales Data'!$M$2:$M$1201,'Sales Data'!$K$2:$K$1201,A32)</f>
        <v>84</v>
      </c>
      <c r="I32" s="33" t="n">
        <f aca="false">SUMIFS('Sales Data'!$P$2:$P$1201,'Sales Data'!$K$2:$K$1201,A32)</f>
        <v>56848</v>
      </c>
      <c r="J32" s="33" t="n">
        <f aca="false">SUMIFS('Sales Data'!$R$2:$R$1201,'Sales Data'!$K$2:$K$1201,A32)</f>
        <v>27448</v>
      </c>
      <c r="K32" s="34" t="n">
        <f aca="false">IF(I32=0,0,J32/I32)</f>
        <v>0.482831410075992</v>
      </c>
      <c r="L32" s="34" t="n">
        <f aca="false">I32/SUM($I$5:$I$44)</f>
        <v>0.0104756673105851</v>
      </c>
      <c r="M32" s="34" t="n">
        <f aca="false">SUMIF($I$5:$I$44,"&gt;="&amp;I32)/SUM($I$5:$I$44)</f>
        <v>0.918942018043843</v>
      </c>
      <c r="N32" s="9" t="str">
        <f aca="false">IF(M32&lt;=0.8,"A",IF(M32&lt;=0.95,"B",IF(M32&lt;=1,"C","C")))</f>
        <v>B</v>
      </c>
    </row>
    <row r="33" customFormat="false" ht="15" hidden="false" customHeight="true" outlineLevel="0" collapsed="false">
      <c r="A33" s="11" t="s">
        <v>246</v>
      </c>
      <c r="B33" s="11" t="s">
        <v>247</v>
      </c>
      <c r="C33" s="11" t="s">
        <v>199</v>
      </c>
      <c r="D33" s="11" t="s">
        <v>223</v>
      </c>
      <c r="E33" s="31" t="n">
        <v>599</v>
      </c>
      <c r="F33" s="31" t="n">
        <v>270</v>
      </c>
      <c r="H33" s="32" t="n">
        <f aca="false">SUMIFS('Sales Data'!$M$2:$M$1201,'Sales Data'!$K$2:$K$1201,A33)</f>
        <v>66</v>
      </c>
      <c r="I33" s="33" t="n">
        <f aca="false">SUMIFS('Sales Data'!$P$2:$P$1201,'Sales Data'!$K$2:$K$1201,A33)</f>
        <v>35186</v>
      </c>
      <c r="J33" s="33" t="n">
        <f aca="false">SUMIFS('Sales Data'!$R$2:$R$1201,'Sales Data'!$K$2:$K$1201,A33)</f>
        <v>17366</v>
      </c>
      <c r="K33" s="34" t="n">
        <f aca="false">IF(I33=0,0,J33/I33)</f>
        <v>0.493548570454158</v>
      </c>
      <c r="L33" s="34" t="n">
        <f aca="false">I33/SUM($I$5:$I$44)</f>
        <v>0.00648390145634405</v>
      </c>
      <c r="M33" s="34" t="n">
        <f aca="false">SUMIF($I$5:$I$44,"&gt;="&amp;I33)/SUM($I$5:$I$44)</f>
        <v>0.958889529142268</v>
      </c>
      <c r="N33" s="9" t="str">
        <f aca="false">IF(M33&lt;=0.8,"A",IF(M33&lt;=0.95,"B",IF(M33&lt;=1,"C","C")))</f>
        <v>C</v>
      </c>
    </row>
    <row r="34" customFormat="false" ht="15" hidden="false" customHeight="true" outlineLevel="0" collapsed="false">
      <c r="A34" s="11" t="s">
        <v>547</v>
      </c>
      <c r="B34" s="11" t="s">
        <v>548</v>
      </c>
      <c r="C34" s="11" t="s">
        <v>282</v>
      </c>
      <c r="D34" s="11" t="s">
        <v>387</v>
      </c>
      <c r="E34" s="31" t="n">
        <v>249</v>
      </c>
      <c r="F34" s="31" t="n">
        <v>120</v>
      </c>
      <c r="H34" s="32" t="n">
        <f aca="false">SUMIFS('Sales Data'!$M$2:$M$1201,'Sales Data'!$K$2:$K$1201,A34)</f>
        <v>62</v>
      </c>
      <c r="I34" s="33" t="n">
        <f aca="false">SUMIFS('Sales Data'!$P$2:$P$1201,'Sales Data'!$K$2:$K$1201,A34)</f>
        <v>14829</v>
      </c>
      <c r="J34" s="33" t="n">
        <f aca="false">SUMIFS('Sales Data'!$R$2:$R$1201,'Sales Data'!$K$2:$K$1201,A34)</f>
        <v>7389</v>
      </c>
      <c r="K34" s="34" t="n">
        <f aca="false">IF(I34=0,0,J34/I34)</f>
        <v>0.498280396520332</v>
      </c>
      <c r="L34" s="34" t="n">
        <f aca="false">I34/SUM($I$5:$I$44)</f>
        <v>0.00273261452555351</v>
      </c>
      <c r="M34" s="34" t="n">
        <f aca="false">SUMIF($I$5:$I$44,"&gt;="&amp;I34)/SUM($I$5:$I$44)</f>
        <v>0.993683604552404</v>
      </c>
      <c r="N34" s="9" t="str">
        <f aca="false">IF(M34&lt;=0.8,"A",IF(M34&lt;=0.95,"B",IF(M34&lt;=1,"C","C")))</f>
        <v>C</v>
      </c>
    </row>
    <row r="35" customFormat="false" ht="15" hidden="false" customHeight="true" outlineLevel="0" collapsed="false">
      <c r="A35" s="11" t="s">
        <v>1934</v>
      </c>
      <c r="B35" s="11" t="s">
        <v>1935</v>
      </c>
      <c r="C35" s="11" t="s">
        <v>282</v>
      </c>
      <c r="D35" s="11" t="s">
        <v>427</v>
      </c>
      <c r="E35" s="31" t="n">
        <v>129</v>
      </c>
      <c r="F35" s="31" t="n">
        <v>55</v>
      </c>
      <c r="H35" s="32" t="n">
        <f aca="false">SUMIFS('Sales Data'!$M$2:$M$1201,'Sales Data'!$K$2:$K$1201,A35)</f>
        <v>0</v>
      </c>
      <c r="I35" s="33" t="n">
        <f aca="false">SUMIFS('Sales Data'!$P$2:$P$1201,'Sales Data'!$K$2:$K$1201,A35)</f>
        <v>0</v>
      </c>
      <c r="J35" s="33" t="n">
        <f aca="false">SUMIFS('Sales Data'!$R$2:$R$1201,'Sales Data'!$K$2:$K$1201,A35)</f>
        <v>0</v>
      </c>
      <c r="K35" s="34" t="n">
        <f aca="false">IF(I35=0,0,J35/I35)</f>
        <v>0</v>
      </c>
      <c r="L35" s="34" t="n">
        <f aca="false">I35/SUM($I$5:$I$44)</f>
        <v>0</v>
      </c>
      <c r="M35" s="34" t="n">
        <f aca="false">SUMIF($I$5:$I$44,"&gt;="&amp;I35)/SUM($I$5:$I$44)</f>
        <v>1</v>
      </c>
      <c r="N35" s="9" t="str">
        <f aca="false">IF(M35&lt;=0.8,"A",IF(M35&lt;=0.95,"B",IF(M35&lt;=1,"C","C")))</f>
        <v>C</v>
      </c>
    </row>
    <row r="36" customFormat="false" ht="15" hidden="false" customHeight="true" outlineLevel="0" collapsed="false">
      <c r="A36" s="11" t="s">
        <v>388</v>
      </c>
      <c r="B36" s="11" t="s">
        <v>389</v>
      </c>
      <c r="C36" s="11" t="s">
        <v>282</v>
      </c>
      <c r="D36" s="11" t="s">
        <v>387</v>
      </c>
      <c r="E36" s="31" t="n">
        <v>1299</v>
      </c>
      <c r="F36" s="31" t="n">
        <v>780</v>
      </c>
      <c r="H36" s="32" t="n">
        <f aca="false">SUMIFS('Sales Data'!$M$2:$M$1201,'Sales Data'!$K$2:$K$1201,A36)</f>
        <v>112</v>
      </c>
      <c r="I36" s="33" t="n">
        <f aca="false">SUMIFS('Sales Data'!$P$2:$P$1201,'Sales Data'!$K$2:$K$1201,A36)</f>
        <v>141460</v>
      </c>
      <c r="J36" s="33" t="n">
        <f aca="false">SUMIFS('Sales Data'!$R$2:$R$1201,'Sales Data'!$K$2:$K$1201,A36)</f>
        <v>54100</v>
      </c>
      <c r="K36" s="34" t="n">
        <f aca="false">IF(I36=0,0,J36/I36)</f>
        <v>0.382440265799519</v>
      </c>
      <c r="L36" s="34" t="n">
        <f aca="false">I36/SUM($I$5:$I$44)</f>
        <v>0.026067546751959</v>
      </c>
      <c r="M36" s="34" t="n">
        <f aca="false">SUMIF($I$5:$I$44,"&gt;="&amp;I36)/SUM($I$5:$I$44)</f>
        <v>0.717224980102903</v>
      </c>
      <c r="N36" s="9" t="str">
        <f aca="false">IF(M36&lt;=0.8,"A",IF(M36&lt;=0.95,"B",IF(M36&lt;=1,"C","C")))</f>
        <v>A</v>
      </c>
    </row>
    <row r="37" customFormat="false" ht="15" hidden="false" customHeight="true" outlineLevel="0" collapsed="false">
      <c r="A37" s="11" t="s">
        <v>194</v>
      </c>
      <c r="B37" s="11" t="s">
        <v>195</v>
      </c>
      <c r="C37" s="11" t="s">
        <v>192</v>
      </c>
      <c r="D37" s="11" t="s">
        <v>193</v>
      </c>
      <c r="E37" s="31" t="n">
        <v>8999</v>
      </c>
      <c r="F37" s="31" t="n">
        <v>6800</v>
      </c>
      <c r="H37" s="32" t="n">
        <f aca="false">SUMIFS('Sales Data'!$M$2:$M$1201,'Sales Data'!$K$2:$K$1201,A37)</f>
        <v>79</v>
      </c>
      <c r="I37" s="33" t="n">
        <f aca="false">SUMIFS('Sales Data'!$P$2:$P$1201,'Sales Data'!$K$2:$K$1201,A37)</f>
        <v>577731</v>
      </c>
      <c r="J37" s="33" t="n">
        <f aca="false">SUMIFS('Sales Data'!$R$2:$R$1201,'Sales Data'!$K$2:$K$1201,A37)</f>
        <v>40531</v>
      </c>
      <c r="K37" s="34" t="n">
        <f aca="false">IF(I37=0,0,J37/I37)</f>
        <v>0.0701554875885144</v>
      </c>
      <c r="L37" s="34" t="n">
        <f aca="false">I37/SUM($I$5:$I$44)</f>
        <v>0.106461401474311</v>
      </c>
      <c r="M37" s="34" t="n">
        <f aca="false">SUMIF($I$5:$I$44,"&gt;="&amp;I37)/SUM($I$5:$I$44)</f>
        <v>0.308842750924093</v>
      </c>
      <c r="N37" s="9" t="str">
        <f aca="false">IF(M37&lt;=0.8,"A",IF(M37&lt;=0.95,"B",IF(M37&lt;=1,"C","C")))</f>
        <v>A</v>
      </c>
    </row>
    <row r="38" customFormat="false" ht="15" hidden="false" customHeight="true" outlineLevel="0" collapsed="false">
      <c r="A38" s="11" t="s">
        <v>526</v>
      </c>
      <c r="B38" s="11" t="s">
        <v>527</v>
      </c>
      <c r="C38" s="11" t="s">
        <v>192</v>
      </c>
      <c r="D38" s="11" t="s">
        <v>502</v>
      </c>
      <c r="E38" s="31" t="n">
        <v>6499</v>
      </c>
      <c r="F38" s="31" t="n">
        <v>5000</v>
      </c>
      <c r="H38" s="32" t="n">
        <f aca="false">SUMIFS('Sales Data'!$M$2:$M$1201,'Sales Data'!$K$2:$K$1201,A38)</f>
        <v>68</v>
      </c>
      <c r="I38" s="33" t="n">
        <f aca="false">SUMIFS('Sales Data'!$P$2:$P$1201,'Sales Data'!$K$2:$K$1201,A38)</f>
        <v>347691</v>
      </c>
      <c r="J38" s="33" t="n">
        <f aca="false">SUMIFS('Sales Data'!$R$2:$R$1201,'Sales Data'!$K$2:$K$1201,A38)</f>
        <v>7691</v>
      </c>
      <c r="K38" s="34" t="n">
        <f aca="false">IF(I38=0,0,J38/I38)</f>
        <v>0.0221202159388653</v>
      </c>
      <c r="L38" s="34" t="n">
        <f aca="false">I38/SUM($I$5:$I$44)</f>
        <v>0.0640707719336588</v>
      </c>
      <c r="M38" s="34" t="n">
        <f aca="false">SUMIF($I$5:$I$44,"&gt;="&amp;I38)/SUM($I$5:$I$44)</f>
        <v>0.519304929301961</v>
      </c>
      <c r="N38" s="9" t="str">
        <f aca="false">IF(M38&lt;=0.8,"A",IF(M38&lt;=0.95,"B",IF(M38&lt;=1,"C","C")))</f>
        <v>A</v>
      </c>
    </row>
    <row r="39" customFormat="false" ht="15" hidden="false" customHeight="true" outlineLevel="0" collapsed="false">
      <c r="A39" s="11" t="s">
        <v>214</v>
      </c>
      <c r="B39" s="11" t="s">
        <v>215</v>
      </c>
      <c r="C39" s="11" t="s">
        <v>192</v>
      </c>
      <c r="D39" s="11" t="s">
        <v>213</v>
      </c>
      <c r="E39" s="31" t="n">
        <v>5999</v>
      </c>
      <c r="F39" s="31" t="n">
        <v>4600</v>
      </c>
      <c r="H39" s="32" t="n">
        <f aca="false">SUMIFS('Sales Data'!$M$2:$M$1201,'Sales Data'!$K$2:$K$1201,A39)</f>
        <v>99</v>
      </c>
      <c r="I39" s="33" t="n">
        <f aca="false">SUMIFS('Sales Data'!$P$2:$P$1201,'Sales Data'!$K$2:$K$1201,A39)</f>
        <v>432523</v>
      </c>
      <c r="J39" s="33" t="n">
        <f aca="false">SUMIFS('Sales Data'!$R$2:$R$1201,'Sales Data'!$K$2:$K$1201,A39)</f>
        <v>-22877</v>
      </c>
      <c r="K39" s="34" t="n">
        <f aca="false">IF(I39=0,0,J39/I39)</f>
        <v>-0.0528919849349052</v>
      </c>
      <c r="L39" s="34" t="n">
        <f aca="false">I39/SUM($I$5:$I$44)</f>
        <v>0.0797031918832006</v>
      </c>
      <c r="M39" s="34" t="n">
        <f aca="false">SUMIF($I$5:$I$44,"&gt;="&amp;I39)/SUM($I$5:$I$44)</f>
        <v>0.388545942807294</v>
      </c>
      <c r="N39" s="9" t="str">
        <f aca="false">IF(M39&lt;=0.8,"A",IF(M39&lt;=0.95,"B",IF(M39&lt;=1,"C","C")))</f>
        <v>A</v>
      </c>
    </row>
    <row r="40" customFormat="false" ht="15" hidden="false" customHeight="true" outlineLevel="0" collapsed="false">
      <c r="A40" s="11" t="s">
        <v>557</v>
      </c>
      <c r="B40" s="11" t="s">
        <v>558</v>
      </c>
      <c r="C40" s="11" t="s">
        <v>192</v>
      </c>
      <c r="D40" s="11" t="s">
        <v>193</v>
      </c>
      <c r="E40" s="31" t="n">
        <v>12999</v>
      </c>
      <c r="F40" s="31" t="n">
        <v>10200</v>
      </c>
      <c r="H40" s="32" t="n">
        <f aca="false">SUMIFS('Sales Data'!$M$2:$M$1201,'Sales Data'!$K$2:$K$1201,A40)</f>
        <v>1</v>
      </c>
      <c r="I40" s="33" t="n">
        <f aca="false">SUMIFS('Sales Data'!$P$2:$P$1201,'Sales Data'!$K$2:$K$1201,A40)</f>
        <v>11699</v>
      </c>
      <c r="J40" s="33" t="n">
        <f aca="false">SUMIFS('Sales Data'!$R$2:$R$1201,'Sales Data'!$K$2:$K$1201,A40)</f>
        <v>1499</v>
      </c>
      <c r="K40" s="34" t="n">
        <f aca="false">IF(I40=0,0,J40/I40)</f>
        <v>0.128130609453799</v>
      </c>
      <c r="L40" s="34" t="n">
        <f aca="false">I40/SUM($I$5:$I$44)</f>
        <v>0.00215583365934659</v>
      </c>
      <c r="M40" s="34" t="n">
        <f aca="false">SUMIF($I$5:$I$44,"&gt;="&amp;I40)/SUM($I$5:$I$44)</f>
        <v>0.998242568970922</v>
      </c>
      <c r="N40" s="9" t="str">
        <f aca="false">IF(M40&lt;=0.8,"A",IF(M40&lt;=0.95,"B",IF(M40&lt;=1,"C","C")))</f>
        <v>C</v>
      </c>
    </row>
    <row r="41" customFormat="false" ht="15" hidden="false" customHeight="true" outlineLevel="0" collapsed="false">
      <c r="A41" s="11" t="s">
        <v>264</v>
      </c>
      <c r="B41" s="11" t="s">
        <v>265</v>
      </c>
      <c r="C41" s="11" t="s">
        <v>192</v>
      </c>
      <c r="D41" s="11" t="s">
        <v>213</v>
      </c>
      <c r="E41" s="31" t="n">
        <v>2499</v>
      </c>
      <c r="F41" s="31" t="n">
        <v>1700</v>
      </c>
      <c r="H41" s="32" t="n">
        <f aca="false">SUMIFS('Sales Data'!$M$2:$M$1201,'Sales Data'!$K$2:$K$1201,A41)</f>
        <v>75</v>
      </c>
      <c r="I41" s="33" t="n">
        <f aca="false">SUMIFS('Sales Data'!$P$2:$P$1201,'Sales Data'!$K$2:$K$1201,A41)</f>
        <v>140442</v>
      </c>
      <c r="J41" s="33" t="n">
        <f aca="false">SUMIFS('Sales Data'!$R$2:$R$1201,'Sales Data'!$K$2:$K$1201,A41)</f>
        <v>12942</v>
      </c>
      <c r="K41" s="34" t="n">
        <f aca="false">IF(I41=0,0,J41/I41)</f>
        <v>0.0921519203657026</v>
      </c>
      <c r="L41" s="34" t="n">
        <f aca="false">I41/SUM($I$5:$I$44)</f>
        <v>0.0258799547641639</v>
      </c>
      <c r="M41" s="34" t="n">
        <f aca="false">SUMIF($I$5:$I$44,"&gt;="&amp;I41)/SUM($I$5:$I$44)</f>
        <v>0.743104934867067</v>
      </c>
      <c r="N41" s="9" t="str">
        <f aca="false">IF(M41&lt;=0.8,"A",IF(M41&lt;=0.95,"B",IF(M41&lt;=1,"C","C")))</f>
        <v>A</v>
      </c>
    </row>
    <row r="42" customFormat="false" ht="15" hidden="false" customHeight="true" outlineLevel="0" collapsed="false">
      <c r="A42" s="11" t="s">
        <v>503</v>
      </c>
      <c r="B42" s="11" t="s">
        <v>504</v>
      </c>
      <c r="C42" s="11" t="s">
        <v>192</v>
      </c>
      <c r="D42" s="11" t="s">
        <v>502</v>
      </c>
      <c r="E42" s="31" t="n">
        <v>3499</v>
      </c>
      <c r="F42" s="31" t="n">
        <v>2500</v>
      </c>
      <c r="H42" s="32" t="n">
        <f aca="false">SUMIFS('Sales Data'!$M$2:$M$1201,'Sales Data'!$K$2:$K$1201,A42)</f>
        <v>58</v>
      </c>
      <c r="I42" s="33" t="n">
        <f aca="false">SUMIFS('Sales Data'!$P$2:$P$1201,'Sales Data'!$K$2:$K$1201,A42)</f>
        <v>161999</v>
      </c>
      <c r="J42" s="33" t="n">
        <f aca="false">SUMIFS('Sales Data'!$R$2:$R$1201,'Sales Data'!$K$2:$K$1201,A42)</f>
        <v>16999</v>
      </c>
      <c r="K42" s="34" t="n">
        <f aca="false">IF(I42=0,0,J42/I42)</f>
        <v>0.104932746498435</v>
      </c>
      <c r="L42" s="34" t="n">
        <f aca="false">I42/SUM($I$5:$I$44)</f>
        <v>0.0298523717395066</v>
      </c>
      <c r="M42" s="34" t="n">
        <f aca="false">SUMIF($I$5:$I$44,"&gt;="&amp;I42)/SUM($I$5:$I$44)</f>
        <v>0.691157433350944</v>
      </c>
      <c r="N42" s="9" t="str">
        <f aca="false">IF(M42&lt;=0.8,"A",IF(M42&lt;=0.95,"B",IF(M42&lt;=1,"C","C")))</f>
        <v>A</v>
      </c>
    </row>
    <row r="43" customFormat="false" ht="15" hidden="false" customHeight="true" outlineLevel="0" collapsed="false">
      <c r="A43" s="11" t="s">
        <v>1936</v>
      </c>
      <c r="B43" s="11" t="s">
        <v>1937</v>
      </c>
      <c r="C43" s="11" t="s">
        <v>192</v>
      </c>
      <c r="D43" s="11" t="s">
        <v>502</v>
      </c>
      <c r="E43" s="31" t="n">
        <v>14999</v>
      </c>
      <c r="F43" s="31" t="n">
        <v>12200</v>
      </c>
      <c r="H43" s="32" t="n">
        <f aca="false">SUMIFS('Sales Data'!$M$2:$M$1201,'Sales Data'!$K$2:$K$1201,A43)</f>
        <v>0</v>
      </c>
      <c r="I43" s="33" t="n">
        <f aca="false">SUMIFS('Sales Data'!$P$2:$P$1201,'Sales Data'!$K$2:$K$1201,A43)</f>
        <v>0</v>
      </c>
      <c r="J43" s="33" t="n">
        <f aca="false">SUMIFS('Sales Data'!$R$2:$R$1201,'Sales Data'!$K$2:$K$1201,A43)</f>
        <v>0</v>
      </c>
      <c r="K43" s="34" t="n">
        <f aca="false">IF(I43=0,0,J43/I43)</f>
        <v>0</v>
      </c>
      <c r="L43" s="34" t="n">
        <f aca="false">I43/SUM($I$5:$I$44)</f>
        <v>0</v>
      </c>
      <c r="M43" s="34" t="n">
        <f aca="false">SUMIF($I$5:$I$44,"&gt;="&amp;I43)/SUM($I$5:$I$44)</f>
        <v>1</v>
      </c>
      <c r="N43" s="9" t="str">
        <f aca="false">IF(M43&lt;=0.8,"A",IF(M43&lt;=0.95,"B",IF(M43&lt;=1,"C","C")))</f>
        <v>C</v>
      </c>
    </row>
    <row r="44" customFormat="false" ht="15" hidden="false" customHeight="true" outlineLevel="0" collapsed="false">
      <c r="A44" s="11" t="s">
        <v>1658</v>
      </c>
      <c r="B44" s="11" t="s">
        <v>1659</v>
      </c>
      <c r="C44" s="11" t="s">
        <v>171</v>
      </c>
      <c r="D44" s="11" t="s">
        <v>304</v>
      </c>
      <c r="E44" s="31" t="n">
        <v>599</v>
      </c>
      <c r="F44" s="31" t="n">
        <v>300</v>
      </c>
      <c r="H44" s="32" t="n">
        <f aca="false">SUMIFS('Sales Data'!$M$2:$M$1201,'Sales Data'!$K$2:$K$1201,A44)</f>
        <v>3</v>
      </c>
      <c r="I44" s="33" t="n">
        <f aca="false">SUMIFS('Sales Data'!$P$2:$P$1201,'Sales Data'!$K$2:$K$1201,A44)</f>
        <v>1707</v>
      </c>
      <c r="J44" s="33" t="n">
        <f aca="false">SUMIFS('Sales Data'!$R$2:$R$1201,'Sales Data'!$K$2:$K$1201,A44)</f>
        <v>807</v>
      </c>
      <c r="K44" s="34" t="n">
        <f aca="false">IF(I44=0,0,J44/I44)</f>
        <v>0.472759226713533</v>
      </c>
      <c r="L44" s="34" t="n">
        <f aca="false">I44/SUM($I$5:$I$44)</f>
        <v>0.00031455748837547</v>
      </c>
      <c r="M44" s="34" t="n">
        <f aca="false">SUMIF($I$5:$I$44,"&gt;="&amp;I44)/SUM($I$5:$I$44)</f>
        <v>1</v>
      </c>
      <c r="N44" s="9" t="str">
        <f aca="false">IF(M44&lt;=0.8,"A",IF(M44&lt;=0.95,"B",IF(M44&lt;=1,"C","C")))</f>
        <v>C</v>
      </c>
    </row>
    <row r="46" customFormat="false" ht="15" hidden="false" customHeight="false" outlineLevel="0" collapsed="false">
      <c r="A46" s="16" t="s">
        <v>1938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2"/>
    <col collapsed="false" customWidth="true" hidden="false" outlineLevel="0" max="3" min="3" style="1" width="22"/>
    <col collapsed="false" customWidth="true" hidden="false" outlineLevel="0" max="4" min="4" style="1" width="14"/>
  </cols>
  <sheetData>
    <row r="1" customFormat="false" ht="19.5" hidden="false" customHeight="true" outlineLevel="0" collapsed="false">
      <c r="A1" s="2" t="s">
        <v>14</v>
      </c>
    </row>
    <row r="2" customFormat="false" ht="15" hidden="false" customHeight="true" outlineLevel="0" collapsed="false">
      <c r="A2" s="3" t="s">
        <v>1939</v>
      </c>
    </row>
    <row r="4" customFormat="false" ht="15" hidden="false" customHeight="true" outlineLevel="0" collapsed="false">
      <c r="A4" s="4" t="s">
        <v>72</v>
      </c>
      <c r="B4" s="4" t="s">
        <v>73</v>
      </c>
      <c r="C4" s="4" t="s">
        <v>74</v>
      </c>
      <c r="D4" s="4" t="s">
        <v>43</v>
      </c>
    </row>
    <row r="5" customFormat="false" ht="43.5" hidden="false" customHeight="true" outlineLevel="0" collapsed="false">
      <c r="A5" s="11" t="n">
        <v>1</v>
      </c>
      <c r="B5" s="5" t="s">
        <v>1940</v>
      </c>
      <c r="C5" s="13" t="n">
        <f aca="false">SUM(Products!$I$5:$I$44)</f>
        <v>5426671</v>
      </c>
      <c r="D5" s="9" t="s">
        <v>47</v>
      </c>
    </row>
    <row r="6" customFormat="false" ht="31.5" hidden="false" customHeight="true" outlineLevel="0" collapsed="false">
      <c r="A6" s="11" t="n">
        <v>2</v>
      </c>
      <c r="B6" s="5" t="s">
        <v>1941</v>
      </c>
      <c r="C6" s="12" t="str">
        <f aca="false">INDEX(Products!$B$5:$B$44,MATCH(MAX(Products!$I$5:$I$44),Products!$I$5:$I$44,0))</f>
        <v>Noise-Cancelling Headphones</v>
      </c>
      <c r="D6" s="9" t="s">
        <v>47</v>
      </c>
    </row>
    <row r="7" customFormat="false" ht="31.5" hidden="false" customHeight="true" outlineLevel="0" collapsed="false">
      <c r="A7" s="11" t="n">
        <v>3</v>
      </c>
      <c r="B7" s="5" t="s">
        <v>1942</v>
      </c>
      <c r="C7" s="12" t="str">
        <f aca="false">INDEX(Products!$B$5:$B$44,MATCH(MAX(Products!$J$5:$J$44),Products!$J$5:$J$44,0))</f>
        <v>Noise-Cancelling Headphones</v>
      </c>
      <c r="D7" s="9" t="s">
        <v>47</v>
      </c>
    </row>
    <row r="8" customFormat="false" ht="31.5" hidden="false" customHeight="true" outlineLevel="0" collapsed="false">
      <c r="A8" s="11" t="n">
        <v>4</v>
      </c>
      <c r="B8" s="5" t="s">
        <v>1943</v>
      </c>
      <c r="C8" s="12" t="n">
        <f aca="false">COUNTIF(Products!$J$5:$J$44,"&lt;0")</f>
        <v>1</v>
      </c>
      <c r="D8" s="9" t="s">
        <v>47</v>
      </c>
    </row>
    <row r="9" customFormat="false" ht="43.5" hidden="false" customHeight="true" outlineLevel="0" collapsed="false">
      <c r="A9" s="11" t="n">
        <v>5</v>
      </c>
      <c r="B9" s="5" t="s">
        <v>1944</v>
      </c>
      <c r="C9" s="12" t="n">
        <f aca="false">COUNTIF(Products!$N$5:$N$44,"A")</f>
        <v>13</v>
      </c>
      <c r="D9" s="9" t="s">
        <v>47</v>
      </c>
    </row>
    <row r="10" customFormat="false" ht="31.5" hidden="false" customHeight="true" outlineLevel="0" collapsed="false">
      <c r="A10" s="11" t="n">
        <v>6</v>
      </c>
      <c r="B10" s="5" t="s">
        <v>1945</v>
      </c>
      <c r="C10" s="29" t="n">
        <f aca="false">SUMIF(Products!$N$5:$N$44,"A",Products!$I$5:$I$44)/SUM(Products!$I$5:$I$44)</f>
        <v>0.792471295938154</v>
      </c>
      <c r="D10" s="9" t="s">
        <v>47</v>
      </c>
    </row>
    <row r="11" customFormat="false" ht="31.5" hidden="false" customHeight="true" outlineLevel="0" collapsed="false">
      <c r="A11" s="11" t="n">
        <v>7</v>
      </c>
      <c r="B11" s="5" t="s">
        <v>1946</v>
      </c>
      <c r="C11" s="12" t="n">
        <f aca="false">COUNTIF(Products!$H$5:$H$44,"&lt;10")</f>
        <v>4</v>
      </c>
      <c r="D11" s="9" t="s">
        <v>47</v>
      </c>
    </row>
    <row r="12" customFormat="false" ht="31.5" hidden="false" customHeight="true" outlineLevel="0" collapsed="false">
      <c r="A12" s="11" t="n">
        <v>8</v>
      </c>
      <c r="B12" s="5" t="s">
        <v>1947</v>
      </c>
      <c r="C12" s="12" t="str">
        <f aca="false">INDEX(Pivots!$A$64:$A$69,MATCH(MAX(Pivots!$E$64:$E$69),Pivots!$E$64:$E$69,0))</f>
        <v>Beauty</v>
      </c>
      <c r="D12" s="9" t="s">
        <v>47</v>
      </c>
    </row>
    <row r="13" customFormat="false" ht="31.5" hidden="false" customHeight="true" outlineLevel="0" collapsed="false">
      <c r="A13" s="11" t="n">
        <v>9</v>
      </c>
      <c r="B13" s="5" t="s">
        <v>1948</v>
      </c>
      <c r="C13" s="13" t="n">
        <f aca="false">SUMIFS('Sales Data'!$R$2:$R$1201,'Sales Data'!$I$2:$I$1201,"Furniture")</f>
        <v>56785</v>
      </c>
      <c r="D13" s="9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R2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2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3"/>
    <col collapsed="false" customWidth="true" hidden="false" outlineLevel="0" max="6" min="6" style="1" width="9"/>
    <col collapsed="false" customWidth="true" hidden="false" outlineLevel="0" max="7" min="7" style="1" width="15"/>
    <col collapsed="false" customWidth="true" hidden="false" outlineLevel="0" max="8" min="8" style="1" width="14"/>
    <col collapsed="false" customWidth="true" hidden="false" outlineLevel="0" max="9" min="9" style="1" width="15"/>
    <col collapsed="false" customWidth="true" hidden="false" outlineLevel="0" max="12" min="10" style="1" width="9"/>
    <col collapsed="false" customWidth="true" hidden="false" outlineLevel="0" max="13" min="13" style="1" width="10"/>
    <col collapsed="false" customWidth="true" hidden="false" outlineLevel="0" max="14" min="14" style="1" width="14"/>
    <col collapsed="false" customWidth="true" hidden="false" outlineLevel="0" max="15" min="15" style="1" width="3"/>
    <col collapsed="false" customWidth="true" hidden="false" outlineLevel="0" max="16" min="16" style="1" width="30"/>
    <col collapsed="false" customWidth="true" hidden="false" outlineLevel="0" max="17" min="17" style="1" width="14"/>
    <col collapsed="false" customWidth="true" hidden="false" outlineLevel="0" max="18" min="18" style="1" width="52"/>
  </cols>
  <sheetData>
    <row r="1" customFormat="false" ht="19.5" hidden="false" customHeight="true" outlineLevel="0" collapsed="false">
      <c r="A1" s="2" t="s">
        <v>1949</v>
      </c>
    </row>
    <row r="2" customFormat="false" ht="15" hidden="false" customHeight="true" outlineLevel="0" collapsed="false">
      <c r="A2" s="3" t="s">
        <v>1950</v>
      </c>
    </row>
    <row r="4" customFormat="false" ht="23.25" hidden="false" customHeight="true" outlineLevel="0" collapsed="false">
      <c r="A4" s="25" t="s">
        <v>139</v>
      </c>
      <c r="B4" s="25" t="s">
        <v>140</v>
      </c>
      <c r="C4" s="25" t="s">
        <v>141</v>
      </c>
      <c r="D4" s="25" t="s">
        <v>143</v>
      </c>
      <c r="F4" s="25" t="s">
        <v>1951</v>
      </c>
      <c r="G4" s="25" t="s">
        <v>1952</v>
      </c>
      <c r="H4" s="25" t="s">
        <v>1953</v>
      </c>
      <c r="I4" s="25" t="s">
        <v>133</v>
      </c>
      <c r="J4" s="25" t="s">
        <v>1954</v>
      </c>
      <c r="K4" s="25" t="s">
        <v>1955</v>
      </c>
      <c r="L4" s="25" t="s">
        <v>1956</v>
      </c>
      <c r="M4" s="25" t="s">
        <v>1957</v>
      </c>
      <c r="N4" s="25" t="s">
        <v>1958</v>
      </c>
      <c r="P4" s="4" t="s">
        <v>1959</v>
      </c>
      <c r="Q4" s="35" t="n">
        <v>46022</v>
      </c>
      <c r="R4" s="36" t="s">
        <v>1960</v>
      </c>
    </row>
    <row r="5" customFormat="false" ht="15" hidden="false" customHeight="true" outlineLevel="0" collapsed="false">
      <c r="A5" s="11" t="s">
        <v>271</v>
      </c>
      <c r="B5" s="11" t="s">
        <v>272</v>
      </c>
      <c r="C5" s="11" t="s">
        <v>159</v>
      </c>
      <c r="D5" s="11" t="s">
        <v>179</v>
      </c>
      <c r="F5" s="37" t="n">
        <f aca="false">COUNTIF('Sales Data'!$D$2:$D$1201,A5)</f>
        <v>4</v>
      </c>
      <c r="G5" s="38" t="n">
        <f aca="false">_xlfn.MAXIFS('Sales Data'!$B$2:$B$1201,'Sales Data'!$D$2:$D$1201,A5)</f>
        <v>45965</v>
      </c>
      <c r="H5" s="37" t="n">
        <f aca="false">$Q$4-G5</f>
        <v>57</v>
      </c>
      <c r="I5" s="33" t="n">
        <f aca="false">SUMIFS('Sales Data'!$P$2:$P$1201,'Sales Data'!$D$2:$D$1201,A5)</f>
        <v>8654</v>
      </c>
      <c r="J5" s="37" t="n">
        <f aca="false">INDEX($Q$7:$Q$9,MATCH(H5,$P$7:$P$9,1))</f>
        <v>2</v>
      </c>
      <c r="K5" s="37" t="n">
        <f aca="false">INDEX($Q$12:$Q$14,MATCH(F5,$P$12:$P$14,1))</f>
        <v>2</v>
      </c>
      <c r="L5" s="37" t="n">
        <f aca="false">INDEX($Q$17:$Q$19,MATCH(I5,$P$17:$P$19,1))</f>
        <v>1</v>
      </c>
      <c r="M5" s="37" t="n">
        <f aca="false">J5+K5+L5</f>
        <v>5</v>
      </c>
      <c r="N5" s="39" t="str">
        <f aca="false">INDEX($Q$22:$Q$25,MATCH(M5,$P$22:$P$25,1))</f>
        <v>At Risk</v>
      </c>
    </row>
    <row r="6" customFormat="false" ht="23.25" hidden="false" customHeight="true" outlineLevel="0" collapsed="false">
      <c r="A6" s="11" t="s">
        <v>360</v>
      </c>
      <c r="B6" s="11" t="s">
        <v>361</v>
      </c>
      <c r="C6" s="11" t="s">
        <v>159</v>
      </c>
      <c r="D6" s="11" t="s">
        <v>207</v>
      </c>
      <c r="F6" s="37" t="n">
        <f aca="false">COUNTIF('Sales Data'!$D$2:$D$1201,A6)</f>
        <v>3</v>
      </c>
      <c r="G6" s="38" t="n">
        <f aca="false">_xlfn.MAXIFS('Sales Data'!$B$2:$B$1201,'Sales Data'!$D$2:$D$1201,A6)</f>
        <v>45882</v>
      </c>
      <c r="H6" s="37" t="n">
        <f aca="false">$Q$4-G6</f>
        <v>140</v>
      </c>
      <c r="I6" s="33" t="n">
        <f aca="false">SUMIFS('Sales Data'!$P$2:$P$1201,'Sales Data'!$D$2:$D$1201,A6)</f>
        <v>23645</v>
      </c>
      <c r="J6" s="37" t="n">
        <f aca="false">INDEX($Q$7:$Q$9,MATCH(H6,$P$7:$P$9,1))</f>
        <v>2</v>
      </c>
      <c r="K6" s="37" t="n">
        <f aca="false">INDEX($Q$12:$Q$14,MATCH(F6,$P$12:$P$14,1))</f>
        <v>2</v>
      </c>
      <c r="L6" s="37" t="n">
        <f aca="false">INDEX($Q$17:$Q$19,MATCH(I6,$P$17:$P$19,1))</f>
        <v>2</v>
      </c>
      <c r="M6" s="37" t="n">
        <f aca="false">J6+K6+L6</f>
        <v>6</v>
      </c>
      <c r="N6" s="39" t="str">
        <f aca="false">INDEX($Q$22:$Q$25,MATCH(M6,$P$22:$P$25,1))</f>
        <v>Loyal</v>
      </c>
      <c r="P6" s="4" t="s">
        <v>1961</v>
      </c>
      <c r="Q6" s="4" t="s">
        <v>1962</v>
      </c>
    </row>
    <row r="7" customFormat="false" ht="15" hidden="false" customHeight="true" outlineLevel="0" collapsed="false">
      <c r="A7" s="11" t="s">
        <v>1107</v>
      </c>
      <c r="B7" s="11" t="s">
        <v>1108</v>
      </c>
      <c r="C7" s="11" t="s">
        <v>219</v>
      </c>
      <c r="D7" s="11" t="s">
        <v>324</v>
      </c>
      <c r="F7" s="37" t="n">
        <f aca="false">COUNTIF('Sales Data'!$D$2:$D$1201,A7)</f>
        <v>2</v>
      </c>
      <c r="G7" s="38" t="n">
        <f aca="false">_xlfn.MAXIFS('Sales Data'!$B$2:$B$1201,'Sales Data'!$D$2:$D$1201,A7)</f>
        <v>45930</v>
      </c>
      <c r="H7" s="37" t="n">
        <f aca="false">$Q$4-G7</f>
        <v>92</v>
      </c>
      <c r="I7" s="33" t="n">
        <f aca="false">SUMIFS('Sales Data'!$P$2:$P$1201,'Sales Data'!$D$2:$D$1201,A7)</f>
        <v>1420</v>
      </c>
      <c r="J7" s="37" t="n">
        <f aca="false">INDEX($Q$7:$Q$9,MATCH(H7,$P$7:$P$9,1))</f>
        <v>2</v>
      </c>
      <c r="K7" s="37" t="n">
        <f aca="false">INDEX($Q$12:$Q$14,MATCH(F7,$P$12:$P$14,1))</f>
        <v>1</v>
      </c>
      <c r="L7" s="37" t="n">
        <f aca="false">INDEX($Q$17:$Q$19,MATCH(I7,$P$17:$P$19,1))</f>
        <v>1</v>
      </c>
      <c r="M7" s="37" t="n">
        <f aca="false">J7+K7+L7</f>
        <v>4</v>
      </c>
      <c r="N7" s="39" t="str">
        <f aca="false">INDEX($Q$22:$Q$25,MATCH(M7,$P$22:$P$25,1))</f>
        <v>At Risk</v>
      </c>
      <c r="P7" s="40" t="n">
        <v>0</v>
      </c>
      <c r="Q7" s="41" t="n">
        <v>3</v>
      </c>
    </row>
    <row r="8" customFormat="false" ht="15" hidden="false" customHeight="true" outlineLevel="0" collapsed="false">
      <c r="A8" s="11" t="s">
        <v>659</v>
      </c>
      <c r="B8" s="11" t="s">
        <v>660</v>
      </c>
      <c r="C8" s="11" t="s">
        <v>159</v>
      </c>
      <c r="D8" s="11" t="s">
        <v>161</v>
      </c>
      <c r="F8" s="37" t="n">
        <f aca="false">COUNTIF('Sales Data'!$D$2:$D$1201,A8)</f>
        <v>7</v>
      </c>
      <c r="G8" s="38" t="n">
        <f aca="false">_xlfn.MAXIFS('Sales Data'!$B$2:$B$1201,'Sales Data'!$D$2:$D$1201,A8)</f>
        <v>46008</v>
      </c>
      <c r="H8" s="37" t="n">
        <f aca="false">$Q$4-G8</f>
        <v>14</v>
      </c>
      <c r="I8" s="33" t="n">
        <f aca="false">SUMIFS('Sales Data'!$P$2:$P$1201,'Sales Data'!$D$2:$D$1201,A8)</f>
        <v>30772</v>
      </c>
      <c r="J8" s="37" t="n">
        <f aca="false">INDEX($Q$7:$Q$9,MATCH(H8,$P$7:$P$9,1))</f>
        <v>3</v>
      </c>
      <c r="K8" s="37" t="n">
        <f aca="false">INDEX($Q$12:$Q$14,MATCH(F8,$P$12:$P$14,1))</f>
        <v>3</v>
      </c>
      <c r="L8" s="37" t="n">
        <f aca="false">INDEX($Q$17:$Q$19,MATCH(I8,$P$17:$P$19,1))</f>
        <v>2</v>
      </c>
      <c r="M8" s="37" t="n">
        <f aca="false">J8+K8+L8</f>
        <v>8</v>
      </c>
      <c r="N8" s="39" t="str">
        <f aca="false">INDEX($Q$22:$Q$25,MATCH(M8,$P$22:$P$25,1))</f>
        <v>Champion</v>
      </c>
      <c r="P8" s="40" t="n">
        <v>46</v>
      </c>
      <c r="Q8" s="41" t="n">
        <v>2</v>
      </c>
    </row>
    <row r="9" customFormat="false" ht="15" hidden="false" customHeight="true" outlineLevel="0" collapsed="false">
      <c r="A9" s="11" t="s">
        <v>843</v>
      </c>
      <c r="B9" s="11" t="s">
        <v>844</v>
      </c>
      <c r="C9" s="11" t="s">
        <v>159</v>
      </c>
      <c r="D9" s="11" t="s">
        <v>179</v>
      </c>
      <c r="F9" s="37" t="n">
        <f aca="false">COUNTIF('Sales Data'!$D$2:$D$1201,A9)</f>
        <v>2</v>
      </c>
      <c r="G9" s="38" t="n">
        <f aca="false">_xlfn.MAXIFS('Sales Data'!$B$2:$B$1201,'Sales Data'!$D$2:$D$1201,A9)</f>
        <v>45983</v>
      </c>
      <c r="H9" s="37" t="n">
        <f aca="false">$Q$4-G9</f>
        <v>39</v>
      </c>
      <c r="I9" s="33" t="n">
        <f aca="false">SUMIFS('Sales Data'!$P$2:$P$1201,'Sales Data'!$D$2:$D$1201,A9)</f>
        <v>4754</v>
      </c>
      <c r="J9" s="37" t="n">
        <f aca="false">INDEX($Q$7:$Q$9,MATCH(H9,$P$7:$P$9,1))</f>
        <v>3</v>
      </c>
      <c r="K9" s="37" t="n">
        <f aca="false">INDEX($Q$12:$Q$14,MATCH(F9,$P$12:$P$14,1))</f>
        <v>1</v>
      </c>
      <c r="L9" s="37" t="n">
        <f aca="false">INDEX($Q$17:$Q$19,MATCH(I9,$P$17:$P$19,1))</f>
        <v>1</v>
      </c>
      <c r="M9" s="37" t="n">
        <f aca="false">J9+K9+L9</f>
        <v>5</v>
      </c>
      <c r="N9" s="39" t="str">
        <f aca="false">INDEX($Q$22:$Q$25,MATCH(M9,$P$22:$P$25,1))</f>
        <v>At Risk</v>
      </c>
      <c r="P9" s="40" t="n">
        <v>151</v>
      </c>
      <c r="Q9" s="41" t="n">
        <v>1</v>
      </c>
    </row>
    <row r="10" customFormat="false" ht="15" hidden="false" customHeight="true" outlineLevel="0" collapsed="false">
      <c r="A10" s="11" t="s">
        <v>438</v>
      </c>
      <c r="B10" s="11" t="s">
        <v>439</v>
      </c>
      <c r="C10" s="11" t="s">
        <v>159</v>
      </c>
      <c r="D10" s="11" t="s">
        <v>324</v>
      </c>
      <c r="F10" s="37" t="n">
        <f aca="false">COUNTIF('Sales Data'!$D$2:$D$1201,A10)</f>
        <v>6</v>
      </c>
      <c r="G10" s="38" t="n">
        <f aca="false">_xlfn.MAXIFS('Sales Data'!$B$2:$B$1201,'Sales Data'!$D$2:$D$1201,A10)</f>
        <v>45999</v>
      </c>
      <c r="H10" s="37" t="n">
        <f aca="false">$Q$4-G10</f>
        <v>23</v>
      </c>
      <c r="I10" s="33" t="n">
        <f aca="false">SUMIFS('Sales Data'!$P$2:$P$1201,'Sales Data'!$D$2:$D$1201,A10)</f>
        <v>20096</v>
      </c>
      <c r="J10" s="37" t="n">
        <f aca="false">INDEX($Q$7:$Q$9,MATCH(H10,$P$7:$P$9,1))</f>
        <v>3</v>
      </c>
      <c r="K10" s="37" t="n">
        <f aca="false">INDEX($Q$12:$Q$14,MATCH(F10,$P$12:$P$14,1))</f>
        <v>2</v>
      </c>
      <c r="L10" s="37" t="n">
        <f aca="false">INDEX($Q$17:$Q$19,MATCH(I10,$P$17:$P$19,1))</f>
        <v>2</v>
      </c>
      <c r="M10" s="37" t="n">
        <f aca="false">J10+K10+L10</f>
        <v>7</v>
      </c>
      <c r="N10" s="39" t="str">
        <f aca="false">INDEX($Q$22:$Q$25,MATCH(M10,$P$22:$P$25,1))</f>
        <v>Loyal</v>
      </c>
    </row>
    <row r="11" customFormat="false" ht="23.25" hidden="false" customHeight="true" outlineLevel="0" collapsed="false">
      <c r="A11" s="11" t="s">
        <v>929</v>
      </c>
      <c r="B11" s="11" t="s">
        <v>930</v>
      </c>
      <c r="C11" s="11" t="s">
        <v>159</v>
      </c>
      <c r="D11" s="11" t="s">
        <v>161</v>
      </c>
      <c r="F11" s="37" t="n">
        <f aca="false">COUNTIF('Sales Data'!$D$2:$D$1201,A11)</f>
        <v>2</v>
      </c>
      <c r="G11" s="38" t="n">
        <f aca="false">_xlfn.MAXIFS('Sales Data'!$B$2:$B$1201,'Sales Data'!$D$2:$D$1201,A11)</f>
        <v>45866</v>
      </c>
      <c r="H11" s="37" t="n">
        <f aca="false">$Q$4-G11</f>
        <v>156</v>
      </c>
      <c r="I11" s="33" t="n">
        <f aca="false">SUMIFS('Sales Data'!$P$2:$P$1201,'Sales Data'!$D$2:$D$1201,A11)</f>
        <v>3874</v>
      </c>
      <c r="J11" s="37" t="n">
        <f aca="false">INDEX($Q$7:$Q$9,MATCH(H11,$P$7:$P$9,1))</f>
        <v>1</v>
      </c>
      <c r="K11" s="37" t="n">
        <f aca="false">INDEX($Q$12:$Q$14,MATCH(F11,$P$12:$P$14,1))</f>
        <v>1</v>
      </c>
      <c r="L11" s="37" t="n">
        <f aca="false">INDEX($Q$17:$Q$19,MATCH(I11,$P$17:$P$19,1))</f>
        <v>1</v>
      </c>
      <c r="M11" s="37" t="n">
        <f aca="false">J11+K11+L11</f>
        <v>3</v>
      </c>
      <c r="N11" s="39" t="str">
        <f aca="false">INDEX($Q$22:$Q$25,MATCH(M11,$P$22:$P$25,1))</f>
        <v>Lost</v>
      </c>
      <c r="P11" s="4" t="s">
        <v>1963</v>
      </c>
      <c r="Q11" s="4" t="s">
        <v>1964</v>
      </c>
    </row>
    <row r="12" customFormat="false" ht="15" hidden="false" customHeight="true" outlineLevel="0" collapsed="false">
      <c r="A12" s="11" t="s">
        <v>482</v>
      </c>
      <c r="B12" s="11" t="s">
        <v>483</v>
      </c>
      <c r="C12" s="11" t="s">
        <v>178</v>
      </c>
      <c r="D12" s="11" t="s">
        <v>269</v>
      </c>
      <c r="F12" s="37" t="n">
        <f aca="false">COUNTIF('Sales Data'!$D$2:$D$1201,A12)</f>
        <v>7</v>
      </c>
      <c r="G12" s="38" t="n">
        <f aca="false">_xlfn.MAXIFS('Sales Data'!$B$2:$B$1201,'Sales Data'!$D$2:$D$1201,A12)</f>
        <v>45976</v>
      </c>
      <c r="H12" s="37" t="n">
        <f aca="false">$Q$4-G12</f>
        <v>46</v>
      </c>
      <c r="I12" s="33" t="n">
        <f aca="false">SUMIFS('Sales Data'!$P$2:$P$1201,'Sales Data'!$D$2:$D$1201,A12)</f>
        <v>17849</v>
      </c>
      <c r="J12" s="37" t="n">
        <f aca="false">INDEX($Q$7:$Q$9,MATCH(H12,$P$7:$P$9,1))</f>
        <v>2</v>
      </c>
      <c r="K12" s="37" t="n">
        <f aca="false">INDEX($Q$12:$Q$14,MATCH(F12,$P$12:$P$14,1))</f>
        <v>3</v>
      </c>
      <c r="L12" s="37" t="n">
        <f aca="false">INDEX($Q$17:$Q$19,MATCH(I12,$P$17:$P$19,1))</f>
        <v>2</v>
      </c>
      <c r="M12" s="37" t="n">
        <f aca="false">J12+K12+L12</f>
        <v>7</v>
      </c>
      <c r="N12" s="39" t="str">
        <f aca="false">INDEX($Q$22:$Q$25,MATCH(M12,$P$22:$P$25,1))</f>
        <v>Loyal</v>
      </c>
      <c r="P12" s="40" t="n">
        <v>1</v>
      </c>
      <c r="Q12" s="41" t="n">
        <v>1</v>
      </c>
    </row>
    <row r="13" customFormat="false" ht="15" hidden="false" customHeight="true" outlineLevel="0" collapsed="false">
      <c r="A13" s="11" t="s">
        <v>764</v>
      </c>
      <c r="B13" s="11" t="s">
        <v>765</v>
      </c>
      <c r="C13" s="11" t="s">
        <v>159</v>
      </c>
      <c r="D13" s="11" t="s">
        <v>170</v>
      </c>
      <c r="F13" s="37" t="n">
        <f aca="false">COUNTIF('Sales Data'!$D$2:$D$1201,A13)</f>
        <v>4</v>
      </c>
      <c r="G13" s="38" t="n">
        <f aca="false">_xlfn.MAXIFS('Sales Data'!$B$2:$B$1201,'Sales Data'!$D$2:$D$1201,A13)</f>
        <v>45965</v>
      </c>
      <c r="H13" s="37" t="n">
        <f aca="false">$Q$4-G13</f>
        <v>57</v>
      </c>
      <c r="I13" s="33" t="n">
        <f aca="false">SUMIFS('Sales Data'!$P$2:$P$1201,'Sales Data'!$D$2:$D$1201,A13)</f>
        <v>12094</v>
      </c>
      <c r="J13" s="37" t="n">
        <f aca="false">INDEX($Q$7:$Q$9,MATCH(H13,$P$7:$P$9,1))</f>
        <v>2</v>
      </c>
      <c r="K13" s="37" t="n">
        <f aca="false">INDEX($Q$12:$Q$14,MATCH(F13,$P$12:$P$14,1))</f>
        <v>2</v>
      </c>
      <c r="L13" s="37" t="n">
        <f aca="false">INDEX($Q$17:$Q$19,MATCH(I13,$P$17:$P$19,1))</f>
        <v>2</v>
      </c>
      <c r="M13" s="37" t="n">
        <f aca="false">J13+K13+L13</f>
        <v>6</v>
      </c>
      <c r="N13" s="39" t="str">
        <f aca="false">INDEX($Q$22:$Q$25,MATCH(M13,$P$22:$P$25,1))</f>
        <v>Loyal</v>
      </c>
      <c r="P13" s="40" t="n">
        <v>3</v>
      </c>
      <c r="Q13" s="41" t="n">
        <v>2</v>
      </c>
    </row>
    <row r="14" customFormat="false" ht="15" hidden="false" customHeight="true" outlineLevel="0" collapsed="false">
      <c r="A14" s="11" t="s">
        <v>1405</v>
      </c>
      <c r="B14" s="11" t="s">
        <v>1406</v>
      </c>
      <c r="C14" s="11" t="s">
        <v>178</v>
      </c>
      <c r="D14" s="11" t="s">
        <v>191</v>
      </c>
      <c r="F14" s="37" t="n">
        <f aca="false">COUNTIF('Sales Data'!$D$2:$D$1201,A14)</f>
        <v>3</v>
      </c>
      <c r="G14" s="38" t="n">
        <f aca="false">_xlfn.MAXIFS('Sales Data'!$B$2:$B$1201,'Sales Data'!$D$2:$D$1201,A14)</f>
        <v>45983</v>
      </c>
      <c r="H14" s="37" t="n">
        <f aca="false">$Q$4-G14</f>
        <v>39</v>
      </c>
      <c r="I14" s="33" t="n">
        <f aca="false">SUMIFS('Sales Data'!$P$2:$P$1201,'Sales Data'!$D$2:$D$1201,A14)</f>
        <v>15734</v>
      </c>
      <c r="J14" s="37" t="n">
        <f aca="false">INDEX($Q$7:$Q$9,MATCH(H14,$P$7:$P$9,1))</f>
        <v>3</v>
      </c>
      <c r="K14" s="37" t="n">
        <f aca="false">INDEX($Q$12:$Q$14,MATCH(F14,$P$12:$P$14,1))</f>
        <v>2</v>
      </c>
      <c r="L14" s="37" t="n">
        <f aca="false">INDEX($Q$17:$Q$19,MATCH(I14,$P$17:$P$19,1))</f>
        <v>2</v>
      </c>
      <c r="M14" s="37" t="n">
        <f aca="false">J14+K14+L14</f>
        <v>7</v>
      </c>
      <c r="N14" s="39" t="str">
        <f aca="false">INDEX($Q$22:$Q$25,MATCH(M14,$P$22:$P$25,1))</f>
        <v>Loyal</v>
      </c>
      <c r="P14" s="40" t="n">
        <v>7</v>
      </c>
      <c r="Q14" s="41" t="n">
        <v>3</v>
      </c>
    </row>
    <row r="15" customFormat="false" ht="15" hidden="false" customHeight="true" outlineLevel="0" collapsed="false">
      <c r="A15" s="11" t="s">
        <v>453</v>
      </c>
      <c r="B15" s="11" t="s">
        <v>454</v>
      </c>
      <c r="C15" s="11" t="s">
        <v>159</v>
      </c>
      <c r="D15" s="11" t="s">
        <v>161</v>
      </c>
      <c r="F15" s="37" t="n">
        <f aca="false">COUNTIF('Sales Data'!$D$2:$D$1201,A15)</f>
        <v>2</v>
      </c>
      <c r="G15" s="38" t="n">
        <f aca="false">_xlfn.MAXIFS('Sales Data'!$B$2:$B$1201,'Sales Data'!$D$2:$D$1201,A15)</f>
        <v>45953</v>
      </c>
      <c r="H15" s="37" t="n">
        <f aca="false">$Q$4-G15</f>
        <v>69</v>
      </c>
      <c r="I15" s="33" t="n">
        <f aca="false">SUMIFS('Sales Data'!$P$2:$P$1201,'Sales Data'!$D$2:$D$1201,A15)</f>
        <v>4123</v>
      </c>
      <c r="J15" s="37" t="n">
        <f aca="false">INDEX($Q$7:$Q$9,MATCH(H15,$P$7:$P$9,1))</f>
        <v>2</v>
      </c>
      <c r="K15" s="37" t="n">
        <f aca="false">INDEX($Q$12:$Q$14,MATCH(F15,$P$12:$P$14,1))</f>
        <v>1</v>
      </c>
      <c r="L15" s="37" t="n">
        <f aca="false">INDEX($Q$17:$Q$19,MATCH(I15,$P$17:$P$19,1))</f>
        <v>1</v>
      </c>
      <c r="M15" s="37" t="n">
        <f aca="false">J15+K15+L15</f>
        <v>4</v>
      </c>
      <c r="N15" s="39" t="str">
        <f aca="false">INDEX($Q$22:$Q$25,MATCH(M15,$P$22:$P$25,1))</f>
        <v>At Risk</v>
      </c>
    </row>
    <row r="16" customFormat="false" ht="23.25" hidden="false" customHeight="true" outlineLevel="0" collapsed="false">
      <c r="A16" s="11" t="s">
        <v>351</v>
      </c>
      <c r="B16" s="11" t="s">
        <v>352</v>
      </c>
      <c r="C16" s="11" t="s">
        <v>178</v>
      </c>
      <c r="D16" s="11" t="s">
        <v>179</v>
      </c>
      <c r="F16" s="37" t="n">
        <f aca="false">COUNTIF('Sales Data'!$D$2:$D$1201,A16)</f>
        <v>15</v>
      </c>
      <c r="G16" s="38" t="n">
        <f aca="false">_xlfn.MAXIFS('Sales Data'!$B$2:$B$1201,'Sales Data'!$D$2:$D$1201,A16)</f>
        <v>46012</v>
      </c>
      <c r="H16" s="37" t="n">
        <f aca="false">$Q$4-G16</f>
        <v>10</v>
      </c>
      <c r="I16" s="33" t="n">
        <f aca="false">SUMIFS('Sales Data'!$P$2:$P$1201,'Sales Data'!$D$2:$D$1201,A16)</f>
        <v>80674</v>
      </c>
      <c r="J16" s="37" t="n">
        <f aca="false">INDEX($Q$7:$Q$9,MATCH(H16,$P$7:$P$9,1))</f>
        <v>3</v>
      </c>
      <c r="K16" s="37" t="n">
        <f aca="false">INDEX($Q$12:$Q$14,MATCH(F16,$P$12:$P$14,1))</f>
        <v>3</v>
      </c>
      <c r="L16" s="37" t="n">
        <f aca="false">INDEX($Q$17:$Q$19,MATCH(I16,$P$17:$P$19,1))</f>
        <v>3</v>
      </c>
      <c r="M16" s="37" t="n">
        <f aca="false">J16+K16+L16</f>
        <v>9</v>
      </c>
      <c r="N16" s="39" t="str">
        <f aca="false">INDEX($Q$22:$Q$25,MATCH(M16,$P$22:$P$25,1))</f>
        <v>Champion</v>
      </c>
      <c r="P16" s="4" t="s">
        <v>1965</v>
      </c>
      <c r="Q16" s="4" t="s">
        <v>1966</v>
      </c>
    </row>
    <row r="17" customFormat="false" ht="15" hidden="false" customHeight="true" outlineLevel="0" collapsed="false">
      <c r="A17" s="11" t="s">
        <v>591</v>
      </c>
      <c r="B17" s="11" t="s">
        <v>592</v>
      </c>
      <c r="C17" s="11" t="s">
        <v>159</v>
      </c>
      <c r="D17" s="11" t="s">
        <v>179</v>
      </c>
      <c r="F17" s="37" t="n">
        <f aca="false">COUNTIF('Sales Data'!$D$2:$D$1201,A17)</f>
        <v>6</v>
      </c>
      <c r="G17" s="38" t="n">
        <f aca="false">_xlfn.MAXIFS('Sales Data'!$B$2:$B$1201,'Sales Data'!$D$2:$D$1201,A17)</f>
        <v>45971</v>
      </c>
      <c r="H17" s="37" t="n">
        <f aca="false">$Q$4-G17</f>
        <v>51</v>
      </c>
      <c r="I17" s="33" t="n">
        <f aca="false">SUMIFS('Sales Data'!$P$2:$P$1201,'Sales Data'!$D$2:$D$1201,A17)</f>
        <v>28689</v>
      </c>
      <c r="J17" s="37" t="n">
        <f aca="false">INDEX($Q$7:$Q$9,MATCH(H17,$P$7:$P$9,1))</f>
        <v>2</v>
      </c>
      <c r="K17" s="37" t="n">
        <f aca="false">INDEX($Q$12:$Q$14,MATCH(F17,$P$12:$P$14,1))</f>
        <v>2</v>
      </c>
      <c r="L17" s="37" t="n">
        <f aca="false">INDEX($Q$17:$Q$19,MATCH(I17,$P$17:$P$19,1))</f>
        <v>2</v>
      </c>
      <c r="M17" s="37" t="n">
        <f aca="false">J17+K17+L17</f>
        <v>6</v>
      </c>
      <c r="N17" s="39" t="str">
        <f aca="false">INDEX($Q$22:$Q$25,MATCH(M17,$P$22:$P$25,1))</f>
        <v>Loyal</v>
      </c>
      <c r="P17" s="40" t="n">
        <v>0</v>
      </c>
      <c r="Q17" s="41" t="n">
        <v>1</v>
      </c>
    </row>
    <row r="18" customFormat="false" ht="15" hidden="false" customHeight="true" outlineLevel="0" collapsed="false">
      <c r="A18" s="11" t="s">
        <v>491</v>
      </c>
      <c r="B18" s="11" t="s">
        <v>492</v>
      </c>
      <c r="C18" s="11" t="s">
        <v>159</v>
      </c>
      <c r="D18" s="11" t="s">
        <v>179</v>
      </c>
      <c r="F18" s="37" t="n">
        <f aca="false">COUNTIF('Sales Data'!$D$2:$D$1201,A18)</f>
        <v>10</v>
      </c>
      <c r="G18" s="38" t="n">
        <f aca="false">_xlfn.MAXIFS('Sales Data'!$B$2:$B$1201,'Sales Data'!$D$2:$D$1201,A18)</f>
        <v>46021</v>
      </c>
      <c r="H18" s="37" t="n">
        <f aca="false">$Q$4-G18</f>
        <v>1</v>
      </c>
      <c r="I18" s="33" t="n">
        <f aca="false">SUMIFS('Sales Data'!$P$2:$P$1201,'Sales Data'!$D$2:$D$1201,A18)</f>
        <v>14043</v>
      </c>
      <c r="J18" s="37" t="n">
        <f aca="false">INDEX($Q$7:$Q$9,MATCH(H18,$P$7:$P$9,1))</f>
        <v>3</v>
      </c>
      <c r="K18" s="37" t="n">
        <f aca="false">INDEX($Q$12:$Q$14,MATCH(F18,$P$12:$P$14,1))</f>
        <v>3</v>
      </c>
      <c r="L18" s="37" t="n">
        <f aca="false">INDEX($Q$17:$Q$19,MATCH(I18,$P$17:$P$19,1))</f>
        <v>2</v>
      </c>
      <c r="M18" s="37" t="n">
        <f aca="false">J18+K18+L18</f>
        <v>8</v>
      </c>
      <c r="N18" s="39" t="str">
        <f aca="false">INDEX($Q$22:$Q$25,MATCH(M18,$P$22:$P$25,1))</f>
        <v>Champion</v>
      </c>
      <c r="P18" s="40" t="n">
        <v>12000</v>
      </c>
      <c r="Q18" s="41" t="n">
        <v>2</v>
      </c>
    </row>
    <row r="19" customFormat="false" ht="15" hidden="false" customHeight="true" outlineLevel="0" collapsed="false">
      <c r="A19" s="11" t="s">
        <v>959</v>
      </c>
      <c r="B19" s="11" t="s">
        <v>960</v>
      </c>
      <c r="C19" s="11" t="s">
        <v>219</v>
      </c>
      <c r="D19" s="11" t="s">
        <v>324</v>
      </c>
      <c r="F19" s="37" t="n">
        <f aca="false">COUNTIF('Sales Data'!$D$2:$D$1201,A19)</f>
        <v>2</v>
      </c>
      <c r="G19" s="38" t="n">
        <f aca="false">_xlfn.MAXIFS('Sales Data'!$B$2:$B$1201,'Sales Data'!$D$2:$D$1201,A19)</f>
        <v>45879</v>
      </c>
      <c r="H19" s="37" t="n">
        <f aca="false">$Q$4-G19</f>
        <v>143</v>
      </c>
      <c r="I19" s="33" t="n">
        <f aca="false">SUMIFS('Sales Data'!$P$2:$P$1201,'Sales Data'!$D$2:$D$1201,A19)</f>
        <v>5192</v>
      </c>
      <c r="J19" s="37" t="n">
        <f aca="false">INDEX($Q$7:$Q$9,MATCH(H19,$P$7:$P$9,1))</f>
        <v>2</v>
      </c>
      <c r="K19" s="37" t="n">
        <f aca="false">INDEX($Q$12:$Q$14,MATCH(F19,$P$12:$P$14,1))</f>
        <v>1</v>
      </c>
      <c r="L19" s="37" t="n">
        <f aca="false">INDEX($Q$17:$Q$19,MATCH(I19,$P$17:$P$19,1))</f>
        <v>1</v>
      </c>
      <c r="M19" s="37" t="n">
        <f aca="false">J19+K19+L19</f>
        <v>4</v>
      </c>
      <c r="N19" s="39" t="str">
        <f aca="false">INDEX($Q$22:$Q$25,MATCH(M19,$P$22:$P$25,1))</f>
        <v>At Risk</v>
      </c>
      <c r="P19" s="40" t="n">
        <v>45000</v>
      </c>
      <c r="Q19" s="41" t="n">
        <v>3</v>
      </c>
    </row>
    <row r="20" customFormat="false" ht="15" hidden="false" customHeight="true" outlineLevel="0" collapsed="false">
      <c r="A20" s="11" t="s">
        <v>1032</v>
      </c>
      <c r="B20" s="11" t="s">
        <v>1033</v>
      </c>
      <c r="C20" s="11" t="s">
        <v>219</v>
      </c>
      <c r="D20" s="11" t="s">
        <v>207</v>
      </c>
      <c r="F20" s="37" t="n">
        <f aca="false">COUNTIF('Sales Data'!$D$2:$D$1201,A20)</f>
        <v>1</v>
      </c>
      <c r="G20" s="38" t="n">
        <f aca="false">_xlfn.MAXIFS('Sales Data'!$B$2:$B$1201,'Sales Data'!$D$2:$D$1201,A20)</f>
        <v>45811</v>
      </c>
      <c r="H20" s="37" t="n">
        <f aca="false">$Q$4-G20</f>
        <v>211</v>
      </c>
      <c r="I20" s="33" t="n">
        <f aca="false">SUMIFS('Sales Data'!$P$2:$P$1201,'Sales Data'!$D$2:$D$1201,A20)</f>
        <v>479</v>
      </c>
      <c r="J20" s="37" t="n">
        <f aca="false">INDEX($Q$7:$Q$9,MATCH(H20,$P$7:$P$9,1))</f>
        <v>1</v>
      </c>
      <c r="K20" s="37" t="n">
        <f aca="false">INDEX($Q$12:$Q$14,MATCH(F20,$P$12:$P$14,1))</f>
        <v>1</v>
      </c>
      <c r="L20" s="37" t="n">
        <f aca="false">INDEX($Q$17:$Q$19,MATCH(I20,$P$17:$P$19,1))</f>
        <v>1</v>
      </c>
      <c r="M20" s="37" t="n">
        <f aca="false">J20+K20+L20</f>
        <v>3</v>
      </c>
      <c r="N20" s="39" t="str">
        <f aca="false">INDEX($Q$22:$Q$25,MATCH(M20,$P$22:$P$25,1))</f>
        <v>Lost</v>
      </c>
    </row>
    <row r="21" customFormat="false" ht="23.25" hidden="false" customHeight="true" outlineLevel="0" collapsed="false">
      <c r="A21" s="11" t="s">
        <v>339</v>
      </c>
      <c r="B21" s="11" t="s">
        <v>340</v>
      </c>
      <c r="C21" s="11" t="s">
        <v>178</v>
      </c>
      <c r="D21" s="11" t="s">
        <v>179</v>
      </c>
      <c r="F21" s="37" t="n">
        <f aca="false">COUNTIF('Sales Data'!$D$2:$D$1201,A21)</f>
        <v>8</v>
      </c>
      <c r="G21" s="38" t="n">
        <f aca="false">_xlfn.MAXIFS('Sales Data'!$B$2:$B$1201,'Sales Data'!$D$2:$D$1201,A21)</f>
        <v>45978</v>
      </c>
      <c r="H21" s="37" t="n">
        <f aca="false">$Q$4-G21</f>
        <v>44</v>
      </c>
      <c r="I21" s="33" t="n">
        <f aca="false">SUMIFS('Sales Data'!$P$2:$P$1201,'Sales Data'!$D$2:$D$1201,A21)</f>
        <v>44172</v>
      </c>
      <c r="J21" s="37" t="n">
        <f aca="false">INDEX($Q$7:$Q$9,MATCH(H21,$P$7:$P$9,1))</f>
        <v>3</v>
      </c>
      <c r="K21" s="37" t="n">
        <f aca="false">INDEX($Q$12:$Q$14,MATCH(F21,$P$12:$P$14,1))</f>
        <v>3</v>
      </c>
      <c r="L21" s="37" t="n">
        <f aca="false">INDEX($Q$17:$Q$19,MATCH(I21,$P$17:$P$19,1))</f>
        <v>2</v>
      </c>
      <c r="M21" s="37" t="n">
        <f aca="false">J21+K21+L21</f>
        <v>8</v>
      </c>
      <c r="N21" s="39" t="str">
        <f aca="false">INDEX($Q$22:$Q$25,MATCH(M21,$P$22:$P$25,1))</f>
        <v>Champion</v>
      </c>
      <c r="P21" s="4" t="s">
        <v>1967</v>
      </c>
      <c r="Q21" s="4" t="s">
        <v>1958</v>
      </c>
    </row>
    <row r="22" customFormat="false" ht="15" hidden="false" customHeight="true" outlineLevel="0" collapsed="false">
      <c r="A22" s="11" t="s">
        <v>563</v>
      </c>
      <c r="B22" s="11" t="s">
        <v>564</v>
      </c>
      <c r="C22" s="11" t="s">
        <v>178</v>
      </c>
      <c r="D22" s="11" t="s">
        <v>269</v>
      </c>
      <c r="F22" s="37" t="n">
        <f aca="false">COUNTIF('Sales Data'!$D$2:$D$1201,A22)</f>
        <v>8</v>
      </c>
      <c r="G22" s="38" t="n">
        <f aca="false">_xlfn.MAXIFS('Sales Data'!$B$2:$B$1201,'Sales Data'!$D$2:$D$1201,A22)</f>
        <v>45962</v>
      </c>
      <c r="H22" s="37" t="n">
        <f aca="false">$Q$4-G22</f>
        <v>60</v>
      </c>
      <c r="I22" s="33" t="n">
        <f aca="false">SUMIFS('Sales Data'!$P$2:$P$1201,'Sales Data'!$D$2:$D$1201,A22)</f>
        <v>61007</v>
      </c>
      <c r="J22" s="37" t="n">
        <f aca="false">INDEX($Q$7:$Q$9,MATCH(H22,$P$7:$P$9,1))</f>
        <v>2</v>
      </c>
      <c r="K22" s="37" t="n">
        <f aca="false">INDEX($Q$12:$Q$14,MATCH(F22,$P$12:$P$14,1))</f>
        <v>3</v>
      </c>
      <c r="L22" s="37" t="n">
        <f aca="false">INDEX($Q$17:$Q$19,MATCH(I22,$P$17:$P$19,1))</f>
        <v>3</v>
      </c>
      <c r="M22" s="37" t="n">
        <f aca="false">J22+K22+L22</f>
        <v>8</v>
      </c>
      <c r="N22" s="39" t="str">
        <f aca="false">INDEX($Q$22:$Q$25,MATCH(M22,$P$22:$P$25,1))</f>
        <v>Champion</v>
      </c>
      <c r="P22" s="40" t="n">
        <v>3</v>
      </c>
      <c r="Q22" s="41" t="s">
        <v>1968</v>
      </c>
    </row>
    <row r="23" customFormat="false" ht="15" hidden="false" customHeight="true" outlineLevel="0" collapsed="false">
      <c r="A23" s="11" t="s">
        <v>419</v>
      </c>
      <c r="B23" s="11" t="s">
        <v>420</v>
      </c>
      <c r="C23" s="11" t="s">
        <v>178</v>
      </c>
      <c r="D23" s="11" t="s">
        <v>179</v>
      </c>
      <c r="F23" s="37" t="n">
        <f aca="false">COUNTIF('Sales Data'!$D$2:$D$1201,A23)</f>
        <v>10</v>
      </c>
      <c r="G23" s="38" t="n">
        <f aca="false">_xlfn.MAXIFS('Sales Data'!$B$2:$B$1201,'Sales Data'!$D$2:$D$1201,A23)</f>
        <v>46021</v>
      </c>
      <c r="H23" s="37" t="n">
        <f aca="false">$Q$4-G23</f>
        <v>1</v>
      </c>
      <c r="I23" s="33" t="n">
        <f aca="false">SUMIFS('Sales Data'!$P$2:$P$1201,'Sales Data'!$D$2:$D$1201,A23)</f>
        <v>36413</v>
      </c>
      <c r="J23" s="37" t="n">
        <f aca="false">INDEX($Q$7:$Q$9,MATCH(H23,$P$7:$P$9,1))</f>
        <v>3</v>
      </c>
      <c r="K23" s="37" t="n">
        <f aca="false">INDEX($Q$12:$Q$14,MATCH(F23,$P$12:$P$14,1))</f>
        <v>3</v>
      </c>
      <c r="L23" s="37" t="n">
        <f aca="false">INDEX($Q$17:$Q$19,MATCH(I23,$P$17:$P$19,1))</f>
        <v>2</v>
      </c>
      <c r="M23" s="37" t="n">
        <f aca="false">J23+K23+L23</f>
        <v>8</v>
      </c>
      <c r="N23" s="39" t="str">
        <f aca="false">INDEX($Q$22:$Q$25,MATCH(M23,$P$22:$P$25,1))</f>
        <v>Champion</v>
      </c>
      <c r="P23" s="40" t="n">
        <v>4</v>
      </c>
      <c r="Q23" s="41" t="s">
        <v>1969</v>
      </c>
    </row>
    <row r="24" customFormat="false" ht="15" hidden="false" customHeight="true" outlineLevel="0" collapsed="false">
      <c r="A24" s="11" t="s">
        <v>900</v>
      </c>
      <c r="B24" s="11" t="s">
        <v>901</v>
      </c>
      <c r="C24" s="11" t="s">
        <v>219</v>
      </c>
      <c r="D24" s="11" t="s">
        <v>269</v>
      </c>
      <c r="F24" s="37" t="n">
        <f aca="false">COUNTIF('Sales Data'!$D$2:$D$1201,A24)</f>
        <v>4</v>
      </c>
      <c r="G24" s="38" t="n">
        <f aca="false">_xlfn.MAXIFS('Sales Data'!$B$2:$B$1201,'Sales Data'!$D$2:$D$1201,A24)</f>
        <v>45960</v>
      </c>
      <c r="H24" s="37" t="n">
        <f aca="false">$Q$4-G24</f>
        <v>62</v>
      </c>
      <c r="I24" s="33" t="n">
        <f aca="false">SUMIFS('Sales Data'!$P$2:$P$1201,'Sales Data'!$D$2:$D$1201,A24)</f>
        <v>21612</v>
      </c>
      <c r="J24" s="37" t="n">
        <f aca="false">INDEX($Q$7:$Q$9,MATCH(H24,$P$7:$P$9,1))</f>
        <v>2</v>
      </c>
      <c r="K24" s="37" t="n">
        <f aca="false">INDEX($Q$12:$Q$14,MATCH(F24,$P$12:$P$14,1))</f>
        <v>2</v>
      </c>
      <c r="L24" s="37" t="n">
        <f aca="false">INDEX($Q$17:$Q$19,MATCH(I24,$P$17:$P$19,1))</f>
        <v>2</v>
      </c>
      <c r="M24" s="37" t="n">
        <f aca="false">J24+K24+L24</f>
        <v>6</v>
      </c>
      <c r="N24" s="39" t="str">
        <f aca="false">INDEX($Q$22:$Q$25,MATCH(M24,$P$22:$P$25,1))</f>
        <v>Loyal</v>
      </c>
      <c r="P24" s="40" t="n">
        <v>6</v>
      </c>
      <c r="Q24" s="41" t="s">
        <v>1970</v>
      </c>
    </row>
    <row r="25" customFormat="false" ht="15" hidden="false" customHeight="true" outlineLevel="0" collapsed="false">
      <c r="A25" s="11" t="s">
        <v>988</v>
      </c>
      <c r="B25" s="11" t="s">
        <v>989</v>
      </c>
      <c r="C25" s="11" t="s">
        <v>159</v>
      </c>
      <c r="D25" s="11" t="s">
        <v>269</v>
      </c>
      <c r="F25" s="37" t="n">
        <f aca="false">COUNTIF('Sales Data'!$D$2:$D$1201,A25)</f>
        <v>4</v>
      </c>
      <c r="G25" s="38" t="n">
        <f aca="false">_xlfn.MAXIFS('Sales Data'!$B$2:$B$1201,'Sales Data'!$D$2:$D$1201,A25)</f>
        <v>45993</v>
      </c>
      <c r="H25" s="37" t="n">
        <f aca="false">$Q$4-G25</f>
        <v>29</v>
      </c>
      <c r="I25" s="33" t="n">
        <f aca="false">SUMIFS('Sales Data'!$P$2:$P$1201,'Sales Data'!$D$2:$D$1201,A25)</f>
        <v>11555</v>
      </c>
      <c r="J25" s="37" t="n">
        <f aca="false">INDEX($Q$7:$Q$9,MATCH(H25,$P$7:$P$9,1))</f>
        <v>3</v>
      </c>
      <c r="K25" s="37" t="n">
        <f aca="false">INDEX($Q$12:$Q$14,MATCH(F25,$P$12:$P$14,1))</f>
        <v>2</v>
      </c>
      <c r="L25" s="37" t="n">
        <f aca="false">INDEX($Q$17:$Q$19,MATCH(I25,$P$17:$P$19,1))</f>
        <v>1</v>
      </c>
      <c r="M25" s="37" t="n">
        <f aca="false">J25+K25+L25</f>
        <v>6</v>
      </c>
      <c r="N25" s="39" t="str">
        <f aca="false">INDEX($Q$22:$Q$25,MATCH(M25,$P$22:$P$25,1))</f>
        <v>Loyal</v>
      </c>
      <c r="P25" s="40" t="n">
        <v>8</v>
      </c>
      <c r="Q25" s="41" t="s">
        <v>1971</v>
      </c>
    </row>
    <row r="26" customFormat="false" ht="15" hidden="false" customHeight="true" outlineLevel="0" collapsed="false">
      <c r="A26" s="11" t="s">
        <v>302</v>
      </c>
      <c r="B26" s="11" t="s">
        <v>303</v>
      </c>
      <c r="C26" s="11" t="s">
        <v>159</v>
      </c>
      <c r="D26" s="11" t="s">
        <v>269</v>
      </c>
      <c r="F26" s="37" t="n">
        <f aca="false">COUNTIF('Sales Data'!$D$2:$D$1201,A26)</f>
        <v>8</v>
      </c>
      <c r="G26" s="38" t="n">
        <f aca="false">_xlfn.MAXIFS('Sales Data'!$B$2:$B$1201,'Sales Data'!$D$2:$D$1201,A26)</f>
        <v>46016</v>
      </c>
      <c r="H26" s="37" t="n">
        <f aca="false">$Q$4-G26</f>
        <v>6</v>
      </c>
      <c r="I26" s="33" t="n">
        <f aca="false">SUMIFS('Sales Data'!$P$2:$P$1201,'Sales Data'!$D$2:$D$1201,A26)</f>
        <v>49491</v>
      </c>
      <c r="J26" s="37" t="n">
        <f aca="false">INDEX($Q$7:$Q$9,MATCH(H26,$P$7:$P$9,1))</f>
        <v>3</v>
      </c>
      <c r="K26" s="37" t="n">
        <f aca="false">INDEX($Q$12:$Q$14,MATCH(F26,$P$12:$P$14,1))</f>
        <v>3</v>
      </c>
      <c r="L26" s="37" t="n">
        <f aca="false">INDEX($Q$17:$Q$19,MATCH(I26,$P$17:$P$19,1))</f>
        <v>3</v>
      </c>
      <c r="M26" s="37" t="n">
        <f aca="false">J26+K26+L26</f>
        <v>9</v>
      </c>
      <c r="N26" s="39" t="str">
        <f aca="false">INDEX($Q$22:$Q$25,MATCH(M26,$P$22:$P$25,1))</f>
        <v>Champion</v>
      </c>
    </row>
    <row r="27" customFormat="false" ht="15" hidden="false" customHeight="true" outlineLevel="0" collapsed="false">
      <c r="A27" s="11" t="s">
        <v>1629</v>
      </c>
      <c r="B27" s="11" t="s">
        <v>1630</v>
      </c>
      <c r="C27" s="11" t="s">
        <v>159</v>
      </c>
      <c r="D27" s="11" t="s">
        <v>179</v>
      </c>
      <c r="F27" s="37" t="n">
        <f aca="false">COUNTIF('Sales Data'!$D$2:$D$1201,A27)</f>
        <v>1</v>
      </c>
      <c r="G27" s="38" t="n">
        <f aca="false">_xlfn.MAXIFS('Sales Data'!$B$2:$B$1201,'Sales Data'!$D$2:$D$1201,A27)</f>
        <v>45963</v>
      </c>
      <c r="H27" s="37" t="n">
        <f aca="false">$Q$4-G27</f>
        <v>59</v>
      </c>
      <c r="I27" s="33" t="n">
        <f aca="false">SUMIFS('Sales Data'!$P$2:$P$1201,'Sales Data'!$D$2:$D$1201,A27)</f>
        <v>378</v>
      </c>
      <c r="J27" s="37" t="n">
        <f aca="false">INDEX($Q$7:$Q$9,MATCH(H27,$P$7:$P$9,1))</f>
        <v>2</v>
      </c>
      <c r="K27" s="37" t="n">
        <f aca="false">INDEX($Q$12:$Q$14,MATCH(F27,$P$12:$P$14,1))</f>
        <v>1</v>
      </c>
      <c r="L27" s="37" t="n">
        <f aca="false">INDEX($Q$17:$Q$19,MATCH(I27,$P$17:$P$19,1))</f>
        <v>1</v>
      </c>
      <c r="M27" s="37" t="n">
        <f aca="false">J27+K27+L27</f>
        <v>4</v>
      </c>
      <c r="N27" s="39" t="str">
        <f aca="false">INDEX($Q$22:$Q$25,MATCH(M27,$P$22:$P$25,1))</f>
        <v>At Risk</v>
      </c>
    </row>
    <row r="28" customFormat="false" ht="15" hidden="false" customHeight="true" outlineLevel="0" collapsed="false">
      <c r="A28" s="11" t="s">
        <v>167</v>
      </c>
      <c r="B28" s="11" t="s">
        <v>168</v>
      </c>
      <c r="C28" s="11" t="s">
        <v>159</v>
      </c>
      <c r="D28" s="11" t="s">
        <v>170</v>
      </c>
      <c r="F28" s="37" t="n">
        <f aca="false">COUNTIF('Sales Data'!$D$2:$D$1201,A28)</f>
        <v>11</v>
      </c>
      <c r="G28" s="38" t="n">
        <f aca="false">_xlfn.MAXIFS('Sales Data'!$B$2:$B$1201,'Sales Data'!$D$2:$D$1201,A28)</f>
        <v>46015</v>
      </c>
      <c r="H28" s="37" t="n">
        <f aca="false">$Q$4-G28</f>
        <v>7</v>
      </c>
      <c r="I28" s="33" t="n">
        <f aca="false">SUMIFS('Sales Data'!$P$2:$P$1201,'Sales Data'!$D$2:$D$1201,A28)</f>
        <v>39762</v>
      </c>
      <c r="J28" s="37" t="n">
        <f aca="false">INDEX($Q$7:$Q$9,MATCH(H28,$P$7:$P$9,1))</f>
        <v>3</v>
      </c>
      <c r="K28" s="37" t="n">
        <f aca="false">INDEX($Q$12:$Q$14,MATCH(F28,$P$12:$P$14,1))</f>
        <v>3</v>
      </c>
      <c r="L28" s="37" t="n">
        <f aca="false">INDEX($Q$17:$Q$19,MATCH(I28,$P$17:$P$19,1))</f>
        <v>2</v>
      </c>
      <c r="M28" s="37" t="n">
        <f aca="false">J28+K28+L28</f>
        <v>8</v>
      </c>
      <c r="N28" s="39" t="str">
        <f aca="false">INDEX($Q$22:$Q$25,MATCH(M28,$P$22:$P$25,1))</f>
        <v>Champion</v>
      </c>
    </row>
    <row r="29" customFormat="false" ht="15" hidden="false" customHeight="true" outlineLevel="0" collapsed="false">
      <c r="A29" s="11" t="s">
        <v>372</v>
      </c>
      <c r="B29" s="11" t="s">
        <v>373</v>
      </c>
      <c r="C29" s="11" t="s">
        <v>219</v>
      </c>
      <c r="D29" s="11" t="s">
        <v>269</v>
      </c>
      <c r="F29" s="37" t="n">
        <f aca="false">COUNTIF('Sales Data'!$D$2:$D$1201,A29)</f>
        <v>11</v>
      </c>
      <c r="G29" s="38" t="n">
        <f aca="false">_xlfn.MAXIFS('Sales Data'!$B$2:$B$1201,'Sales Data'!$D$2:$D$1201,A29)</f>
        <v>45982</v>
      </c>
      <c r="H29" s="37" t="n">
        <f aca="false">$Q$4-G29</f>
        <v>40</v>
      </c>
      <c r="I29" s="33" t="n">
        <f aca="false">SUMIFS('Sales Data'!$P$2:$P$1201,'Sales Data'!$D$2:$D$1201,A29)</f>
        <v>77585</v>
      </c>
      <c r="J29" s="37" t="n">
        <f aca="false">INDEX($Q$7:$Q$9,MATCH(H29,$P$7:$P$9,1))</f>
        <v>3</v>
      </c>
      <c r="K29" s="37" t="n">
        <f aca="false">INDEX($Q$12:$Q$14,MATCH(F29,$P$12:$P$14,1))</f>
        <v>3</v>
      </c>
      <c r="L29" s="37" t="n">
        <f aca="false">INDEX($Q$17:$Q$19,MATCH(I29,$P$17:$P$19,1))</f>
        <v>3</v>
      </c>
      <c r="M29" s="37" t="n">
        <f aca="false">J29+K29+L29</f>
        <v>9</v>
      </c>
      <c r="N29" s="39" t="str">
        <f aca="false">INDEX($Q$22:$Q$25,MATCH(M29,$P$22:$P$25,1))</f>
        <v>Champion</v>
      </c>
    </row>
    <row r="30" customFormat="false" ht="15" hidden="false" customHeight="true" outlineLevel="0" collapsed="false">
      <c r="A30" s="11" t="s">
        <v>850</v>
      </c>
      <c r="B30" s="11" t="s">
        <v>851</v>
      </c>
      <c r="C30" s="11" t="s">
        <v>159</v>
      </c>
      <c r="D30" s="11" t="s">
        <v>269</v>
      </c>
      <c r="F30" s="37" t="n">
        <f aca="false">COUNTIF('Sales Data'!$D$2:$D$1201,A30)</f>
        <v>2</v>
      </c>
      <c r="G30" s="38" t="n">
        <f aca="false">_xlfn.MAXIFS('Sales Data'!$B$2:$B$1201,'Sales Data'!$D$2:$D$1201,A30)</f>
        <v>45980</v>
      </c>
      <c r="H30" s="37" t="n">
        <f aca="false">$Q$4-G30</f>
        <v>42</v>
      </c>
      <c r="I30" s="33" t="n">
        <f aca="false">SUMIFS('Sales Data'!$P$2:$P$1201,'Sales Data'!$D$2:$D$1201,A30)</f>
        <v>29095</v>
      </c>
      <c r="J30" s="37" t="n">
        <f aca="false">INDEX($Q$7:$Q$9,MATCH(H30,$P$7:$P$9,1))</f>
        <v>3</v>
      </c>
      <c r="K30" s="37" t="n">
        <f aca="false">INDEX($Q$12:$Q$14,MATCH(F30,$P$12:$P$14,1))</f>
        <v>1</v>
      </c>
      <c r="L30" s="37" t="n">
        <f aca="false">INDEX($Q$17:$Q$19,MATCH(I30,$P$17:$P$19,1))</f>
        <v>2</v>
      </c>
      <c r="M30" s="37" t="n">
        <f aca="false">J30+K30+L30</f>
        <v>6</v>
      </c>
      <c r="N30" s="39" t="str">
        <f aca="false">INDEX($Q$22:$Q$25,MATCH(M30,$P$22:$P$25,1))</f>
        <v>Loyal</v>
      </c>
    </row>
    <row r="31" customFormat="false" ht="15" hidden="false" customHeight="true" outlineLevel="0" collapsed="false">
      <c r="A31" s="11" t="s">
        <v>767</v>
      </c>
      <c r="B31" s="11" t="s">
        <v>768</v>
      </c>
      <c r="C31" s="11" t="s">
        <v>159</v>
      </c>
      <c r="D31" s="11" t="s">
        <v>269</v>
      </c>
      <c r="F31" s="37" t="n">
        <f aca="false">COUNTIF('Sales Data'!$D$2:$D$1201,A31)</f>
        <v>4</v>
      </c>
      <c r="G31" s="38" t="n">
        <f aca="false">_xlfn.MAXIFS('Sales Data'!$B$2:$B$1201,'Sales Data'!$D$2:$D$1201,A31)</f>
        <v>45971</v>
      </c>
      <c r="H31" s="37" t="n">
        <f aca="false">$Q$4-G31</f>
        <v>51</v>
      </c>
      <c r="I31" s="33" t="n">
        <f aca="false">SUMIFS('Sales Data'!$P$2:$P$1201,'Sales Data'!$D$2:$D$1201,A31)</f>
        <v>16734</v>
      </c>
      <c r="J31" s="37" t="n">
        <f aca="false">INDEX($Q$7:$Q$9,MATCH(H31,$P$7:$P$9,1))</f>
        <v>2</v>
      </c>
      <c r="K31" s="37" t="n">
        <f aca="false">INDEX($Q$12:$Q$14,MATCH(F31,$P$12:$P$14,1))</f>
        <v>2</v>
      </c>
      <c r="L31" s="37" t="n">
        <f aca="false">INDEX($Q$17:$Q$19,MATCH(I31,$P$17:$P$19,1))</f>
        <v>2</v>
      </c>
      <c r="M31" s="37" t="n">
        <f aca="false">J31+K31+L31</f>
        <v>6</v>
      </c>
      <c r="N31" s="39" t="str">
        <f aca="false">INDEX($Q$22:$Q$25,MATCH(M31,$P$22:$P$25,1))</f>
        <v>Loyal</v>
      </c>
    </row>
    <row r="32" customFormat="false" ht="15" hidden="false" customHeight="true" outlineLevel="0" collapsed="false">
      <c r="A32" s="11" t="s">
        <v>542</v>
      </c>
      <c r="B32" s="11" t="s">
        <v>543</v>
      </c>
      <c r="C32" s="11" t="s">
        <v>159</v>
      </c>
      <c r="D32" s="11" t="s">
        <v>269</v>
      </c>
      <c r="F32" s="37" t="n">
        <f aca="false">COUNTIF('Sales Data'!$D$2:$D$1201,A32)</f>
        <v>3</v>
      </c>
      <c r="G32" s="38" t="n">
        <f aca="false">_xlfn.MAXIFS('Sales Data'!$B$2:$B$1201,'Sales Data'!$D$2:$D$1201,A32)</f>
        <v>45964</v>
      </c>
      <c r="H32" s="37" t="n">
        <f aca="false">$Q$4-G32</f>
        <v>58</v>
      </c>
      <c r="I32" s="33" t="n">
        <f aca="false">SUMIFS('Sales Data'!$P$2:$P$1201,'Sales Data'!$D$2:$D$1201,A32)</f>
        <v>24946</v>
      </c>
      <c r="J32" s="37" t="n">
        <f aca="false">INDEX($Q$7:$Q$9,MATCH(H32,$P$7:$P$9,1))</f>
        <v>2</v>
      </c>
      <c r="K32" s="37" t="n">
        <f aca="false">INDEX($Q$12:$Q$14,MATCH(F32,$P$12:$P$14,1))</f>
        <v>2</v>
      </c>
      <c r="L32" s="37" t="n">
        <f aca="false">INDEX($Q$17:$Q$19,MATCH(I32,$P$17:$P$19,1))</f>
        <v>2</v>
      </c>
      <c r="M32" s="37" t="n">
        <f aca="false">J32+K32+L32</f>
        <v>6</v>
      </c>
      <c r="N32" s="39" t="str">
        <f aca="false">INDEX($Q$22:$Q$25,MATCH(M32,$P$22:$P$25,1))</f>
        <v>Loyal</v>
      </c>
    </row>
    <row r="33" customFormat="false" ht="15" hidden="false" customHeight="true" outlineLevel="0" collapsed="false">
      <c r="A33" s="11" t="s">
        <v>1099</v>
      </c>
      <c r="B33" s="11" t="s">
        <v>1100</v>
      </c>
      <c r="C33" s="11" t="s">
        <v>219</v>
      </c>
      <c r="D33" s="11" t="s">
        <v>179</v>
      </c>
      <c r="F33" s="37" t="n">
        <f aca="false">COUNTIF('Sales Data'!$D$2:$D$1201,A33)</f>
        <v>3</v>
      </c>
      <c r="G33" s="38" t="n">
        <f aca="false">_xlfn.MAXIFS('Sales Data'!$B$2:$B$1201,'Sales Data'!$D$2:$D$1201,A33)</f>
        <v>45966</v>
      </c>
      <c r="H33" s="37" t="n">
        <f aca="false">$Q$4-G33</f>
        <v>56</v>
      </c>
      <c r="I33" s="33" t="n">
        <f aca="false">SUMIFS('Sales Data'!$P$2:$P$1201,'Sales Data'!$D$2:$D$1201,A33)</f>
        <v>18195</v>
      </c>
      <c r="J33" s="37" t="n">
        <f aca="false">INDEX($Q$7:$Q$9,MATCH(H33,$P$7:$P$9,1))</f>
        <v>2</v>
      </c>
      <c r="K33" s="37" t="n">
        <f aca="false">INDEX($Q$12:$Q$14,MATCH(F33,$P$12:$P$14,1))</f>
        <v>2</v>
      </c>
      <c r="L33" s="37" t="n">
        <f aca="false">INDEX($Q$17:$Q$19,MATCH(I33,$P$17:$P$19,1))</f>
        <v>2</v>
      </c>
      <c r="M33" s="37" t="n">
        <f aca="false">J33+K33+L33</f>
        <v>6</v>
      </c>
      <c r="N33" s="39" t="str">
        <f aca="false">INDEX($Q$22:$Q$25,MATCH(M33,$P$22:$P$25,1))</f>
        <v>Loyal</v>
      </c>
    </row>
    <row r="34" customFormat="false" ht="15" hidden="false" customHeight="true" outlineLevel="0" collapsed="false">
      <c r="A34" s="11" t="s">
        <v>236</v>
      </c>
      <c r="B34" s="11" t="s">
        <v>237</v>
      </c>
      <c r="C34" s="11" t="s">
        <v>219</v>
      </c>
      <c r="D34" s="11" t="s">
        <v>170</v>
      </c>
      <c r="F34" s="37" t="n">
        <f aca="false">COUNTIF('Sales Data'!$D$2:$D$1201,A34)</f>
        <v>5</v>
      </c>
      <c r="G34" s="38" t="n">
        <f aca="false">_xlfn.MAXIFS('Sales Data'!$B$2:$B$1201,'Sales Data'!$D$2:$D$1201,A34)</f>
        <v>45957</v>
      </c>
      <c r="H34" s="37" t="n">
        <f aca="false">$Q$4-G34</f>
        <v>65</v>
      </c>
      <c r="I34" s="33" t="n">
        <f aca="false">SUMIFS('Sales Data'!$P$2:$P$1201,'Sales Data'!$D$2:$D$1201,A34)</f>
        <v>24669</v>
      </c>
      <c r="J34" s="37" t="n">
        <f aca="false">INDEX($Q$7:$Q$9,MATCH(H34,$P$7:$P$9,1))</f>
        <v>2</v>
      </c>
      <c r="K34" s="37" t="n">
        <f aca="false">INDEX($Q$12:$Q$14,MATCH(F34,$P$12:$P$14,1))</f>
        <v>2</v>
      </c>
      <c r="L34" s="37" t="n">
        <f aca="false">INDEX($Q$17:$Q$19,MATCH(I34,$P$17:$P$19,1))</f>
        <v>2</v>
      </c>
      <c r="M34" s="37" t="n">
        <f aca="false">J34+K34+L34</f>
        <v>6</v>
      </c>
      <c r="N34" s="39" t="str">
        <f aca="false">INDEX($Q$22:$Q$25,MATCH(M34,$P$22:$P$25,1))</f>
        <v>Loyal</v>
      </c>
    </row>
    <row r="35" customFormat="false" ht="15" hidden="false" customHeight="true" outlineLevel="0" collapsed="false">
      <c r="A35" s="11" t="s">
        <v>333</v>
      </c>
      <c r="B35" s="11" t="s">
        <v>334</v>
      </c>
      <c r="C35" s="11" t="s">
        <v>159</v>
      </c>
      <c r="D35" s="11" t="s">
        <v>263</v>
      </c>
      <c r="F35" s="37" t="n">
        <f aca="false">COUNTIF('Sales Data'!$D$2:$D$1201,A35)</f>
        <v>6</v>
      </c>
      <c r="G35" s="38" t="n">
        <f aca="false">_xlfn.MAXIFS('Sales Data'!$B$2:$B$1201,'Sales Data'!$D$2:$D$1201,A35)</f>
        <v>45886</v>
      </c>
      <c r="H35" s="37" t="n">
        <f aca="false">$Q$4-G35</f>
        <v>136</v>
      </c>
      <c r="I35" s="33" t="n">
        <f aca="false">SUMIFS('Sales Data'!$P$2:$P$1201,'Sales Data'!$D$2:$D$1201,A35)</f>
        <v>26370</v>
      </c>
      <c r="J35" s="37" t="n">
        <f aca="false">INDEX($Q$7:$Q$9,MATCH(H35,$P$7:$P$9,1))</f>
        <v>2</v>
      </c>
      <c r="K35" s="37" t="n">
        <f aca="false">INDEX($Q$12:$Q$14,MATCH(F35,$P$12:$P$14,1))</f>
        <v>2</v>
      </c>
      <c r="L35" s="37" t="n">
        <f aca="false">INDEX($Q$17:$Q$19,MATCH(I35,$P$17:$P$19,1))</f>
        <v>2</v>
      </c>
      <c r="M35" s="37" t="n">
        <f aca="false">J35+K35+L35</f>
        <v>6</v>
      </c>
      <c r="N35" s="39" t="str">
        <f aca="false">INDEX($Q$22:$Q$25,MATCH(M35,$P$22:$P$25,1))</f>
        <v>Loyal</v>
      </c>
    </row>
    <row r="36" customFormat="false" ht="15" hidden="false" customHeight="true" outlineLevel="0" collapsed="false">
      <c r="A36" s="11" t="s">
        <v>1115</v>
      </c>
      <c r="B36" s="11" t="s">
        <v>1116</v>
      </c>
      <c r="C36" s="11" t="s">
        <v>159</v>
      </c>
      <c r="D36" s="11" t="s">
        <v>179</v>
      </c>
      <c r="F36" s="37" t="n">
        <f aca="false">COUNTIF('Sales Data'!$D$2:$D$1201,A36)</f>
        <v>3</v>
      </c>
      <c r="G36" s="38" t="n">
        <f aca="false">_xlfn.MAXIFS('Sales Data'!$B$2:$B$1201,'Sales Data'!$D$2:$D$1201,A36)</f>
        <v>45983</v>
      </c>
      <c r="H36" s="37" t="n">
        <f aca="false">$Q$4-G36</f>
        <v>39</v>
      </c>
      <c r="I36" s="33" t="n">
        <f aca="false">SUMIFS('Sales Data'!$P$2:$P$1201,'Sales Data'!$D$2:$D$1201,A36)</f>
        <v>2026</v>
      </c>
      <c r="J36" s="37" t="n">
        <f aca="false">INDEX($Q$7:$Q$9,MATCH(H36,$P$7:$P$9,1))</f>
        <v>3</v>
      </c>
      <c r="K36" s="37" t="n">
        <f aca="false">INDEX($Q$12:$Q$14,MATCH(F36,$P$12:$P$14,1))</f>
        <v>2</v>
      </c>
      <c r="L36" s="37" t="n">
        <f aca="false">INDEX($Q$17:$Q$19,MATCH(I36,$P$17:$P$19,1))</f>
        <v>1</v>
      </c>
      <c r="M36" s="37" t="n">
        <f aca="false">J36+K36+L36</f>
        <v>6</v>
      </c>
      <c r="N36" s="39" t="str">
        <f aca="false">INDEX($Q$22:$Q$25,MATCH(M36,$P$22:$P$25,1))</f>
        <v>Loyal</v>
      </c>
    </row>
    <row r="37" customFormat="false" ht="15" hidden="false" customHeight="true" outlineLevel="0" collapsed="false">
      <c r="A37" s="11" t="s">
        <v>1582</v>
      </c>
      <c r="B37" s="11" t="s">
        <v>1583</v>
      </c>
      <c r="C37" s="11" t="s">
        <v>159</v>
      </c>
      <c r="D37" s="11" t="s">
        <v>161</v>
      </c>
      <c r="F37" s="37" t="n">
        <f aca="false">COUNTIF('Sales Data'!$D$2:$D$1201,A37)</f>
        <v>2</v>
      </c>
      <c r="G37" s="38" t="n">
        <f aca="false">_xlfn.MAXIFS('Sales Data'!$B$2:$B$1201,'Sales Data'!$D$2:$D$1201,A37)</f>
        <v>45976</v>
      </c>
      <c r="H37" s="37" t="n">
        <f aca="false">$Q$4-G37</f>
        <v>46</v>
      </c>
      <c r="I37" s="33" t="n">
        <f aca="false">SUMIFS('Sales Data'!$P$2:$P$1201,'Sales Data'!$D$2:$D$1201,A37)</f>
        <v>11998</v>
      </c>
      <c r="J37" s="37" t="n">
        <f aca="false">INDEX($Q$7:$Q$9,MATCH(H37,$P$7:$P$9,1))</f>
        <v>2</v>
      </c>
      <c r="K37" s="37" t="n">
        <f aca="false">INDEX($Q$12:$Q$14,MATCH(F37,$P$12:$P$14,1))</f>
        <v>1</v>
      </c>
      <c r="L37" s="37" t="n">
        <f aca="false">INDEX($Q$17:$Q$19,MATCH(I37,$P$17:$P$19,1))</f>
        <v>1</v>
      </c>
      <c r="M37" s="37" t="n">
        <f aca="false">J37+K37+L37</f>
        <v>4</v>
      </c>
      <c r="N37" s="39" t="str">
        <f aca="false">INDEX($Q$22:$Q$25,MATCH(M37,$P$22:$P$25,1))</f>
        <v>At Risk</v>
      </c>
    </row>
    <row r="38" customFormat="false" ht="15" hidden="false" customHeight="true" outlineLevel="0" collapsed="false">
      <c r="A38" s="11" t="s">
        <v>217</v>
      </c>
      <c r="B38" s="11" t="s">
        <v>218</v>
      </c>
      <c r="C38" s="11" t="s">
        <v>219</v>
      </c>
      <c r="D38" s="11" t="s">
        <v>207</v>
      </c>
      <c r="F38" s="37" t="n">
        <f aca="false">COUNTIF('Sales Data'!$D$2:$D$1201,A38)</f>
        <v>2</v>
      </c>
      <c r="G38" s="38" t="n">
        <f aca="false">_xlfn.MAXIFS('Sales Data'!$B$2:$B$1201,'Sales Data'!$D$2:$D$1201,A38)</f>
        <v>45672</v>
      </c>
      <c r="H38" s="37" t="n">
        <f aca="false">$Q$4-G38</f>
        <v>350</v>
      </c>
      <c r="I38" s="33" t="n">
        <f aca="false">SUMIFS('Sales Data'!$P$2:$P$1201,'Sales Data'!$D$2:$D$1201,A38)</f>
        <v>5792</v>
      </c>
      <c r="J38" s="37" t="n">
        <f aca="false">INDEX($Q$7:$Q$9,MATCH(H38,$P$7:$P$9,1))</f>
        <v>1</v>
      </c>
      <c r="K38" s="37" t="n">
        <f aca="false">INDEX($Q$12:$Q$14,MATCH(F38,$P$12:$P$14,1))</f>
        <v>1</v>
      </c>
      <c r="L38" s="37" t="n">
        <f aca="false">INDEX($Q$17:$Q$19,MATCH(I38,$P$17:$P$19,1))</f>
        <v>1</v>
      </c>
      <c r="M38" s="37" t="n">
        <f aca="false">J38+K38+L38</f>
        <v>3</v>
      </c>
      <c r="N38" s="39" t="str">
        <f aca="false">INDEX($Q$22:$Q$25,MATCH(M38,$P$22:$P$25,1))</f>
        <v>Lost</v>
      </c>
    </row>
    <row r="39" customFormat="false" ht="15" hidden="false" customHeight="true" outlineLevel="0" collapsed="false">
      <c r="A39" s="11" t="s">
        <v>412</v>
      </c>
      <c r="B39" s="11" t="s">
        <v>413</v>
      </c>
      <c r="C39" s="11" t="s">
        <v>178</v>
      </c>
      <c r="D39" s="11" t="s">
        <v>207</v>
      </c>
      <c r="F39" s="37" t="n">
        <f aca="false">COUNTIF('Sales Data'!$D$2:$D$1201,A39)</f>
        <v>8</v>
      </c>
      <c r="G39" s="38" t="n">
        <f aca="false">_xlfn.MAXIFS('Sales Data'!$B$2:$B$1201,'Sales Data'!$D$2:$D$1201,A39)</f>
        <v>45961</v>
      </c>
      <c r="H39" s="37" t="n">
        <f aca="false">$Q$4-G39</f>
        <v>61</v>
      </c>
      <c r="I39" s="33" t="n">
        <f aca="false">SUMIFS('Sales Data'!$P$2:$P$1201,'Sales Data'!$D$2:$D$1201,A39)</f>
        <v>29663</v>
      </c>
      <c r="J39" s="37" t="n">
        <f aca="false">INDEX($Q$7:$Q$9,MATCH(H39,$P$7:$P$9,1))</f>
        <v>2</v>
      </c>
      <c r="K39" s="37" t="n">
        <f aca="false">INDEX($Q$12:$Q$14,MATCH(F39,$P$12:$P$14,1))</f>
        <v>3</v>
      </c>
      <c r="L39" s="37" t="n">
        <f aca="false">INDEX($Q$17:$Q$19,MATCH(I39,$P$17:$P$19,1))</f>
        <v>2</v>
      </c>
      <c r="M39" s="37" t="n">
        <f aca="false">J39+K39+L39</f>
        <v>7</v>
      </c>
      <c r="N39" s="39" t="str">
        <f aca="false">INDEX($Q$22:$Q$25,MATCH(M39,$P$22:$P$25,1))</f>
        <v>Loyal</v>
      </c>
    </row>
    <row r="40" customFormat="false" ht="15" hidden="false" customHeight="true" outlineLevel="0" collapsed="false">
      <c r="A40" s="11" t="s">
        <v>447</v>
      </c>
      <c r="B40" s="11" t="s">
        <v>448</v>
      </c>
      <c r="C40" s="11" t="s">
        <v>159</v>
      </c>
      <c r="D40" s="11" t="s">
        <v>207</v>
      </c>
      <c r="F40" s="37" t="n">
        <f aca="false">COUNTIF('Sales Data'!$D$2:$D$1201,A40)</f>
        <v>6</v>
      </c>
      <c r="G40" s="38" t="n">
        <f aca="false">_xlfn.MAXIFS('Sales Data'!$B$2:$B$1201,'Sales Data'!$D$2:$D$1201,A40)</f>
        <v>45889</v>
      </c>
      <c r="H40" s="37" t="n">
        <f aca="false">$Q$4-G40</f>
        <v>133</v>
      </c>
      <c r="I40" s="33" t="n">
        <f aca="false">SUMIFS('Sales Data'!$P$2:$P$1201,'Sales Data'!$D$2:$D$1201,A40)</f>
        <v>21385</v>
      </c>
      <c r="J40" s="37" t="n">
        <f aca="false">INDEX($Q$7:$Q$9,MATCH(H40,$P$7:$P$9,1))</f>
        <v>2</v>
      </c>
      <c r="K40" s="37" t="n">
        <f aca="false">INDEX($Q$12:$Q$14,MATCH(F40,$P$12:$P$14,1))</f>
        <v>2</v>
      </c>
      <c r="L40" s="37" t="n">
        <f aca="false">INDEX($Q$17:$Q$19,MATCH(I40,$P$17:$P$19,1))</f>
        <v>2</v>
      </c>
      <c r="M40" s="37" t="n">
        <f aca="false">J40+K40+L40</f>
        <v>6</v>
      </c>
      <c r="N40" s="39" t="str">
        <f aca="false">INDEX($Q$22:$Q$25,MATCH(M40,$P$22:$P$25,1))</f>
        <v>Loyal</v>
      </c>
    </row>
    <row r="41" customFormat="false" ht="15" hidden="false" customHeight="true" outlineLevel="0" collapsed="false">
      <c r="A41" s="11" t="s">
        <v>1090</v>
      </c>
      <c r="B41" s="11" t="s">
        <v>1091</v>
      </c>
      <c r="C41" s="11" t="s">
        <v>178</v>
      </c>
      <c r="D41" s="11" t="s">
        <v>179</v>
      </c>
      <c r="F41" s="37" t="n">
        <f aca="false">COUNTIF('Sales Data'!$D$2:$D$1201,A41)</f>
        <v>4</v>
      </c>
      <c r="G41" s="38" t="n">
        <f aca="false">_xlfn.MAXIFS('Sales Data'!$B$2:$B$1201,'Sales Data'!$D$2:$D$1201,A41)</f>
        <v>45987</v>
      </c>
      <c r="H41" s="37" t="n">
        <f aca="false">$Q$4-G41</f>
        <v>35</v>
      </c>
      <c r="I41" s="33" t="n">
        <f aca="false">SUMIFS('Sales Data'!$P$2:$P$1201,'Sales Data'!$D$2:$D$1201,A41)</f>
        <v>16775</v>
      </c>
      <c r="J41" s="37" t="n">
        <f aca="false">INDEX($Q$7:$Q$9,MATCH(H41,$P$7:$P$9,1))</f>
        <v>3</v>
      </c>
      <c r="K41" s="37" t="n">
        <f aca="false">INDEX($Q$12:$Q$14,MATCH(F41,$P$12:$P$14,1))</f>
        <v>2</v>
      </c>
      <c r="L41" s="37" t="n">
        <f aca="false">INDEX($Q$17:$Q$19,MATCH(I41,$P$17:$P$19,1))</f>
        <v>2</v>
      </c>
      <c r="M41" s="37" t="n">
        <f aca="false">J41+K41+L41</f>
        <v>7</v>
      </c>
      <c r="N41" s="39" t="str">
        <f aca="false">INDEX($Q$22:$Q$25,MATCH(M41,$P$22:$P$25,1))</f>
        <v>Loyal</v>
      </c>
    </row>
    <row r="42" customFormat="false" ht="15" hidden="false" customHeight="true" outlineLevel="0" collapsed="false">
      <c r="A42" s="11" t="s">
        <v>1194</v>
      </c>
      <c r="B42" s="11" t="s">
        <v>1195</v>
      </c>
      <c r="C42" s="11" t="s">
        <v>178</v>
      </c>
      <c r="D42" s="11" t="s">
        <v>191</v>
      </c>
      <c r="F42" s="37" t="n">
        <f aca="false">COUNTIF('Sales Data'!$D$2:$D$1201,A42)</f>
        <v>2</v>
      </c>
      <c r="G42" s="38" t="n">
        <f aca="false">_xlfn.MAXIFS('Sales Data'!$B$2:$B$1201,'Sales Data'!$D$2:$D$1201,A42)</f>
        <v>45998</v>
      </c>
      <c r="H42" s="37" t="n">
        <f aca="false">$Q$4-G42</f>
        <v>24</v>
      </c>
      <c r="I42" s="33" t="n">
        <f aca="false">SUMIFS('Sales Data'!$P$2:$P$1201,'Sales Data'!$D$2:$D$1201,A42)</f>
        <v>4094</v>
      </c>
      <c r="J42" s="37" t="n">
        <f aca="false">INDEX($Q$7:$Q$9,MATCH(H42,$P$7:$P$9,1))</f>
        <v>3</v>
      </c>
      <c r="K42" s="37" t="n">
        <f aca="false">INDEX($Q$12:$Q$14,MATCH(F42,$P$12:$P$14,1))</f>
        <v>1</v>
      </c>
      <c r="L42" s="37" t="n">
        <f aca="false">INDEX($Q$17:$Q$19,MATCH(I42,$P$17:$P$19,1))</f>
        <v>1</v>
      </c>
      <c r="M42" s="37" t="n">
        <f aca="false">J42+K42+L42</f>
        <v>5</v>
      </c>
      <c r="N42" s="39" t="str">
        <f aca="false">INDEX($Q$22:$Q$25,MATCH(M42,$P$22:$P$25,1))</f>
        <v>At Risk</v>
      </c>
    </row>
    <row r="43" customFormat="false" ht="15" hidden="false" customHeight="true" outlineLevel="0" collapsed="false">
      <c r="A43" s="11" t="s">
        <v>1006</v>
      </c>
      <c r="B43" s="11" t="s">
        <v>1007</v>
      </c>
      <c r="C43" s="11" t="s">
        <v>159</v>
      </c>
      <c r="D43" s="11" t="s">
        <v>269</v>
      </c>
      <c r="F43" s="37" t="n">
        <f aca="false">COUNTIF('Sales Data'!$D$2:$D$1201,A43)</f>
        <v>2</v>
      </c>
      <c r="G43" s="38" t="n">
        <f aca="false">_xlfn.MAXIFS('Sales Data'!$B$2:$B$1201,'Sales Data'!$D$2:$D$1201,A43)</f>
        <v>46001</v>
      </c>
      <c r="H43" s="37" t="n">
        <f aca="false">$Q$4-G43</f>
        <v>21</v>
      </c>
      <c r="I43" s="33" t="n">
        <f aca="false">SUMIFS('Sales Data'!$P$2:$P$1201,'Sales Data'!$D$2:$D$1201,A43)</f>
        <v>12595</v>
      </c>
      <c r="J43" s="37" t="n">
        <f aca="false">INDEX($Q$7:$Q$9,MATCH(H43,$P$7:$P$9,1))</f>
        <v>3</v>
      </c>
      <c r="K43" s="37" t="n">
        <f aca="false">INDEX($Q$12:$Q$14,MATCH(F43,$P$12:$P$14,1))</f>
        <v>1</v>
      </c>
      <c r="L43" s="37" t="n">
        <f aca="false">INDEX($Q$17:$Q$19,MATCH(I43,$P$17:$P$19,1))</f>
        <v>2</v>
      </c>
      <c r="M43" s="37" t="n">
        <f aca="false">J43+K43+L43</f>
        <v>6</v>
      </c>
      <c r="N43" s="39" t="str">
        <f aca="false">INDEX($Q$22:$Q$25,MATCH(M43,$P$22:$P$25,1))</f>
        <v>Loyal</v>
      </c>
    </row>
    <row r="44" customFormat="false" ht="15" hidden="false" customHeight="true" outlineLevel="0" collapsed="false">
      <c r="A44" s="11" t="s">
        <v>1076</v>
      </c>
      <c r="B44" s="11" t="s">
        <v>1077</v>
      </c>
      <c r="C44" s="11" t="s">
        <v>219</v>
      </c>
      <c r="D44" s="11" t="s">
        <v>179</v>
      </c>
      <c r="F44" s="37" t="n">
        <f aca="false">COUNTIF('Sales Data'!$D$2:$D$1201,A44)</f>
        <v>4</v>
      </c>
      <c r="G44" s="38" t="n">
        <f aca="false">_xlfn.MAXIFS('Sales Data'!$B$2:$B$1201,'Sales Data'!$D$2:$D$1201,A44)</f>
        <v>46011</v>
      </c>
      <c r="H44" s="37" t="n">
        <f aca="false">$Q$4-G44</f>
        <v>11</v>
      </c>
      <c r="I44" s="33" t="n">
        <f aca="false">SUMIFS('Sales Data'!$P$2:$P$1201,'Sales Data'!$D$2:$D$1201,A44)</f>
        <v>12897</v>
      </c>
      <c r="J44" s="37" t="n">
        <f aca="false">INDEX($Q$7:$Q$9,MATCH(H44,$P$7:$P$9,1))</f>
        <v>3</v>
      </c>
      <c r="K44" s="37" t="n">
        <f aca="false">INDEX($Q$12:$Q$14,MATCH(F44,$P$12:$P$14,1))</f>
        <v>2</v>
      </c>
      <c r="L44" s="37" t="n">
        <f aca="false">INDEX($Q$17:$Q$19,MATCH(I44,$P$17:$P$19,1))</f>
        <v>2</v>
      </c>
      <c r="M44" s="37" t="n">
        <f aca="false">J44+K44+L44</f>
        <v>7</v>
      </c>
      <c r="N44" s="39" t="str">
        <f aca="false">INDEX($Q$22:$Q$25,MATCH(M44,$P$22:$P$25,1))</f>
        <v>Loyal</v>
      </c>
    </row>
    <row r="45" customFormat="false" ht="15" hidden="false" customHeight="true" outlineLevel="0" collapsed="false">
      <c r="A45" s="11" t="s">
        <v>781</v>
      </c>
      <c r="B45" s="11" t="s">
        <v>782</v>
      </c>
      <c r="C45" s="11" t="s">
        <v>219</v>
      </c>
      <c r="D45" s="11" t="s">
        <v>269</v>
      </c>
      <c r="F45" s="37" t="n">
        <f aca="false">COUNTIF('Sales Data'!$D$2:$D$1201,A45)</f>
        <v>14</v>
      </c>
      <c r="G45" s="38" t="n">
        <f aca="false">_xlfn.MAXIFS('Sales Data'!$B$2:$B$1201,'Sales Data'!$D$2:$D$1201,A45)</f>
        <v>45985</v>
      </c>
      <c r="H45" s="37" t="n">
        <f aca="false">$Q$4-G45</f>
        <v>37</v>
      </c>
      <c r="I45" s="33" t="n">
        <f aca="false">SUMIFS('Sales Data'!$P$2:$P$1201,'Sales Data'!$D$2:$D$1201,A45)</f>
        <v>70969</v>
      </c>
      <c r="J45" s="37" t="n">
        <f aca="false">INDEX($Q$7:$Q$9,MATCH(H45,$P$7:$P$9,1))</f>
        <v>3</v>
      </c>
      <c r="K45" s="37" t="n">
        <f aca="false">INDEX($Q$12:$Q$14,MATCH(F45,$P$12:$P$14,1))</f>
        <v>3</v>
      </c>
      <c r="L45" s="37" t="n">
        <f aca="false">INDEX($Q$17:$Q$19,MATCH(I45,$P$17:$P$19,1))</f>
        <v>3</v>
      </c>
      <c r="M45" s="37" t="n">
        <f aca="false">J45+K45+L45</f>
        <v>9</v>
      </c>
      <c r="N45" s="39" t="str">
        <f aca="false">INDEX($Q$22:$Q$25,MATCH(M45,$P$22:$P$25,1))</f>
        <v>Champion</v>
      </c>
    </row>
    <row r="46" customFormat="false" ht="15" hidden="false" customHeight="true" outlineLevel="0" collapsed="false">
      <c r="A46" s="11" t="s">
        <v>407</v>
      </c>
      <c r="B46" s="11" t="s">
        <v>408</v>
      </c>
      <c r="C46" s="11" t="s">
        <v>159</v>
      </c>
      <c r="D46" s="11" t="s">
        <v>191</v>
      </c>
      <c r="F46" s="37" t="n">
        <f aca="false">COUNTIF('Sales Data'!$D$2:$D$1201,A46)</f>
        <v>3</v>
      </c>
      <c r="G46" s="38" t="n">
        <f aca="false">_xlfn.MAXIFS('Sales Data'!$B$2:$B$1201,'Sales Data'!$D$2:$D$1201,A46)</f>
        <v>46021</v>
      </c>
      <c r="H46" s="37" t="n">
        <f aca="false">$Q$4-G46</f>
        <v>1</v>
      </c>
      <c r="I46" s="33" t="n">
        <f aca="false">SUMIFS('Sales Data'!$P$2:$P$1201,'Sales Data'!$D$2:$D$1201,A46)</f>
        <v>4512</v>
      </c>
      <c r="J46" s="37" t="n">
        <f aca="false">INDEX($Q$7:$Q$9,MATCH(H46,$P$7:$P$9,1))</f>
        <v>3</v>
      </c>
      <c r="K46" s="37" t="n">
        <f aca="false">INDEX($Q$12:$Q$14,MATCH(F46,$P$12:$P$14,1))</f>
        <v>2</v>
      </c>
      <c r="L46" s="37" t="n">
        <f aca="false">INDEX($Q$17:$Q$19,MATCH(I46,$P$17:$P$19,1))</f>
        <v>1</v>
      </c>
      <c r="M46" s="37" t="n">
        <f aca="false">J46+K46+L46</f>
        <v>6</v>
      </c>
      <c r="N46" s="39" t="str">
        <f aca="false">INDEX($Q$22:$Q$25,MATCH(M46,$P$22:$P$25,1))</f>
        <v>Loyal</v>
      </c>
    </row>
    <row r="47" customFormat="false" ht="15" hidden="false" customHeight="true" outlineLevel="0" collapsed="false">
      <c r="A47" s="11" t="s">
        <v>651</v>
      </c>
      <c r="B47" s="11" t="s">
        <v>652</v>
      </c>
      <c r="C47" s="11" t="s">
        <v>219</v>
      </c>
      <c r="D47" s="11" t="s">
        <v>207</v>
      </c>
      <c r="F47" s="37" t="n">
        <f aca="false">COUNTIF('Sales Data'!$D$2:$D$1201,A47)</f>
        <v>5</v>
      </c>
      <c r="G47" s="38" t="n">
        <f aca="false">_xlfn.MAXIFS('Sales Data'!$B$2:$B$1201,'Sales Data'!$D$2:$D$1201,A47)</f>
        <v>45908</v>
      </c>
      <c r="H47" s="37" t="n">
        <f aca="false">$Q$4-G47</f>
        <v>114</v>
      </c>
      <c r="I47" s="33" t="n">
        <f aca="false">SUMIFS('Sales Data'!$P$2:$P$1201,'Sales Data'!$D$2:$D$1201,A47)</f>
        <v>19993</v>
      </c>
      <c r="J47" s="37" t="n">
        <f aca="false">INDEX($Q$7:$Q$9,MATCH(H47,$P$7:$P$9,1))</f>
        <v>2</v>
      </c>
      <c r="K47" s="37" t="n">
        <f aca="false">INDEX($Q$12:$Q$14,MATCH(F47,$P$12:$P$14,1))</f>
        <v>2</v>
      </c>
      <c r="L47" s="37" t="n">
        <f aca="false">INDEX($Q$17:$Q$19,MATCH(I47,$P$17:$P$19,1))</f>
        <v>2</v>
      </c>
      <c r="M47" s="37" t="n">
        <f aca="false">J47+K47+L47</f>
        <v>6</v>
      </c>
      <c r="N47" s="39" t="str">
        <f aca="false">INDEX($Q$22:$Q$25,MATCH(M47,$P$22:$P$25,1))</f>
        <v>Loyal</v>
      </c>
    </row>
    <row r="48" customFormat="false" ht="15" hidden="false" customHeight="true" outlineLevel="0" collapsed="false">
      <c r="A48" s="11" t="s">
        <v>1715</v>
      </c>
      <c r="B48" s="11" t="s">
        <v>1716</v>
      </c>
      <c r="C48" s="11" t="s">
        <v>178</v>
      </c>
      <c r="D48" s="11" t="s">
        <v>207</v>
      </c>
      <c r="F48" s="37" t="n">
        <f aca="false">COUNTIF('Sales Data'!$D$2:$D$1201,A48)</f>
        <v>1</v>
      </c>
      <c r="G48" s="38" t="n">
        <f aca="false">_xlfn.MAXIFS('Sales Data'!$B$2:$B$1201,'Sales Data'!$D$2:$D$1201,A48)</f>
        <v>45978</v>
      </c>
      <c r="H48" s="37" t="n">
        <f aca="false">$Q$4-G48</f>
        <v>44</v>
      </c>
      <c r="I48" s="33" t="n">
        <f aca="false">SUMIFS('Sales Data'!$P$2:$P$1201,'Sales Data'!$D$2:$D$1201,A48)</f>
        <v>199</v>
      </c>
      <c r="J48" s="37" t="n">
        <f aca="false">INDEX($Q$7:$Q$9,MATCH(H48,$P$7:$P$9,1))</f>
        <v>3</v>
      </c>
      <c r="K48" s="37" t="n">
        <f aca="false">INDEX($Q$12:$Q$14,MATCH(F48,$P$12:$P$14,1))</f>
        <v>1</v>
      </c>
      <c r="L48" s="37" t="n">
        <f aca="false">INDEX($Q$17:$Q$19,MATCH(I48,$P$17:$P$19,1))</f>
        <v>1</v>
      </c>
      <c r="M48" s="37" t="n">
        <f aca="false">J48+K48+L48</f>
        <v>5</v>
      </c>
      <c r="N48" s="39" t="str">
        <f aca="false">INDEX($Q$22:$Q$25,MATCH(M48,$P$22:$P$25,1))</f>
        <v>At Risk</v>
      </c>
    </row>
    <row r="49" customFormat="false" ht="15" hidden="false" customHeight="true" outlineLevel="0" collapsed="false">
      <c r="A49" s="11" t="s">
        <v>308</v>
      </c>
      <c r="B49" s="11" t="s">
        <v>309</v>
      </c>
      <c r="C49" s="11" t="s">
        <v>159</v>
      </c>
      <c r="D49" s="11" t="s">
        <v>179</v>
      </c>
      <c r="F49" s="37" t="n">
        <f aca="false">COUNTIF('Sales Data'!$D$2:$D$1201,A49)</f>
        <v>18</v>
      </c>
      <c r="G49" s="38" t="n">
        <f aca="false">_xlfn.MAXIFS('Sales Data'!$B$2:$B$1201,'Sales Data'!$D$2:$D$1201,A49)</f>
        <v>45997</v>
      </c>
      <c r="H49" s="37" t="n">
        <f aca="false">$Q$4-G49</f>
        <v>25</v>
      </c>
      <c r="I49" s="33" t="n">
        <f aca="false">SUMIFS('Sales Data'!$P$2:$P$1201,'Sales Data'!$D$2:$D$1201,A49)</f>
        <v>110874</v>
      </c>
      <c r="J49" s="37" t="n">
        <f aca="false">INDEX($Q$7:$Q$9,MATCH(H49,$P$7:$P$9,1))</f>
        <v>3</v>
      </c>
      <c r="K49" s="37" t="n">
        <f aca="false">INDEX($Q$12:$Q$14,MATCH(F49,$P$12:$P$14,1))</f>
        <v>3</v>
      </c>
      <c r="L49" s="37" t="n">
        <f aca="false">INDEX($Q$17:$Q$19,MATCH(I49,$P$17:$P$19,1))</f>
        <v>3</v>
      </c>
      <c r="M49" s="37" t="n">
        <f aca="false">J49+K49+L49</f>
        <v>9</v>
      </c>
      <c r="N49" s="39" t="str">
        <f aca="false">INDEX($Q$22:$Q$25,MATCH(M49,$P$22:$P$25,1))</f>
        <v>Champion</v>
      </c>
    </row>
    <row r="50" customFormat="false" ht="15" hidden="false" customHeight="true" outlineLevel="0" collapsed="false">
      <c r="A50" s="11" t="s">
        <v>964</v>
      </c>
      <c r="B50" s="11" t="s">
        <v>965</v>
      </c>
      <c r="C50" s="11" t="s">
        <v>178</v>
      </c>
      <c r="D50" s="11" t="s">
        <v>207</v>
      </c>
      <c r="F50" s="37" t="n">
        <f aca="false">COUNTIF('Sales Data'!$D$2:$D$1201,A50)</f>
        <v>2</v>
      </c>
      <c r="G50" s="38" t="n">
        <f aca="false">_xlfn.MAXIFS('Sales Data'!$B$2:$B$1201,'Sales Data'!$D$2:$D$1201,A50)</f>
        <v>45844</v>
      </c>
      <c r="H50" s="37" t="n">
        <f aca="false">$Q$4-G50</f>
        <v>178</v>
      </c>
      <c r="I50" s="33" t="n">
        <f aca="false">SUMIFS('Sales Data'!$P$2:$P$1201,'Sales Data'!$D$2:$D$1201,A50)</f>
        <v>4547</v>
      </c>
      <c r="J50" s="37" t="n">
        <f aca="false">INDEX($Q$7:$Q$9,MATCH(H50,$P$7:$P$9,1))</f>
        <v>1</v>
      </c>
      <c r="K50" s="37" t="n">
        <f aca="false">INDEX($Q$12:$Q$14,MATCH(F50,$P$12:$P$14,1))</f>
        <v>1</v>
      </c>
      <c r="L50" s="37" t="n">
        <f aca="false">INDEX($Q$17:$Q$19,MATCH(I50,$P$17:$P$19,1))</f>
        <v>1</v>
      </c>
      <c r="M50" s="37" t="n">
        <f aca="false">J50+K50+L50</f>
        <v>3</v>
      </c>
      <c r="N50" s="39" t="str">
        <f aca="false">INDEX($Q$22:$Q$25,MATCH(M50,$P$22:$P$25,1))</f>
        <v>Lost</v>
      </c>
    </row>
    <row r="51" customFormat="false" ht="15" hidden="false" customHeight="true" outlineLevel="0" collapsed="false">
      <c r="A51" s="11" t="s">
        <v>450</v>
      </c>
      <c r="B51" s="11" t="s">
        <v>451</v>
      </c>
      <c r="C51" s="11" t="s">
        <v>159</v>
      </c>
      <c r="D51" s="11" t="s">
        <v>207</v>
      </c>
      <c r="F51" s="37" t="n">
        <f aca="false">COUNTIF('Sales Data'!$D$2:$D$1201,A51)</f>
        <v>4</v>
      </c>
      <c r="G51" s="38" t="n">
        <f aca="false">_xlfn.MAXIFS('Sales Data'!$B$2:$B$1201,'Sales Data'!$D$2:$D$1201,A51)</f>
        <v>45909</v>
      </c>
      <c r="H51" s="37" t="n">
        <f aca="false">$Q$4-G51</f>
        <v>113</v>
      </c>
      <c r="I51" s="33" t="n">
        <f aca="false">SUMIFS('Sales Data'!$P$2:$P$1201,'Sales Data'!$D$2:$D$1201,A51)</f>
        <v>20516</v>
      </c>
      <c r="J51" s="37" t="n">
        <f aca="false">INDEX($Q$7:$Q$9,MATCH(H51,$P$7:$P$9,1))</f>
        <v>2</v>
      </c>
      <c r="K51" s="37" t="n">
        <f aca="false">INDEX($Q$12:$Q$14,MATCH(F51,$P$12:$P$14,1))</f>
        <v>2</v>
      </c>
      <c r="L51" s="37" t="n">
        <f aca="false">INDEX($Q$17:$Q$19,MATCH(I51,$P$17:$P$19,1))</f>
        <v>2</v>
      </c>
      <c r="M51" s="37" t="n">
        <f aca="false">J51+K51+L51</f>
        <v>6</v>
      </c>
      <c r="N51" s="39" t="str">
        <f aca="false">INDEX($Q$22:$Q$25,MATCH(M51,$P$22:$P$25,1))</f>
        <v>Loyal</v>
      </c>
    </row>
    <row r="52" customFormat="false" ht="15" hidden="false" customHeight="true" outlineLevel="0" collapsed="false">
      <c r="A52" s="11" t="s">
        <v>656</v>
      </c>
      <c r="B52" s="11" t="s">
        <v>657</v>
      </c>
      <c r="C52" s="11" t="s">
        <v>219</v>
      </c>
      <c r="D52" s="11" t="s">
        <v>170</v>
      </c>
      <c r="F52" s="37" t="n">
        <f aca="false">COUNTIF('Sales Data'!$D$2:$D$1201,A52)</f>
        <v>4</v>
      </c>
      <c r="G52" s="38" t="n">
        <f aca="false">_xlfn.MAXIFS('Sales Data'!$B$2:$B$1201,'Sales Data'!$D$2:$D$1201,A52)</f>
        <v>45993</v>
      </c>
      <c r="H52" s="37" t="n">
        <f aca="false">$Q$4-G52</f>
        <v>29</v>
      </c>
      <c r="I52" s="33" t="n">
        <f aca="false">SUMIFS('Sales Data'!$P$2:$P$1201,'Sales Data'!$D$2:$D$1201,A52)</f>
        <v>13632</v>
      </c>
      <c r="J52" s="37" t="n">
        <f aca="false">INDEX($Q$7:$Q$9,MATCH(H52,$P$7:$P$9,1))</f>
        <v>3</v>
      </c>
      <c r="K52" s="37" t="n">
        <f aca="false">INDEX($Q$12:$Q$14,MATCH(F52,$P$12:$P$14,1))</f>
        <v>2</v>
      </c>
      <c r="L52" s="37" t="n">
        <f aca="false">INDEX($Q$17:$Q$19,MATCH(I52,$P$17:$P$19,1))</f>
        <v>2</v>
      </c>
      <c r="M52" s="37" t="n">
        <f aca="false">J52+K52+L52</f>
        <v>7</v>
      </c>
      <c r="N52" s="39" t="str">
        <f aca="false">INDEX($Q$22:$Q$25,MATCH(M52,$P$22:$P$25,1))</f>
        <v>Loyal</v>
      </c>
    </row>
    <row r="53" customFormat="false" ht="15" hidden="false" customHeight="true" outlineLevel="0" collapsed="false">
      <c r="A53" s="11" t="s">
        <v>520</v>
      </c>
      <c r="B53" s="11" t="s">
        <v>521</v>
      </c>
      <c r="C53" s="11" t="s">
        <v>159</v>
      </c>
      <c r="D53" s="11" t="s">
        <v>179</v>
      </c>
      <c r="F53" s="37" t="n">
        <f aca="false">COUNTIF('Sales Data'!$D$2:$D$1201,A53)</f>
        <v>5</v>
      </c>
      <c r="G53" s="38" t="n">
        <f aca="false">_xlfn.MAXIFS('Sales Data'!$B$2:$B$1201,'Sales Data'!$D$2:$D$1201,A53)</f>
        <v>45994</v>
      </c>
      <c r="H53" s="37" t="n">
        <f aca="false">$Q$4-G53</f>
        <v>28</v>
      </c>
      <c r="I53" s="33" t="n">
        <f aca="false">SUMIFS('Sales Data'!$P$2:$P$1201,'Sales Data'!$D$2:$D$1201,A53)</f>
        <v>7674</v>
      </c>
      <c r="J53" s="37" t="n">
        <f aca="false">INDEX($Q$7:$Q$9,MATCH(H53,$P$7:$P$9,1))</f>
        <v>3</v>
      </c>
      <c r="K53" s="37" t="n">
        <f aca="false">INDEX($Q$12:$Q$14,MATCH(F53,$P$12:$P$14,1))</f>
        <v>2</v>
      </c>
      <c r="L53" s="37" t="n">
        <f aca="false">INDEX($Q$17:$Q$19,MATCH(I53,$P$17:$P$19,1))</f>
        <v>1</v>
      </c>
      <c r="M53" s="37" t="n">
        <f aca="false">J53+K53+L53</f>
        <v>6</v>
      </c>
      <c r="N53" s="39" t="str">
        <f aca="false">INDEX($Q$22:$Q$25,MATCH(M53,$P$22:$P$25,1))</f>
        <v>Loyal</v>
      </c>
    </row>
    <row r="54" customFormat="false" ht="15" hidden="false" customHeight="true" outlineLevel="0" collapsed="false">
      <c r="A54" s="11" t="s">
        <v>970</v>
      </c>
      <c r="B54" s="11" t="s">
        <v>971</v>
      </c>
      <c r="C54" s="11" t="s">
        <v>159</v>
      </c>
      <c r="D54" s="11" t="s">
        <v>161</v>
      </c>
      <c r="F54" s="37" t="n">
        <f aca="false">COUNTIF('Sales Data'!$D$2:$D$1201,A54)</f>
        <v>1</v>
      </c>
      <c r="G54" s="38" t="n">
        <f aca="false">_xlfn.MAXIFS('Sales Data'!$B$2:$B$1201,'Sales Data'!$D$2:$D$1201,A54)</f>
        <v>45801</v>
      </c>
      <c r="H54" s="37" t="n">
        <f aca="false">$Q$4-G54</f>
        <v>221</v>
      </c>
      <c r="I54" s="33" t="n">
        <f aca="false">SUMIFS('Sales Data'!$P$2:$P$1201,'Sales Data'!$D$2:$D$1201,A54)</f>
        <v>7404</v>
      </c>
      <c r="J54" s="37" t="n">
        <f aca="false">INDEX($Q$7:$Q$9,MATCH(H54,$P$7:$P$9,1))</f>
        <v>1</v>
      </c>
      <c r="K54" s="37" t="n">
        <f aca="false">INDEX($Q$12:$Q$14,MATCH(F54,$P$12:$P$14,1))</f>
        <v>1</v>
      </c>
      <c r="L54" s="37" t="n">
        <f aca="false">INDEX($Q$17:$Q$19,MATCH(I54,$P$17:$P$19,1))</f>
        <v>1</v>
      </c>
      <c r="M54" s="37" t="n">
        <f aca="false">J54+K54+L54</f>
        <v>3</v>
      </c>
      <c r="N54" s="39" t="str">
        <f aca="false">INDEX($Q$22:$Q$25,MATCH(M54,$P$22:$P$25,1))</f>
        <v>Lost</v>
      </c>
    </row>
    <row r="55" customFormat="false" ht="15" hidden="false" customHeight="true" outlineLevel="0" collapsed="false">
      <c r="A55" s="11" t="s">
        <v>375</v>
      </c>
      <c r="B55" s="11" t="s">
        <v>376</v>
      </c>
      <c r="C55" s="11" t="s">
        <v>159</v>
      </c>
      <c r="D55" s="11" t="s">
        <v>269</v>
      </c>
      <c r="F55" s="37" t="n">
        <f aca="false">COUNTIF('Sales Data'!$D$2:$D$1201,A55)</f>
        <v>18</v>
      </c>
      <c r="G55" s="38" t="n">
        <f aca="false">_xlfn.MAXIFS('Sales Data'!$B$2:$B$1201,'Sales Data'!$D$2:$D$1201,A55)</f>
        <v>46008</v>
      </c>
      <c r="H55" s="37" t="n">
        <f aca="false">$Q$4-G55</f>
        <v>14</v>
      </c>
      <c r="I55" s="33" t="n">
        <f aca="false">SUMIFS('Sales Data'!$P$2:$P$1201,'Sales Data'!$D$2:$D$1201,A55)</f>
        <v>91874</v>
      </c>
      <c r="J55" s="37" t="n">
        <f aca="false">INDEX($Q$7:$Q$9,MATCH(H55,$P$7:$P$9,1))</f>
        <v>3</v>
      </c>
      <c r="K55" s="37" t="n">
        <f aca="false">INDEX($Q$12:$Q$14,MATCH(F55,$P$12:$P$14,1))</f>
        <v>3</v>
      </c>
      <c r="L55" s="37" t="n">
        <f aca="false">INDEX($Q$17:$Q$19,MATCH(I55,$P$17:$P$19,1))</f>
        <v>3</v>
      </c>
      <c r="M55" s="37" t="n">
        <f aca="false">J55+K55+L55</f>
        <v>9</v>
      </c>
      <c r="N55" s="39" t="str">
        <f aca="false">INDEX($Q$22:$Q$25,MATCH(M55,$P$22:$P$25,1))</f>
        <v>Champion</v>
      </c>
    </row>
    <row r="56" customFormat="false" ht="15" hidden="false" customHeight="true" outlineLevel="0" collapsed="false">
      <c r="A56" s="11" t="s">
        <v>809</v>
      </c>
      <c r="B56" s="11" t="s">
        <v>810</v>
      </c>
      <c r="C56" s="11" t="s">
        <v>219</v>
      </c>
      <c r="D56" s="11" t="s">
        <v>170</v>
      </c>
      <c r="F56" s="37" t="n">
        <f aca="false">COUNTIF('Sales Data'!$D$2:$D$1201,A56)</f>
        <v>3</v>
      </c>
      <c r="G56" s="38" t="n">
        <f aca="false">_xlfn.MAXIFS('Sales Data'!$B$2:$B$1201,'Sales Data'!$D$2:$D$1201,A56)</f>
        <v>45984</v>
      </c>
      <c r="H56" s="37" t="n">
        <f aca="false">$Q$4-G56</f>
        <v>38</v>
      </c>
      <c r="I56" s="33" t="n">
        <f aca="false">SUMIFS('Sales Data'!$P$2:$P$1201,'Sales Data'!$D$2:$D$1201,A56)</f>
        <v>2726</v>
      </c>
      <c r="J56" s="37" t="n">
        <f aca="false">INDEX($Q$7:$Q$9,MATCH(H56,$P$7:$P$9,1))</f>
        <v>3</v>
      </c>
      <c r="K56" s="37" t="n">
        <f aca="false">INDEX($Q$12:$Q$14,MATCH(F56,$P$12:$P$14,1))</f>
        <v>2</v>
      </c>
      <c r="L56" s="37" t="n">
        <f aca="false">INDEX($Q$17:$Q$19,MATCH(I56,$P$17:$P$19,1))</f>
        <v>1</v>
      </c>
      <c r="M56" s="37" t="n">
        <f aca="false">J56+K56+L56</f>
        <v>6</v>
      </c>
      <c r="N56" s="39" t="str">
        <f aca="false">INDEX($Q$22:$Q$25,MATCH(M56,$P$22:$P$25,1))</f>
        <v>Loyal</v>
      </c>
    </row>
    <row r="57" customFormat="false" ht="15" hidden="false" customHeight="true" outlineLevel="0" collapsed="false">
      <c r="A57" s="11" t="s">
        <v>679</v>
      </c>
      <c r="B57" s="11" t="s">
        <v>680</v>
      </c>
      <c r="C57" s="11" t="s">
        <v>159</v>
      </c>
      <c r="D57" s="11" t="s">
        <v>170</v>
      </c>
      <c r="F57" s="37" t="n">
        <f aca="false">COUNTIF('Sales Data'!$D$2:$D$1201,A57)</f>
        <v>7</v>
      </c>
      <c r="G57" s="38" t="n">
        <f aca="false">_xlfn.MAXIFS('Sales Data'!$B$2:$B$1201,'Sales Data'!$D$2:$D$1201,A57)</f>
        <v>45994</v>
      </c>
      <c r="H57" s="37" t="n">
        <f aca="false">$Q$4-G57</f>
        <v>28</v>
      </c>
      <c r="I57" s="33" t="n">
        <f aca="false">SUMIFS('Sales Data'!$P$2:$P$1201,'Sales Data'!$D$2:$D$1201,A57)</f>
        <v>52738</v>
      </c>
      <c r="J57" s="37" t="n">
        <f aca="false">INDEX($Q$7:$Q$9,MATCH(H57,$P$7:$P$9,1))</f>
        <v>3</v>
      </c>
      <c r="K57" s="37" t="n">
        <f aca="false">INDEX($Q$12:$Q$14,MATCH(F57,$P$12:$P$14,1))</f>
        <v>3</v>
      </c>
      <c r="L57" s="37" t="n">
        <f aca="false">INDEX($Q$17:$Q$19,MATCH(I57,$P$17:$P$19,1))</f>
        <v>3</v>
      </c>
      <c r="M57" s="37" t="n">
        <f aca="false">J57+K57+L57</f>
        <v>9</v>
      </c>
      <c r="N57" s="39" t="str">
        <f aca="false">INDEX($Q$22:$Q$25,MATCH(M57,$P$22:$P$25,1))</f>
        <v>Champion</v>
      </c>
    </row>
    <row r="58" customFormat="false" ht="15" hidden="false" customHeight="true" outlineLevel="0" collapsed="false">
      <c r="A58" s="11" t="s">
        <v>597</v>
      </c>
      <c r="B58" s="11" t="s">
        <v>598</v>
      </c>
      <c r="C58" s="11" t="s">
        <v>159</v>
      </c>
      <c r="D58" s="11" t="s">
        <v>269</v>
      </c>
      <c r="F58" s="37" t="n">
        <f aca="false">COUNTIF('Sales Data'!$D$2:$D$1201,A58)</f>
        <v>12</v>
      </c>
      <c r="G58" s="38" t="n">
        <f aca="false">_xlfn.MAXIFS('Sales Data'!$B$2:$B$1201,'Sales Data'!$D$2:$D$1201,A58)</f>
        <v>46018</v>
      </c>
      <c r="H58" s="37" t="n">
        <f aca="false">$Q$4-G58</f>
        <v>4</v>
      </c>
      <c r="I58" s="33" t="n">
        <f aca="false">SUMIFS('Sales Data'!$P$2:$P$1201,'Sales Data'!$D$2:$D$1201,A58)</f>
        <v>61903</v>
      </c>
      <c r="J58" s="37" t="n">
        <f aca="false">INDEX($Q$7:$Q$9,MATCH(H58,$P$7:$P$9,1))</f>
        <v>3</v>
      </c>
      <c r="K58" s="37" t="n">
        <f aca="false">INDEX($Q$12:$Q$14,MATCH(F58,$P$12:$P$14,1))</f>
        <v>3</v>
      </c>
      <c r="L58" s="37" t="n">
        <f aca="false">INDEX($Q$17:$Q$19,MATCH(I58,$P$17:$P$19,1))</f>
        <v>3</v>
      </c>
      <c r="M58" s="37" t="n">
        <f aca="false">J58+K58+L58</f>
        <v>9</v>
      </c>
      <c r="N58" s="39" t="str">
        <f aca="false">INDEX($Q$22:$Q$25,MATCH(M58,$P$22:$P$25,1))</f>
        <v>Champion</v>
      </c>
    </row>
    <row r="59" customFormat="false" ht="15" hidden="false" customHeight="true" outlineLevel="0" collapsed="false">
      <c r="A59" s="11" t="s">
        <v>1688</v>
      </c>
      <c r="B59" s="11" t="s">
        <v>1689</v>
      </c>
      <c r="C59" s="11" t="s">
        <v>178</v>
      </c>
      <c r="D59" s="11" t="s">
        <v>324</v>
      </c>
      <c r="F59" s="37" t="n">
        <f aca="false">COUNTIF('Sales Data'!$D$2:$D$1201,A59)</f>
        <v>1</v>
      </c>
      <c r="G59" s="38" t="n">
        <f aca="false">_xlfn.MAXIFS('Sales Data'!$B$2:$B$1201,'Sales Data'!$D$2:$D$1201,A59)</f>
        <v>45972</v>
      </c>
      <c r="H59" s="37" t="n">
        <f aca="false">$Q$4-G59</f>
        <v>50</v>
      </c>
      <c r="I59" s="33" t="n">
        <f aca="false">SUMIFS('Sales Data'!$P$2:$P$1201,'Sales Data'!$D$2:$D$1201,A59)</f>
        <v>149</v>
      </c>
      <c r="J59" s="37" t="n">
        <f aca="false">INDEX($Q$7:$Q$9,MATCH(H59,$P$7:$P$9,1))</f>
        <v>2</v>
      </c>
      <c r="K59" s="37" t="n">
        <f aca="false">INDEX($Q$12:$Q$14,MATCH(F59,$P$12:$P$14,1))</f>
        <v>1</v>
      </c>
      <c r="L59" s="37" t="n">
        <f aca="false">INDEX($Q$17:$Q$19,MATCH(I59,$P$17:$P$19,1))</f>
        <v>1</v>
      </c>
      <c r="M59" s="37" t="n">
        <f aca="false">J59+K59+L59</f>
        <v>4</v>
      </c>
      <c r="N59" s="39" t="str">
        <f aca="false">INDEX($Q$22:$Q$25,MATCH(M59,$P$22:$P$25,1))</f>
        <v>At Risk</v>
      </c>
    </row>
    <row r="60" customFormat="false" ht="15" hidden="false" customHeight="true" outlineLevel="0" collapsed="false">
      <c r="A60" s="11" t="s">
        <v>277</v>
      </c>
      <c r="B60" s="11" t="s">
        <v>278</v>
      </c>
      <c r="C60" s="11" t="s">
        <v>159</v>
      </c>
      <c r="D60" s="11" t="s">
        <v>207</v>
      </c>
      <c r="F60" s="37" t="n">
        <f aca="false">COUNTIF('Sales Data'!$D$2:$D$1201,A60)</f>
        <v>11</v>
      </c>
      <c r="G60" s="38" t="n">
        <f aca="false">_xlfn.MAXIFS('Sales Data'!$B$2:$B$1201,'Sales Data'!$D$2:$D$1201,A60)</f>
        <v>45979</v>
      </c>
      <c r="H60" s="37" t="n">
        <f aca="false">$Q$4-G60</f>
        <v>43</v>
      </c>
      <c r="I60" s="33" t="n">
        <f aca="false">SUMIFS('Sales Data'!$P$2:$P$1201,'Sales Data'!$D$2:$D$1201,A60)</f>
        <v>48320</v>
      </c>
      <c r="J60" s="37" t="n">
        <f aca="false">INDEX($Q$7:$Q$9,MATCH(H60,$P$7:$P$9,1))</f>
        <v>3</v>
      </c>
      <c r="K60" s="37" t="n">
        <f aca="false">INDEX($Q$12:$Q$14,MATCH(F60,$P$12:$P$14,1))</f>
        <v>3</v>
      </c>
      <c r="L60" s="37" t="n">
        <f aca="false">INDEX($Q$17:$Q$19,MATCH(I60,$P$17:$P$19,1))</f>
        <v>3</v>
      </c>
      <c r="M60" s="37" t="n">
        <f aca="false">J60+K60+L60</f>
        <v>9</v>
      </c>
      <c r="N60" s="39" t="str">
        <f aca="false">INDEX($Q$22:$Q$25,MATCH(M60,$P$22:$P$25,1))</f>
        <v>Champion</v>
      </c>
    </row>
    <row r="61" customFormat="false" ht="15" hidden="false" customHeight="true" outlineLevel="0" collapsed="false">
      <c r="A61" s="11" t="s">
        <v>459</v>
      </c>
      <c r="B61" s="11" t="s">
        <v>460</v>
      </c>
      <c r="C61" s="11" t="s">
        <v>219</v>
      </c>
      <c r="D61" s="11" t="s">
        <v>269</v>
      </c>
      <c r="F61" s="37" t="n">
        <f aca="false">COUNTIF('Sales Data'!$D$2:$D$1201,A61)</f>
        <v>16</v>
      </c>
      <c r="G61" s="38" t="n">
        <f aca="false">_xlfn.MAXIFS('Sales Data'!$B$2:$B$1201,'Sales Data'!$D$2:$D$1201,A61)</f>
        <v>45991</v>
      </c>
      <c r="H61" s="37" t="n">
        <f aca="false">$Q$4-G61</f>
        <v>31</v>
      </c>
      <c r="I61" s="33" t="n">
        <f aca="false">SUMIFS('Sales Data'!$P$2:$P$1201,'Sales Data'!$D$2:$D$1201,A61)</f>
        <v>80014</v>
      </c>
      <c r="J61" s="37" t="n">
        <f aca="false">INDEX($Q$7:$Q$9,MATCH(H61,$P$7:$P$9,1))</f>
        <v>3</v>
      </c>
      <c r="K61" s="37" t="n">
        <f aca="false">INDEX($Q$12:$Q$14,MATCH(F61,$P$12:$P$14,1))</f>
        <v>3</v>
      </c>
      <c r="L61" s="37" t="n">
        <f aca="false">INDEX($Q$17:$Q$19,MATCH(I61,$P$17:$P$19,1))</f>
        <v>3</v>
      </c>
      <c r="M61" s="37" t="n">
        <f aca="false">J61+K61+L61</f>
        <v>9</v>
      </c>
      <c r="N61" s="39" t="str">
        <f aca="false">INDEX($Q$22:$Q$25,MATCH(M61,$P$22:$P$25,1))</f>
        <v>Champion</v>
      </c>
    </row>
    <row r="62" customFormat="false" ht="15" hidden="false" customHeight="true" outlineLevel="0" collapsed="false">
      <c r="A62" s="11" t="s">
        <v>255</v>
      </c>
      <c r="B62" s="11" t="s">
        <v>256</v>
      </c>
      <c r="C62" s="11" t="s">
        <v>159</v>
      </c>
      <c r="D62" s="11" t="s">
        <v>207</v>
      </c>
      <c r="F62" s="37" t="n">
        <f aca="false">COUNTIF('Sales Data'!$D$2:$D$1201,A62)</f>
        <v>9</v>
      </c>
      <c r="G62" s="38" t="n">
        <f aca="false">_xlfn.MAXIFS('Sales Data'!$B$2:$B$1201,'Sales Data'!$D$2:$D$1201,A62)</f>
        <v>45999</v>
      </c>
      <c r="H62" s="37" t="n">
        <f aca="false">$Q$4-G62</f>
        <v>23</v>
      </c>
      <c r="I62" s="33" t="n">
        <f aca="false">SUMIFS('Sales Data'!$P$2:$P$1201,'Sales Data'!$D$2:$D$1201,A62)</f>
        <v>39494</v>
      </c>
      <c r="J62" s="37" t="n">
        <f aca="false">INDEX($Q$7:$Q$9,MATCH(H62,$P$7:$P$9,1))</f>
        <v>3</v>
      </c>
      <c r="K62" s="37" t="n">
        <f aca="false">INDEX($Q$12:$Q$14,MATCH(F62,$P$12:$P$14,1))</f>
        <v>3</v>
      </c>
      <c r="L62" s="37" t="n">
        <f aca="false">INDEX($Q$17:$Q$19,MATCH(I62,$P$17:$P$19,1))</f>
        <v>2</v>
      </c>
      <c r="M62" s="37" t="n">
        <f aca="false">J62+K62+L62</f>
        <v>8</v>
      </c>
      <c r="N62" s="39" t="str">
        <f aca="false">INDEX($Q$22:$Q$25,MATCH(M62,$P$22:$P$25,1))</f>
        <v>Champion</v>
      </c>
    </row>
    <row r="63" customFormat="false" ht="15" hidden="false" customHeight="true" outlineLevel="0" collapsed="false">
      <c r="A63" s="11" t="s">
        <v>513</v>
      </c>
      <c r="B63" s="11" t="s">
        <v>514</v>
      </c>
      <c r="C63" s="11" t="s">
        <v>159</v>
      </c>
      <c r="D63" s="11" t="s">
        <v>170</v>
      </c>
      <c r="F63" s="37" t="n">
        <f aca="false">COUNTIF('Sales Data'!$D$2:$D$1201,A63)</f>
        <v>4</v>
      </c>
      <c r="G63" s="38" t="n">
        <f aca="false">_xlfn.MAXIFS('Sales Data'!$B$2:$B$1201,'Sales Data'!$D$2:$D$1201,A63)</f>
        <v>45750</v>
      </c>
      <c r="H63" s="37" t="n">
        <f aca="false">$Q$4-G63</f>
        <v>272</v>
      </c>
      <c r="I63" s="33" t="n">
        <f aca="false">SUMIFS('Sales Data'!$P$2:$P$1201,'Sales Data'!$D$2:$D$1201,A63)</f>
        <v>15561</v>
      </c>
      <c r="J63" s="37" t="n">
        <f aca="false">INDEX($Q$7:$Q$9,MATCH(H63,$P$7:$P$9,1))</f>
        <v>1</v>
      </c>
      <c r="K63" s="37" t="n">
        <f aca="false">INDEX($Q$12:$Q$14,MATCH(F63,$P$12:$P$14,1))</f>
        <v>2</v>
      </c>
      <c r="L63" s="37" t="n">
        <f aca="false">INDEX($Q$17:$Q$19,MATCH(I63,$P$17:$P$19,1))</f>
        <v>2</v>
      </c>
      <c r="M63" s="37" t="n">
        <f aca="false">J63+K63+L63</f>
        <v>5</v>
      </c>
      <c r="N63" s="39" t="str">
        <f aca="false">INDEX($Q$22:$Q$25,MATCH(M63,$P$22:$P$25,1))</f>
        <v>At Risk</v>
      </c>
    </row>
    <row r="64" customFormat="false" ht="15" hidden="false" customHeight="true" outlineLevel="0" collapsed="false">
      <c r="A64" s="11" t="s">
        <v>462</v>
      </c>
      <c r="B64" s="11" t="s">
        <v>463</v>
      </c>
      <c r="C64" s="11" t="s">
        <v>159</v>
      </c>
      <c r="D64" s="11" t="s">
        <v>191</v>
      </c>
      <c r="F64" s="37" t="n">
        <f aca="false">COUNTIF('Sales Data'!$D$2:$D$1201,A64)</f>
        <v>19</v>
      </c>
      <c r="G64" s="38" t="n">
        <f aca="false">_xlfn.MAXIFS('Sales Data'!$B$2:$B$1201,'Sales Data'!$D$2:$D$1201,A64)</f>
        <v>46013</v>
      </c>
      <c r="H64" s="37" t="n">
        <f aca="false">$Q$4-G64</f>
        <v>9</v>
      </c>
      <c r="I64" s="33" t="n">
        <f aca="false">SUMIFS('Sales Data'!$P$2:$P$1201,'Sales Data'!$D$2:$D$1201,A64)</f>
        <v>72648</v>
      </c>
      <c r="J64" s="37" t="n">
        <f aca="false">INDEX($Q$7:$Q$9,MATCH(H64,$P$7:$P$9,1))</f>
        <v>3</v>
      </c>
      <c r="K64" s="37" t="n">
        <f aca="false">INDEX($Q$12:$Q$14,MATCH(F64,$P$12:$P$14,1))</f>
        <v>3</v>
      </c>
      <c r="L64" s="37" t="n">
        <f aca="false">INDEX($Q$17:$Q$19,MATCH(I64,$P$17:$P$19,1))</f>
        <v>3</v>
      </c>
      <c r="M64" s="37" t="n">
        <f aca="false">J64+K64+L64</f>
        <v>9</v>
      </c>
      <c r="N64" s="39" t="str">
        <f aca="false">INDEX($Q$22:$Q$25,MATCH(M64,$P$22:$P$25,1))</f>
        <v>Champion</v>
      </c>
    </row>
    <row r="65" customFormat="false" ht="15" hidden="false" customHeight="true" outlineLevel="0" collapsed="false">
      <c r="A65" s="11" t="s">
        <v>760</v>
      </c>
      <c r="B65" s="11" t="s">
        <v>761</v>
      </c>
      <c r="C65" s="11" t="s">
        <v>159</v>
      </c>
      <c r="D65" s="11" t="s">
        <v>170</v>
      </c>
      <c r="F65" s="37" t="n">
        <f aca="false">COUNTIF('Sales Data'!$D$2:$D$1201,A65)</f>
        <v>8</v>
      </c>
      <c r="G65" s="38" t="n">
        <f aca="false">_xlfn.MAXIFS('Sales Data'!$B$2:$B$1201,'Sales Data'!$D$2:$D$1201,A65)</f>
        <v>45996</v>
      </c>
      <c r="H65" s="37" t="n">
        <f aca="false">$Q$4-G65</f>
        <v>26</v>
      </c>
      <c r="I65" s="33" t="n">
        <f aca="false">SUMIFS('Sales Data'!$P$2:$P$1201,'Sales Data'!$D$2:$D$1201,A65)</f>
        <v>33246</v>
      </c>
      <c r="J65" s="37" t="n">
        <f aca="false">INDEX($Q$7:$Q$9,MATCH(H65,$P$7:$P$9,1))</f>
        <v>3</v>
      </c>
      <c r="K65" s="37" t="n">
        <f aca="false">INDEX($Q$12:$Q$14,MATCH(F65,$P$12:$P$14,1))</f>
        <v>3</v>
      </c>
      <c r="L65" s="37" t="n">
        <f aca="false">INDEX($Q$17:$Q$19,MATCH(I65,$P$17:$P$19,1))</f>
        <v>2</v>
      </c>
      <c r="M65" s="37" t="n">
        <f aca="false">J65+K65+L65</f>
        <v>8</v>
      </c>
      <c r="N65" s="39" t="str">
        <f aca="false">INDEX($Q$22:$Q$25,MATCH(M65,$P$22:$P$25,1))</f>
        <v>Champion</v>
      </c>
    </row>
    <row r="66" customFormat="false" ht="15" hidden="false" customHeight="true" outlineLevel="0" collapsed="false">
      <c r="A66" s="11" t="s">
        <v>1312</v>
      </c>
      <c r="B66" s="11" t="s">
        <v>1313</v>
      </c>
      <c r="C66" s="11" t="s">
        <v>159</v>
      </c>
      <c r="D66" s="11" t="s">
        <v>161</v>
      </c>
      <c r="F66" s="37" t="n">
        <f aca="false">COUNTIF('Sales Data'!$D$2:$D$1201,A66)</f>
        <v>3</v>
      </c>
      <c r="G66" s="38" t="n">
        <f aca="false">_xlfn.MAXIFS('Sales Data'!$B$2:$B$1201,'Sales Data'!$D$2:$D$1201,A66)</f>
        <v>45950</v>
      </c>
      <c r="H66" s="37" t="n">
        <f aca="false">$Q$4-G66</f>
        <v>72</v>
      </c>
      <c r="I66" s="33" t="n">
        <f aca="false">SUMIFS('Sales Data'!$P$2:$P$1201,'Sales Data'!$D$2:$D$1201,A66)</f>
        <v>10115</v>
      </c>
      <c r="J66" s="37" t="n">
        <f aca="false">INDEX($Q$7:$Q$9,MATCH(H66,$P$7:$P$9,1))</f>
        <v>2</v>
      </c>
      <c r="K66" s="37" t="n">
        <f aca="false">INDEX($Q$12:$Q$14,MATCH(F66,$P$12:$P$14,1))</f>
        <v>2</v>
      </c>
      <c r="L66" s="37" t="n">
        <f aca="false">INDEX($Q$17:$Q$19,MATCH(I66,$P$17:$P$19,1))</f>
        <v>1</v>
      </c>
      <c r="M66" s="37" t="n">
        <f aca="false">J66+K66+L66</f>
        <v>5</v>
      </c>
      <c r="N66" s="39" t="str">
        <f aca="false">INDEX($Q$22:$Q$25,MATCH(M66,$P$22:$P$25,1))</f>
        <v>At Risk</v>
      </c>
    </row>
    <row r="67" customFormat="false" ht="15" hidden="false" customHeight="true" outlineLevel="0" collapsed="false">
      <c r="A67" s="11" t="s">
        <v>645</v>
      </c>
      <c r="B67" s="11" t="s">
        <v>646</v>
      </c>
      <c r="C67" s="11" t="s">
        <v>178</v>
      </c>
      <c r="D67" s="11" t="s">
        <v>161</v>
      </c>
      <c r="F67" s="37" t="n">
        <f aca="false">COUNTIF('Sales Data'!$D$2:$D$1201,A67)</f>
        <v>6</v>
      </c>
      <c r="G67" s="38" t="n">
        <f aca="false">_xlfn.MAXIFS('Sales Data'!$B$2:$B$1201,'Sales Data'!$D$2:$D$1201,A67)</f>
        <v>45944</v>
      </c>
      <c r="H67" s="37" t="n">
        <f aca="false">$Q$4-G67</f>
        <v>78</v>
      </c>
      <c r="I67" s="33" t="n">
        <f aca="false">SUMIFS('Sales Data'!$P$2:$P$1201,'Sales Data'!$D$2:$D$1201,A67)</f>
        <v>23780</v>
      </c>
      <c r="J67" s="37" t="n">
        <f aca="false">INDEX($Q$7:$Q$9,MATCH(H67,$P$7:$P$9,1))</f>
        <v>2</v>
      </c>
      <c r="K67" s="37" t="n">
        <f aca="false">INDEX($Q$12:$Q$14,MATCH(F67,$P$12:$P$14,1))</f>
        <v>2</v>
      </c>
      <c r="L67" s="37" t="n">
        <f aca="false">INDEX($Q$17:$Q$19,MATCH(I67,$P$17:$P$19,1))</f>
        <v>2</v>
      </c>
      <c r="M67" s="37" t="n">
        <f aca="false">J67+K67+L67</f>
        <v>6</v>
      </c>
      <c r="N67" s="39" t="str">
        <f aca="false">INDEX($Q$22:$Q$25,MATCH(M67,$P$22:$P$25,1))</f>
        <v>Loyal</v>
      </c>
    </row>
    <row r="68" customFormat="false" ht="15" hidden="false" customHeight="true" outlineLevel="0" collapsed="false">
      <c r="A68" s="11" t="s">
        <v>357</v>
      </c>
      <c r="B68" s="11" t="s">
        <v>358</v>
      </c>
      <c r="C68" s="11" t="s">
        <v>219</v>
      </c>
      <c r="D68" s="11" t="s">
        <v>161</v>
      </c>
      <c r="F68" s="37" t="n">
        <f aca="false">COUNTIF('Sales Data'!$D$2:$D$1201,A68)</f>
        <v>12</v>
      </c>
      <c r="G68" s="38" t="n">
        <f aca="false">_xlfn.MAXIFS('Sales Data'!$B$2:$B$1201,'Sales Data'!$D$2:$D$1201,A68)</f>
        <v>45967</v>
      </c>
      <c r="H68" s="37" t="n">
        <f aca="false">$Q$4-G68</f>
        <v>55</v>
      </c>
      <c r="I68" s="33" t="n">
        <f aca="false">SUMIFS('Sales Data'!$P$2:$P$1201,'Sales Data'!$D$2:$D$1201,A68)</f>
        <v>47587</v>
      </c>
      <c r="J68" s="37" t="n">
        <f aca="false">INDEX($Q$7:$Q$9,MATCH(H68,$P$7:$P$9,1))</f>
        <v>2</v>
      </c>
      <c r="K68" s="37" t="n">
        <f aca="false">INDEX($Q$12:$Q$14,MATCH(F68,$P$12:$P$14,1))</f>
        <v>3</v>
      </c>
      <c r="L68" s="37" t="n">
        <f aca="false">INDEX($Q$17:$Q$19,MATCH(I68,$P$17:$P$19,1))</f>
        <v>3</v>
      </c>
      <c r="M68" s="37" t="n">
        <f aca="false">J68+K68+L68</f>
        <v>8</v>
      </c>
      <c r="N68" s="39" t="str">
        <f aca="false">INDEX($Q$22:$Q$25,MATCH(M68,$P$22:$P$25,1))</f>
        <v>Champion</v>
      </c>
    </row>
    <row r="69" customFormat="false" ht="15" hidden="false" customHeight="true" outlineLevel="0" collapsed="false">
      <c r="A69" s="11" t="s">
        <v>189</v>
      </c>
      <c r="B69" s="11" t="s">
        <v>190</v>
      </c>
      <c r="C69" s="11" t="s">
        <v>159</v>
      </c>
      <c r="D69" s="11" t="s">
        <v>191</v>
      </c>
      <c r="F69" s="37" t="n">
        <f aca="false">COUNTIF('Sales Data'!$D$2:$D$1201,A69)</f>
        <v>7</v>
      </c>
      <c r="G69" s="38" t="n">
        <f aca="false">_xlfn.MAXIFS('Sales Data'!$B$2:$B$1201,'Sales Data'!$D$2:$D$1201,A69)</f>
        <v>46011</v>
      </c>
      <c r="H69" s="37" t="n">
        <f aca="false">$Q$4-G69</f>
        <v>11</v>
      </c>
      <c r="I69" s="33" t="n">
        <f aca="false">SUMIFS('Sales Data'!$P$2:$P$1201,'Sales Data'!$D$2:$D$1201,A69)</f>
        <v>49892</v>
      </c>
      <c r="J69" s="37" t="n">
        <f aca="false">INDEX($Q$7:$Q$9,MATCH(H69,$P$7:$P$9,1))</f>
        <v>3</v>
      </c>
      <c r="K69" s="37" t="n">
        <f aca="false">INDEX($Q$12:$Q$14,MATCH(F69,$P$12:$P$14,1))</f>
        <v>3</v>
      </c>
      <c r="L69" s="37" t="n">
        <f aca="false">INDEX($Q$17:$Q$19,MATCH(I69,$P$17:$P$19,1))</f>
        <v>3</v>
      </c>
      <c r="M69" s="37" t="n">
        <f aca="false">J69+K69+L69</f>
        <v>9</v>
      </c>
      <c r="N69" s="39" t="str">
        <f aca="false">INDEX($Q$22:$Q$25,MATCH(M69,$P$22:$P$25,1))</f>
        <v>Champion</v>
      </c>
    </row>
    <row r="70" customFormat="false" ht="15" hidden="false" customHeight="true" outlineLevel="0" collapsed="false">
      <c r="A70" s="11" t="s">
        <v>1495</v>
      </c>
      <c r="B70" s="11" t="s">
        <v>1496</v>
      </c>
      <c r="C70" s="11" t="s">
        <v>159</v>
      </c>
      <c r="D70" s="11" t="s">
        <v>269</v>
      </c>
      <c r="F70" s="37" t="n">
        <f aca="false">COUNTIF('Sales Data'!$D$2:$D$1201,A70)</f>
        <v>3</v>
      </c>
      <c r="G70" s="38" t="n">
        <f aca="false">_xlfn.MAXIFS('Sales Data'!$B$2:$B$1201,'Sales Data'!$D$2:$D$1201,A70)</f>
        <v>45960</v>
      </c>
      <c r="H70" s="37" t="n">
        <f aca="false">$Q$4-G70</f>
        <v>62</v>
      </c>
      <c r="I70" s="33" t="n">
        <f aca="false">SUMIFS('Sales Data'!$P$2:$P$1201,'Sales Data'!$D$2:$D$1201,A70)</f>
        <v>17253</v>
      </c>
      <c r="J70" s="37" t="n">
        <f aca="false">INDEX($Q$7:$Q$9,MATCH(H70,$P$7:$P$9,1))</f>
        <v>2</v>
      </c>
      <c r="K70" s="37" t="n">
        <f aca="false">INDEX($Q$12:$Q$14,MATCH(F70,$P$12:$P$14,1))</f>
        <v>2</v>
      </c>
      <c r="L70" s="37" t="n">
        <f aca="false">INDEX($Q$17:$Q$19,MATCH(I70,$P$17:$P$19,1))</f>
        <v>2</v>
      </c>
      <c r="M70" s="37" t="n">
        <f aca="false">J70+K70+L70</f>
        <v>6</v>
      </c>
      <c r="N70" s="39" t="str">
        <f aca="false">INDEX($Q$22:$Q$25,MATCH(M70,$P$22:$P$25,1))</f>
        <v>Loyal</v>
      </c>
    </row>
    <row r="71" customFormat="false" ht="15" hidden="false" customHeight="true" outlineLevel="0" collapsed="false">
      <c r="A71" s="11" t="s">
        <v>621</v>
      </c>
      <c r="B71" s="11" t="s">
        <v>622</v>
      </c>
      <c r="C71" s="11" t="s">
        <v>219</v>
      </c>
      <c r="D71" s="11" t="s">
        <v>324</v>
      </c>
      <c r="F71" s="37" t="n">
        <f aca="false">COUNTIF('Sales Data'!$D$2:$D$1201,A71)</f>
        <v>5</v>
      </c>
      <c r="G71" s="38" t="n">
        <f aca="false">_xlfn.MAXIFS('Sales Data'!$B$2:$B$1201,'Sales Data'!$D$2:$D$1201,A71)</f>
        <v>45989</v>
      </c>
      <c r="H71" s="37" t="n">
        <f aca="false">$Q$4-G71</f>
        <v>33</v>
      </c>
      <c r="I71" s="33" t="n">
        <f aca="false">SUMIFS('Sales Data'!$P$2:$P$1201,'Sales Data'!$D$2:$D$1201,A71)</f>
        <v>18382</v>
      </c>
      <c r="J71" s="37" t="n">
        <f aca="false">INDEX($Q$7:$Q$9,MATCH(H71,$P$7:$P$9,1))</f>
        <v>3</v>
      </c>
      <c r="K71" s="37" t="n">
        <f aca="false">INDEX($Q$12:$Q$14,MATCH(F71,$P$12:$P$14,1))</f>
        <v>2</v>
      </c>
      <c r="L71" s="37" t="n">
        <f aca="false">INDEX($Q$17:$Q$19,MATCH(I71,$P$17:$P$19,1))</f>
        <v>2</v>
      </c>
      <c r="M71" s="37" t="n">
        <f aca="false">J71+K71+L71</f>
        <v>7</v>
      </c>
      <c r="N71" s="39" t="str">
        <f aca="false">INDEX($Q$22:$Q$25,MATCH(M71,$P$22:$P$25,1))</f>
        <v>Loyal</v>
      </c>
    </row>
    <row r="72" customFormat="false" ht="15" hidden="false" customHeight="true" outlineLevel="0" collapsed="false">
      <c r="A72" s="11" t="s">
        <v>560</v>
      </c>
      <c r="B72" s="11" t="s">
        <v>561</v>
      </c>
      <c r="C72" s="11" t="s">
        <v>219</v>
      </c>
      <c r="D72" s="11" t="s">
        <v>269</v>
      </c>
      <c r="F72" s="37" t="n">
        <f aca="false">COUNTIF('Sales Data'!$D$2:$D$1201,A72)</f>
        <v>10</v>
      </c>
      <c r="G72" s="38" t="n">
        <f aca="false">_xlfn.MAXIFS('Sales Data'!$B$2:$B$1201,'Sales Data'!$D$2:$D$1201,A72)</f>
        <v>46005</v>
      </c>
      <c r="H72" s="37" t="n">
        <f aca="false">$Q$4-G72</f>
        <v>17</v>
      </c>
      <c r="I72" s="33" t="n">
        <f aca="false">SUMIFS('Sales Data'!$P$2:$P$1201,'Sales Data'!$D$2:$D$1201,A72)</f>
        <v>40559</v>
      </c>
      <c r="J72" s="37" t="n">
        <f aca="false">INDEX($Q$7:$Q$9,MATCH(H72,$P$7:$P$9,1))</f>
        <v>3</v>
      </c>
      <c r="K72" s="37" t="n">
        <f aca="false">INDEX($Q$12:$Q$14,MATCH(F72,$P$12:$P$14,1))</f>
        <v>3</v>
      </c>
      <c r="L72" s="37" t="n">
        <f aca="false">INDEX($Q$17:$Q$19,MATCH(I72,$P$17:$P$19,1))</f>
        <v>2</v>
      </c>
      <c r="M72" s="37" t="n">
        <f aca="false">J72+K72+L72</f>
        <v>8</v>
      </c>
      <c r="N72" s="39" t="str">
        <f aca="false">INDEX($Q$22:$Q$25,MATCH(M72,$P$22:$P$25,1))</f>
        <v>Champion</v>
      </c>
    </row>
    <row r="73" customFormat="false" ht="15" hidden="false" customHeight="true" outlineLevel="0" collapsed="false">
      <c r="A73" s="11" t="s">
        <v>796</v>
      </c>
      <c r="B73" s="11" t="s">
        <v>797</v>
      </c>
      <c r="C73" s="11" t="s">
        <v>219</v>
      </c>
      <c r="D73" s="11" t="s">
        <v>170</v>
      </c>
      <c r="F73" s="37" t="n">
        <f aca="false">COUNTIF('Sales Data'!$D$2:$D$1201,A73)</f>
        <v>9</v>
      </c>
      <c r="G73" s="38" t="n">
        <f aca="false">_xlfn.MAXIFS('Sales Data'!$B$2:$B$1201,'Sales Data'!$D$2:$D$1201,A73)</f>
        <v>46002</v>
      </c>
      <c r="H73" s="37" t="n">
        <f aca="false">$Q$4-G73</f>
        <v>20</v>
      </c>
      <c r="I73" s="33" t="n">
        <f aca="false">SUMIFS('Sales Data'!$P$2:$P$1201,'Sales Data'!$D$2:$D$1201,A73)</f>
        <v>54157</v>
      </c>
      <c r="J73" s="37" t="n">
        <f aca="false">INDEX($Q$7:$Q$9,MATCH(H73,$P$7:$P$9,1))</f>
        <v>3</v>
      </c>
      <c r="K73" s="37" t="n">
        <f aca="false">INDEX($Q$12:$Q$14,MATCH(F73,$P$12:$P$14,1))</f>
        <v>3</v>
      </c>
      <c r="L73" s="37" t="n">
        <f aca="false">INDEX($Q$17:$Q$19,MATCH(I73,$P$17:$P$19,1))</f>
        <v>3</v>
      </c>
      <c r="M73" s="37" t="n">
        <f aca="false">J73+K73+L73</f>
        <v>9</v>
      </c>
      <c r="N73" s="39" t="str">
        <f aca="false">INDEX($Q$22:$Q$25,MATCH(M73,$P$22:$P$25,1))</f>
        <v>Champion</v>
      </c>
    </row>
    <row r="74" customFormat="false" ht="15" hidden="false" customHeight="true" outlineLevel="0" collapsed="false">
      <c r="A74" s="11" t="s">
        <v>884</v>
      </c>
      <c r="B74" s="11" t="s">
        <v>885</v>
      </c>
      <c r="C74" s="11" t="s">
        <v>159</v>
      </c>
      <c r="D74" s="11" t="s">
        <v>207</v>
      </c>
      <c r="F74" s="37" t="n">
        <f aca="false">COUNTIF('Sales Data'!$D$2:$D$1201,A74)</f>
        <v>2</v>
      </c>
      <c r="G74" s="38" t="n">
        <f aca="false">_xlfn.MAXIFS('Sales Data'!$B$2:$B$1201,'Sales Data'!$D$2:$D$1201,A74)</f>
        <v>45893</v>
      </c>
      <c r="H74" s="37" t="n">
        <f aca="false">$Q$4-G74</f>
        <v>129</v>
      </c>
      <c r="I74" s="33" t="n">
        <f aca="false">SUMIFS('Sales Data'!$P$2:$P$1201,'Sales Data'!$D$2:$D$1201,A74)</f>
        <v>17288</v>
      </c>
      <c r="J74" s="37" t="n">
        <f aca="false">INDEX($Q$7:$Q$9,MATCH(H74,$P$7:$P$9,1))</f>
        <v>2</v>
      </c>
      <c r="K74" s="37" t="n">
        <f aca="false">INDEX($Q$12:$Q$14,MATCH(F74,$P$12:$P$14,1))</f>
        <v>1</v>
      </c>
      <c r="L74" s="37" t="n">
        <f aca="false">INDEX($Q$17:$Q$19,MATCH(I74,$P$17:$P$19,1))</f>
        <v>2</v>
      </c>
      <c r="M74" s="37" t="n">
        <f aca="false">J74+K74+L74</f>
        <v>5</v>
      </c>
      <c r="N74" s="39" t="str">
        <f aca="false">INDEX($Q$22:$Q$25,MATCH(M74,$P$22:$P$25,1))</f>
        <v>At Risk</v>
      </c>
    </row>
    <row r="75" customFormat="false" ht="15" hidden="false" customHeight="true" outlineLevel="0" collapsed="false">
      <c r="A75" s="11" t="s">
        <v>485</v>
      </c>
      <c r="B75" s="11" t="s">
        <v>486</v>
      </c>
      <c r="C75" s="11" t="s">
        <v>159</v>
      </c>
      <c r="D75" s="11" t="s">
        <v>179</v>
      </c>
      <c r="F75" s="37" t="n">
        <f aca="false">COUNTIF('Sales Data'!$D$2:$D$1201,A75)</f>
        <v>13</v>
      </c>
      <c r="G75" s="38" t="n">
        <f aca="false">_xlfn.MAXIFS('Sales Data'!$B$2:$B$1201,'Sales Data'!$D$2:$D$1201,A75)</f>
        <v>45979</v>
      </c>
      <c r="H75" s="37" t="n">
        <f aca="false">$Q$4-G75</f>
        <v>43</v>
      </c>
      <c r="I75" s="33" t="n">
        <f aca="false">SUMIFS('Sales Data'!$P$2:$P$1201,'Sales Data'!$D$2:$D$1201,A75)</f>
        <v>40265</v>
      </c>
      <c r="J75" s="37" t="n">
        <f aca="false">INDEX($Q$7:$Q$9,MATCH(H75,$P$7:$P$9,1))</f>
        <v>3</v>
      </c>
      <c r="K75" s="37" t="n">
        <f aca="false">INDEX($Q$12:$Q$14,MATCH(F75,$P$12:$P$14,1))</f>
        <v>3</v>
      </c>
      <c r="L75" s="37" t="n">
        <f aca="false">INDEX($Q$17:$Q$19,MATCH(I75,$P$17:$P$19,1))</f>
        <v>2</v>
      </c>
      <c r="M75" s="37" t="n">
        <f aca="false">J75+K75+L75</f>
        <v>8</v>
      </c>
      <c r="N75" s="39" t="str">
        <f aca="false">INDEX($Q$22:$Q$25,MATCH(M75,$P$22:$P$25,1))</f>
        <v>Champion</v>
      </c>
    </row>
    <row r="76" customFormat="false" ht="15" hidden="false" customHeight="true" outlineLevel="0" collapsed="false">
      <c r="A76" s="11" t="s">
        <v>1003</v>
      </c>
      <c r="B76" s="11" t="s">
        <v>1004</v>
      </c>
      <c r="C76" s="11" t="s">
        <v>159</v>
      </c>
      <c r="D76" s="11" t="s">
        <v>207</v>
      </c>
      <c r="F76" s="37" t="n">
        <f aca="false">COUNTIF('Sales Data'!$D$2:$D$1201,A76)</f>
        <v>5</v>
      </c>
      <c r="G76" s="38" t="n">
        <f aca="false">_xlfn.MAXIFS('Sales Data'!$B$2:$B$1201,'Sales Data'!$D$2:$D$1201,A76)</f>
        <v>46009</v>
      </c>
      <c r="H76" s="37" t="n">
        <f aca="false">$Q$4-G76</f>
        <v>13</v>
      </c>
      <c r="I76" s="33" t="n">
        <f aca="false">SUMIFS('Sales Data'!$P$2:$P$1201,'Sales Data'!$D$2:$D$1201,A76)</f>
        <v>12653</v>
      </c>
      <c r="J76" s="37" t="n">
        <f aca="false">INDEX($Q$7:$Q$9,MATCH(H76,$P$7:$P$9,1))</f>
        <v>3</v>
      </c>
      <c r="K76" s="37" t="n">
        <f aca="false">INDEX($Q$12:$Q$14,MATCH(F76,$P$12:$P$14,1))</f>
        <v>2</v>
      </c>
      <c r="L76" s="37" t="n">
        <f aca="false">INDEX($Q$17:$Q$19,MATCH(I76,$P$17:$P$19,1))</f>
        <v>2</v>
      </c>
      <c r="M76" s="37" t="n">
        <f aca="false">J76+K76+L76</f>
        <v>7</v>
      </c>
      <c r="N76" s="39" t="str">
        <f aca="false">INDEX($Q$22:$Q$25,MATCH(M76,$P$22:$P$25,1))</f>
        <v>Loyal</v>
      </c>
    </row>
    <row r="77" customFormat="false" ht="15" hidden="false" customHeight="true" outlineLevel="0" collapsed="false">
      <c r="A77" s="11" t="s">
        <v>873</v>
      </c>
      <c r="B77" s="11" t="s">
        <v>874</v>
      </c>
      <c r="C77" s="11" t="s">
        <v>219</v>
      </c>
      <c r="D77" s="11" t="s">
        <v>269</v>
      </c>
      <c r="F77" s="37" t="n">
        <f aca="false">COUNTIF('Sales Data'!$D$2:$D$1201,A77)</f>
        <v>3</v>
      </c>
      <c r="G77" s="38" t="n">
        <f aca="false">_xlfn.MAXIFS('Sales Data'!$B$2:$B$1201,'Sales Data'!$D$2:$D$1201,A77)</f>
        <v>45984</v>
      </c>
      <c r="H77" s="37" t="n">
        <f aca="false">$Q$4-G77</f>
        <v>38</v>
      </c>
      <c r="I77" s="33" t="n">
        <f aca="false">SUMIFS('Sales Data'!$P$2:$P$1201,'Sales Data'!$D$2:$D$1201,A77)</f>
        <v>25541</v>
      </c>
      <c r="J77" s="37" t="n">
        <f aca="false">INDEX($Q$7:$Q$9,MATCH(H77,$P$7:$P$9,1))</f>
        <v>3</v>
      </c>
      <c r="K77" s="37" t="n">
        <f aca="false">INDEX($Q$12:$Q$14,MATCH(F77,$P$12:$P$14,1))</f>
        <v>2</v>
      </c>
      <c r="L77" s="37" t="n">
        <f aca="false">INDEX($Q$17:$Q$19,MATCH(I77,$P$17:$P$19,1))</f>
        <v>2</v>
      </c>
      <c r="M77" s="37" t="n">
        <f aca="false">J77+K77+L77</f>
        <v>7</v>
      </c>
      <c r="N77" s="39" t="str">
        <f aca="false">INDEX($Q$22:$Q$25,MATCH(M77,$P$22:$P$25,1))</f>
        <v>Loyal</v>
      </c>
    </row>
    <row r="78" customFormat="false" ht="15" hidden="false" customHeight="true" outlineLevel="0" collapsed="false">
      <c r="A78" s="11" t="s">
        <v>261</v>
      </c>
      <c r="B78" s="11" t="s">
        <v>262</v>
      </c>
      <c r="C78" s="11" t="s">
        <v>159</v>
      </c>
      <c r="D78" s="11" t="s">
        <v>263</v>
      </c>
      <c r="F78" s="37" t="n">
        <f aca="false">COUNTIF('Sales Data'!$D$2:$D$1201,A78)</f>
        <v>4</v>
      </c>
      <c r="G78" s="38" t="n">
        <f aca="false">_xlfn.MAXIFS('Sales Data'!$B$2:$B$1201,'Sales Data'!$D$2:$D$1201,A78)</f>
        <v>46021</v>
      </c>
      <c r="H78" s="37" t="n">
        <f aca="false">$Q$4-G78</f>
        <v>1</v>
      </c>
      <c r="I78" s="33" t="n">
        <f aca="false">SUMIFS('Sales Data'!$P$2:$P$1201,'Sales Data'!$D$2:$D$1201,A78)</f>
        <v>20022</v>
      </c>
      <c r="J78" s="37" t="n">
        <f aca="false">INDEX($Q$7:$Q$9,MATCH(H78,$P$7:$P$9,1))</f>
        <v>3</v>
      </c>
      <c r="K78" s="37" t="n">
        <f aca="false">INDEX($Q$12:$Q$14,MATCH(F78,$P$12:$P$14,1))</f>
        <v>2</v>
      </c>
      <c r="L78" s="37" t="n">
        <f aca="false">INDEX($Q$17:$Q$19,MATCH(I78,$P$17:$P$19,1))</f>
        <v>2</v>
      </c>
      <c r="M78" s="37" t="n">
        <f aca="false">J78+K78+L78</f>
        <v>7</v>
      </c>
      <c r="N78" s="39" t="str">
        <f aca="false">INDEX($Q$22:$Q$25,MATCH(M78,$P$22:$P$25,1))</f>
        <v>Loyal</v>
      </c>
    </row>
    <row r="79" customFormat="false" ht="15" hidden="false" customHeight="true" outlineLevel="0" collapsed="false">
      <c r="A79" s="11" t="s">
        <v>746</v>
      </c>
      <c r="B79" s="11" t="s">
        <v>747</v>
      </c>
      <c r="C79" s="11" t="s">
        <v>159</v>
      </c>
      <c r="D79" s="11" t="s">
        <v>269</v>
      </c>
      <c r="F79" s="37" t="n">
        <f aca="false">COUNTIF('Sales Data'!$D$2:$D$1201,A79)</f>
        <v>8</v>
      </c>
      <c r="G79" s="38" t="n">
        <f aca="false">_xlfn.MAXIFS('Sales Data'!$B$2:$B$1201,'Sales Data'!$D$2:$D$1201,A79)</f>
        <v>46014</v>
      </c>
      <c r="H79" s="37" t="n">
        <f aca="false">$Q$4-G79</f>
        <v>8</v>
      </c>
      <c r="I79" s="33" t="n">
        <f aca="false">SUMIFS('Sales Data'!$P$2:$P$1201,'Sales Data'!$D$2:$D$1201,A79)</f>
        <v>95404</v>
      </c>
      <c r="J79" s="37" t="n">
        <f aca="false">INDEX($Q$7:$Q$9,MATCH(H79,$P$7:$P$9,1))</f>
        <v>3</v>
      </c>
      <c r="K79" s="37" t="n">
        <f aca="false">INDEX($Q$12:$Q$14,MATCH(F79,$P$12:$P$14,1))</f>
        <v>3</v>
      </c>
      <c r="L79" s="37" t="n">
        <f aca="false">INDEX($Q$17:$Q$19,MATCH(I79,$P$17:$P$19,1))</f>
        <v>3</v>
      </c>
      <c r="M79" s="37" t="n">
        <f aca="false">J79+K79+L79</f>
        <v>9</v>
      </c>
      <c r="N79" s="39" t="str">
        <f aca="false">INDEX($Q$22:$Q$25,MATCH(M79,$P$22:$P$25,1))</f>
        <v>Champion</v>
      </c>
    </row>
    <row r="80" customFormat="false" ht="15" hidden="false" customHeight="true" outlineLevel="0" collapsed="false">
      <c r="A80" s="11" t="s">
        <v>1191</v>
      </c>
      <c r="B80" s="11" t="s">
        <v>1192</v>
      </c>
      <c r="C80" s="11" t="s">
        <v>219</v>
      </c>
      <c r="D80" s="11" t="s">
        <v>269</v>
      </c>
      <c r="F80" s="37" t="n">
        <f aca="false">COUNTIF('Sales Data'!$D$2:$D$1201,A80)</f>
        <v>4</v>
      </c>
      <c r="G80" s="38" t="n">
        <f aca="false">_xlfn.MAXIFS('Sales Data'!$B$2:$B$1201,'Sales Data'!$D$2:$D$1201,A80)</f>
        <v>45997</v>
      </c>
      <c r="H80" s="37" t="n">
        <f aca="false">$Q$4-G80</f>
        <v>25</v>
      </c>
      <c r="I80" s="33" t="n">
        <f aca="false">SUMIFS('Sales Data'!$P$2:$P$1201,'Sales Data'!$D$2:$D$1201,A80)</f>
        <v>4802</v>
      </c>
      <c r="J80" s="37" t="n">
        <f aca="false">INDEX($Q$7:$Q$9,MATCH(H80,$P$7:$P$9,1))</f>
        <v>3</v>
      </c>
      <c r="K80" s="37" t="n">
        <f aca="false">INDEX($Q$12:$Q$14,MATCH(F80,$P$12:$P$14,1))</f>
        <v>2</v>
      </c>
      <c r="L80" s="37" t="n">
        <f aca="false">INDEX($Q$17:$Q$19,MATCH(I80,$P$17:$P$19,1))</f>
        <v>1</v>
      </c>
      <c r="M80" s="37" t="n">
        <f aca="false">J80+K80+L80</f>
        <v>6</v>
      </c>
      <c r="N80" s="39" t="str">
        <f aca="false">INDEX($Q$22:$Q$25,MATCH(M80,$P$22:$P$25,1))</f>
        <v>Loyal</v>
      </c>
    </row>
    <row r="81" customFormat="false" ht="15" hidden="false" customHeight="true" outlineLevel="0" collapsed="false">
      <c r="A81" s="11" t="s">
        <v>757</v>
      </c>
      <c r="B81" s="11" t="s">
        <v>758</v>
      </c>
      <c r="C81" s="11" t="s">
        <v>159</v>
      </c>
      <c r="D81" s="11" t="s">
        <v>161</v>
      </c>
      <c r="F81" s="37" t="n">
        <f aca="false">COUNTIF('Sales Data'!$D$2:$D$1201,A81)</f>
        <v>7</v>
      </c>
      <c r="G81" s="38" t="n">
        <f aca="false">_xlfn.MAXIFS('Sales Data'!$B$2:$B$1201,'Sales Data'!$D$2:$D$1201,A81)</f>
        <v>46005</v>
      </c>
      <c r="H81" s="37" t="n">
        <f aca="false">$Q$4-G81</f>
        <v>17</v>
      </c>
      <c r="I81" s="33" t="n">
        <f aca="false">SUMIFS('Sales Data'!$P$2:$P$1201,'Sales Data'!$D$2:$D$1201,A81)</f>
        <v>42192</v>
      </c>
      <c r="J81" s="37" t="n">
        <f aca="false">INDEX($Q$7:$Q$9,MATCH(H81,$P$7:$P$9,1))</f>
        <v>3</v>
      </c>
      <c r="K81" s="37" t="n">
        <f aca="false">INDEX($Q$12:$Q$14,MATCH(F81,$P$12:$P$14,1))</f>
        <v>3</v>
      </c>
      <c r="L81" s="37" t="n">
        <f aca="false">INDEX($Q$17:$Q$19,MATCH(I81,$P$17:$P$19,1))</f>
        <v>2</v>
      </c>
      <c r="M81" s="37" t="n">
        <f aca="false">J81+K81+L81</f>
        <v>8</v>
      </c>
      <c r="N81" s="39" t="str">
        <f aca="false">INDEX($Q$22:$Q$25,MATCH(M81,$P$22:$P$25,1))</f>
        <v>Champion</v>
      </c>
    </row>
    <row r="82" customFormat="false" ht="15" hidden="false" customHeight="true" outlineLevel="0" collapsed="false">
      <c r="A82" s="11" t="s">
        <v>734</v>
      </c>
      <c r="B82" s="11" t="s">
        <v>735</v>
      </c>
      <c r="C82" s="11" t="s">
        <v>159</v>
      </c>
      <c r="D82" s="11" t="s">
        <v>207</v>
      </c>
      <c r="F82" s="37" t="n">
        <f aca="false">COUNTIF('Sales Data'!$D$2:$D$1201,A82)</f>
        <v>9</v>
      </c>
      <c r="G82" s="38" t="n">
        <f aca="false">_xlfn.MAXIFS('Sales Data'!$B$2:$B$1201,'Sales Data'!$D$2:$D$1201,A82)</f>
        <v>45998</v>
      </c>
      <c r="H82" s="37" t="n">
        <f aca="false">$Q$4-G82</f>
        <v>24</v>
      </c>
      <c r="I82" s="33" t="n">
        <f aca="false">SUMIFS('Sales Data'!$P$2:$P$1201,'Sales Data'!$D$2:$D$1201,A82)</f>
        <v>54822</v>
      </c>
      <c r="J82" s="37" t="n">
        <f aca="false">INDEX($Q$7:$Q$9,MATCH(H82,$P$7:$P$9,1))</f>
        <v>3</v>
      </c>
      <c r="K82" s="37" t="n">
        <f aca="false">INDEX($Q$12:$Q$14,MATCH(F82,$P$12:$P$14,1))</f>
        <v>3</v>
      </c>
      <c r="L82" s="37" t="n">
        <f aca="false">INDEX($Q$17:$Q$19,MATCH(I82,$P$17:$P$19,1))</f>
        <v>3</v>
      </c>
      <c r="M82" s="37" t="n">
        <f aca="false">J82+K82+L82</f>
        <v>9</v>
      </c>
      <c r="N82" s="39" t="str">
        <f aca="false">INDEX($Q$22:$Q$25,MATCH(M82,$P$22:$P$25,1))</f>
        <v>Champion</v>
      </c>
    </row>
    <row r="83" customFormat="false" ht="15" hidden="false" customHeight="true" outlineLevel="0" collapsed="false">
      <c r="A83" s="11" t="s">
        <v>336</v>
      </c>
      <c r="B83" s="11" t="s">
        <v>337</v>
      </c>
      <c r="C83" s="11" t="s">
        <v>219</v>
      </c>
      <c r="D83" s="11" t="s">
        <v>207</v>
      </c>
      <c r="F83" s="37" t="n">
        <f aca="false">COUNTIF('Sales Data'!$D$2:$D$1201,A83)</f>
        <v>10</v>
      </c>
      <c r="G83" s="38" t="n">
        <f aca="false">_xlfn.MAXIFS('Sales Data'!$B$2:$B$1201,'Sales Data'!$D$2:$D$1201,A83)</f>
        <v>46000</v>
      </c>
      <c r="H83" s="37" t="n">
        <f aca="false">$Q$4-G83</f>
        <v>22</v>
      </c>
      <c r="I83" s="33" t="n">
        <f aca="false">SUMIFS('Sales Data'!$P$2:$P$1201,'Sales Data'!$D$2:$D$1201,A83)</f>
        <v>46711</v>
      </c>
      <c r="J83" s="37" t="n">
        <f aca="false">INDEX($Q$7:$Q$9,MATCH(H83,$P$7:$P$9,1))</f>
        <v>3</v>
      </c>
      <c r="K83" s="37" t="n">
        <f aca="false">INDEX($Q$12:$Q$14,MATCH(F83,$P$12:$P$14,1))</f>
        <v>3</v>
      </c>
      <c r="L83" s="37" t="n">
        <f aca="false">INDEX($Q$17:$Q$19,MATCH(I83,$P$17:$P$19,1))</f>
        <v>3</v>
      </c>
      <c r="M83" s="37" t="n">
        <f aca="false">J83+K83+L83</f>
        <v>9</v>
      </c>
      <c r="N83" s="39" t="str">
        <f aca="false">INDEX($Q$22:$Q$25,MATCH(M83,$P$22:$P$25,1))</f>
        <v>Champion</v>
      </c>
    </row>
    <row r="84" customFormat="false" ht="15" hidden="false" customHeight="true" outlineLevel="0" collapsed="false">
      <c r="A84" s="11" t="s">
        <v>378</v>
      </c>
      <c r="B84" s="11" t="s">
        <v>379</v>
      </c>
      <c r="C84" s="11" t="s">
        <v>159</v>
      </c>
      <c r="D84" s="11" t="s">
        <v>269</v>
      </c>
      <c r="F84" s="37" t="n">
        <f aca="false">COUNTIF('Sales Data'!$D$2:$D$1201,A84)</f>
        <v>3</v>
      </c>
      <c r="G84" s="38" t="n">
        <f aca="false">_xlfn.MAXIFS('Sales Data'!$B$2:$B$1201,'Sales Data'!$D$2:$D$1201,A84)</f>
        <v>45799</v>
      </c>
      <c r="H84" s="37" t="n">
        <f aca="false">$Q$4-G84</f>
        <v>223</v>
      </c>
      <c r="I84" s="33" t="n">
        <f aca="false">SUMIFS('Sales Data'!$P$2:$P$1201,'Sales Data'!$D$2:$D$1201,A84)</f>
        <v>19196</v>
      </c>
      <c r="J84" s="37" t="n">
        <f aca="false">INDEX($Q$7:$Q$9,MATCH(H84,$P$7:$P$9,1))</f>
        <v>1</v>
      </c>
      <c r="K84" s="37" t="n">
        <f aca="false">INDEX($Q$12:$Q$14,MATCH(F84,$P$12:$P$14,1))</f>
        <v>2</v>
      </c>
      <c r="L84" s="37" t="n">
        <f aca="false">INDEX($Q$17:$Q$19,MATCH(I84,$P$17:$P$19,1))</f>
        <v>2</v>
      </c>
      <c r="M84" s="37" t="n">
        <f aca="false">J84+K84+L84</f>
        <v>5</v>
      </c>
      <c r="N84" s="39" t="str">
        <f aca="false">INDEX($Q$22:$Q$25,MATCH(M84,$P$22:$P$25,1))</f>
        <v>At Risk</v>
      </c>
    </row>
    <row r="85" customFormat="false" ht="15" hidden="false" customHeight="true" outlineLevel="0" collapsed="false">
      <c r="A85" s="11" t="s">
        <v>567</v>
      </c>
      <c r="B85" s="11" t="s">
        <v>568</v>
      </c>
      <c r="C85" s="11" t="s">
        <v>159</v>
      </c>
      <c r="D85" s="11" t="s">
        <v>179</v>
      </c>
      <c r="F85" s="37" t="n">
        <f aca="false">COUNTIF('Sales Data'!$D$2:$D$1201,A85)</f>
        <v>7</v>
      </c>
      <c r="G85" s="38" t="n">
        <f aca="false">_xlfn.MAXIFS('Sales Data'!$B$2:$B$1201,'Sales Data'!$D$2:$D$1201,A85)</f>
        <v>46007</v>
      </c>
      <c r="H85" s="37" t="n">
        <f aca="false">$Q$4-G85</f>
        <v>15</v>
      </c>
      <c r="I85" s="33" t="n">
        <f aca="false">SUMIFS('Sales Data'!$P$2:$P$1201,'Sales Data'!$D$2:$D$1201,A85)</f>
        <v>28496</v>
      </c>
      <c r="J85" s="37" t="n">
        <f aca="false">INDEX($Q$7:$Q$9,MATCH(H85,$P$7:$P$9,1))</f>
        <v>3</v>
      </c>
      <c r="K85" s="37" t="n">
        <f aca="false">INDEX($Q$12:$Q$14,MATCH(F85,$P$12:$P$14,1))</f>
        <v>3</v>
      </c>
      <c r="L85" s="37" t="n">
        <f aca="false">INDEX($Q$17:$Q$19,MATCH(I85,$P$17:$P$19,1))</f>
        <v>2</v>
      </c>
      <c r="M85" s="37" t="n">
        <f aca="false">J85+K85+L85</f>
        <v>8</v>
      </c>
      <c r="N85" s="39" t="str">
        <f aca="false">INDEX($Q$22:$Q$25,MATCH(M85,$P$22:$P$25,1))</f>
        <v>Champion</v>
      </c>
    </row>
    <row r="86" customFormat="false" ht="15" hidden="false" customHeight="true" outlineLevel="0" collapsed="false">
      <c r="A86" s="11" t="s">
        <v>896</v>
      </c>
      <c r="B86" s="11" t="s">
        <v>897</v>
      </c>
      <c r="C86" s="11" t="s">
        <v>159</v>
      </c>
      <c r="D86" s="11" t="s">
        <v>269</v>
      </c>
      <c r="F86" s="37" t="n">
        <f aca="false">COUNTIF('Sales Data'!$D$2:$D$1201,A86)</f>
        <v>10</v>
      </c>
      <c r="G86" s="38" t="n">
        <f aca="false">_xlfn.MAXIFS('Sales Data'!$B$2:$B$1201,'Sales Data'!$D$2:$D$1201,A86)</f>
        <v>46006</v>
      </c>
      <c r="H86" s="37" t="n">
        <f aca="false">$Q$4-G86</f>
        <v>16</v>
      </c>
      <c r="I86" s="33" t="n">
        <f aca="false">SUMIFS('Sales Data'!$P$2:$P$1201,'Sales Data'!$D$2:$D$1201,A86)</f>
        <v>25052</v>
      </c>
      <c r="J86" s="37" t="n">
        <f aca="false">INDEX($Q$7:$Q$9,MATCH(H86,$P$7:$P$9,1))</f>
        <v>3</v>
      </c>
      <c r="K86" s="37" t="n">
        <f aca="false">INDEX($Q$12:$Q$14,MATCH(F86,$P$12:$P$14,1))</f>
        <v>3</v>
      </c>
      <c r="L86" s="37" t="n">
        <f aca="false">INDEX($Q$17:$Q$19,MATCH(I86,$P$17:$P$19,1))</f>
        <v>2</v>
      </c>
      <c r="M86" s="37" t="n">
        <f aca="false">J86+K86+L86</f>
        <v>8</v>
      </c>
      <c r="N86" s="39" t="str">
        <f aca="false">INDEX($Q$22:$Q$25,MATCH(M86,$P$22:$P$25,1))</f>
        <v>Champion</v>
      </c>
    </row>
    <row r="87" customFormat="false" ht="15" hidden="false" customHeight="true" outlineLevel="0" collapsed="false">
      <c r="A87" s="11" t="s">
        <v>818</v>
      </c>
      <c r="B87" s="11" t="s">
        <v>819</v>
      </c>
      <c r="C87" s="11" t="s">
        <v>159</v>
      </c>
      <c r="D87" s="11" t="s">
        <v>207</v>
      </c>
      <c r="F87" s="37" t="n">
        <f aca="false">COUNTIF('Sales Data'!$D$2:$D$1201,A87)</f>
        <v>4</v>
      </c>
      <c r="G87" s="38" t="n">
        <f aca="false">_xlfn.MAXIFS('Sales Data'!$B$2:$B$1201,'Sales Data'!$D$2:$D$1201,A87)</f>
        <v>45999</v>
      </c>
      <c r="H87" s="37" t="n">
        <f aca="false">$Q$4-G87</f>
        <v>23</v>
      </c>
      <c r="I87" s="33" t="n">
        <f aca="false">SUMIFS('Sales Data'!$P$2:$P$1201,'Sales Data'!$D$2:$D$1201,A87)</f>
        <v>8475</v>
      </c>
      <c r="J87" s="37" t="n">
        <f aca="false">INDEX($Q$7:$Q$9,MATCH(H87,$P$7:$P$9,1))</f>
        <v>3</v>
      </c>
      <c r="K87" s="37" t="n">
        <f aca="false">INDEX($Q$12:$Q$14,MATCH(F87,$P$12:$P$14,1))</f>
        <v>2</v>
      </c>
      <c r="L87" s="37" t="n">
        <f aca="false">INDEX($Q$17:$Q$19,MATCH(I87,$P$17:$P$19,1))</f>
        <v>1</v>
      </c>
      <c r="M87" s="37" t="n">
        <f aca="false">J87+K87+L87</f>
        <v>6</v>
      </c>
      <c r="N87" s="39" t="str">
        <f aca="false">INDEX($Q$22:$Q$25,MATCH(M87,$P$22:$P$25,1))</f>
        <v>Loyal</v>
      </c>
    </row>
    <row r="88" customFormat="false" ht="15" hidden="false" customHeight="true" outlineLevel="0" collapsed="false">
      <c r="A88" s="11" t="s">
        <v>321</v>
      </c>
      <c r="B88" s="11" t="s">
        <v>322</v>
      </c>
      <c r="C88" s="11" t="s">
        <v>219</v>
      </c>
      <c r="D88" s="11" t="s">
        <v>324</v>
      </c>
      <c r="F88" s="37" t="n">
        <f aca="false">COUNTIF('Sales Data'!$D$2:$D$1201,A88)</f>
        <v>16</v>
      </c>
      <c r="G88" s="38" t="n">
        <f aca="false">_xlfn.MAXIFS('Sales Data'!$B$2:$B$1201,'Sales Data'!$D$2:$D$1201,A88)</f>
        <v>46014</v>
      </c>
      <c r="H88" s="37" t="n">
        <f aca="false">$Q$4-G88</f>
        <v>8</v>
      </c>
      <c r="I88" s="33" t="n">
        <f aca="false">SUMIFS('Sales Data'!$P$2:$P$1201,'Sales Data'!$D$2:$D$1201,A88)</f>
        <v>111399</v>
      </c>
      <c r="J88" s="37" t="n">
        <f aca="false">INDEX($Q$7:$Q$9,MATCH(H88,$P$7:$P$9,1))</f>
        <v>3</v>
      </c>
      <c r="K88" s="37" t="n">
        <f aca="false">INDEX($Q$12:$Q$14,MATCH(F88,$P$12:$P$14,1))</f>
        <v>3</v>
      </c>
      <c r="L88" s="37" t="n">
        <f aca="false">INDEX($Q$17:$Q$19,MATCH(I88,$P$17:$P$19,1))</f>
        <v>3</v>
      </c>
      <c r="M88" s="37" t="n">
        <f aca="false">J88+K88+L88</f>
        <v>9</v>
      </c>
      <c r="N88" s="39" t="str">
        <f aca="false">INDEX($Q$22:$Q$25,MATCH(M88,$P$22:$P$25,1))</f>
        <v>Champion</v>
      </c>
    </row>
    <row r="89" customFormat="false" ht="15" hidden="false" customHeight="true" outlineLevel="0" collapsed="false">
      <c r="A89" s="11" t="s">
        <v>496</v>
      </c>
      <c r="B89" s="11" t="s">
        <v>497</v>
      </c>
      <c r="C89" s="11" t="s">
        <v>178</v>
      </c>
      <c r="D89" s="11" t="s">
        <v>179</v>
      </c>
      <c r="F89" s="37" t="n">
        <f aca="false">COUNTIF('Sales Data'!$D$2:$D$1201,A89)</f>
        <v>18</v>
      </c>
      <c r="G89" s="38" t="n">
        <f aca="false">_xlfn.MAXIFS('Sales Data'!$B$2:$B$1201,'Sales Data'!$D$2:$D$1201,A89)</f>
        <v>46011</v>
      </c>
      <c r="H89" s="37" t="n">
        <f aca="false">$Q$4-G89</f>
        <v>11</v>
      </c>
      <c r="I89" s="33" t="n">
        <f aca="false">SUMIFS('Sales Data'!$P$2:$P$1201,'Sales Data'!$D$2:$D$1201,A89)</f>
        <v>57075</v>
      </c>
      <c r="J89" s="37" t="n">
        <f aca="false">INDEX($Q$7:$Q$9,MATCH(H89,$P$7:$P$9,1))</f>
        <v>3</v>
      </c>
      <c r="K89" s="37" t="n">
        <f aca="false">INDEX($Q$12:$Q$14,MATCH(F89,$P$12:$P$14,1))</f>
        <v>3</v>
      </c>
      <c r="L89" s="37" t="n">
        <f aca="false">INDEX($Q$17:$Q$19,MATCH(I89,$P$17:$P$19,1))</f>
        <v>3</v>
      </c>
      <c r="M89" s="37" t="n">
        <f aca="false">J89+K89+L89</f>
        <v>9</v>
      </c>
      <c r="N89" s="39" t="str">
        <f aca="false">INDEX($Q$22:$Q$25,MATCH(M89,$P$22:$P$25,1))</f>
        <v>Champion</v>
      </c>
    </row>
    <row r="90" customFormat="false" ht="15" hidden="false" customHeight="true" outlineLevel="0" collapsed="false">
      <c r="A90" s="11" t="s">
        <v>1264</v>
      </c>
      <c r="B90" s="11" t="s">
        <v>1265</v>
      </c>
      <c r="C90" s="11" t="s">
        <v>159</v>
      </c>
      <c r="D90" s="11" t="s">
        <v>179</v>
      </c>
      <c r="F90" s="37" t="n">
        <f aca="false">COUNTIF('Sales Data'!$D$2:$D$1201,A90)</f>
        <v>1</v>
      </c>
      <c r="G90" s="38" t="n">
        <f aca="false">_xlfn.MAXIFS('Sales Data'!$B$2:$B$1201,'Sales Data'!$D$2:$D$1201,A90)</f>
        <v>45877</v>
      </c>
      <c r="H90" s="37" t="n">
        <f aca="false">$Q$4-G90</f>
        <v>145</v>
      </c>
      <c r="I90" s="33" t="n">
        <f aca="false">SUMIFS('Sales Data'!$P$2:$P$1201,'Sales Data'!$D$2:$D$1201,A90)</f>
        <v>2799</v>
      </c>
      <c r="J90" s="37" t="n">
        <f aca="false">INDEX($Q$7:$Q$9,MATCH(H90,$P$7:$P$9,1))</f>
        <v>2</v>
      </c>
      <c r="K90" s="37" t="n">
        <f aca="false">INDEX($Q$12:$Q$14,MATCH(F90,$P$12:$P$14,1))</f>
        <v>1</v>
      </c>
      <c r="L90" s="37" t="n">
        <f aca="false">INDEX($Q$17:$Q$19,MATCH(I90,$P$17:$P$19,1))</f>
        <v>1</v>
      </c>
      <c r="M90" s="37" t="n">
        <f aca="false">J90+K90+L90</f>
        <v>4</v>
      </c>
      <c r="N90" s="39" t="str">
        <f aca="false">INDEX($Q$22:$Q$25,MATCH(M90,$P$22:$P$25,1))</f>
        <v>At Risk</v>
      </c>
    </row>
    <row r="91" customFormat="false" ht="15" hidden="false" customHeight="true" outlineLevel="0" collapsed="false">
      <c r="A91" s="11" t="s">
        <v>444</v>
      </c>
      <c r="B91" s="11" t="s">
        <v>445</v>
      </c>
      <c r="C91" s="11" t="s">
        <v>159</v>
      </c>
      <c r="D91" s="11" t="s">
        <v>207</v>
      </c>
      <c r="F91" s="37" t="n">
        <f aca="false">COUNTIF('Sales Data'!$D$2:$D$1201,A91)</f>
        <v>7</v>
      </c>
      <c r="G91" s="38" t="n">
        <f aca="false">_xlfn.MAXIFS('Sales Data'!$B$2:$B$1201,'Sales Data'!$D$2:$D$1201,A91)</f>
        <v>46014</v>
      </c>
      <c r="H91" s="37" t="n">
        <f aca="false">$Q$4-G91</f>
        <v>8</v>
      </c>
      <c r="I91" s="33" t="n">
        <f aca="false">SUMIFS('Sales Data'!$P$2:$P$1201,'Sales Data'!$D$2:$D$1201,A91)</f>
        <v>26366</v>
      </c>
      <c r="J91" s="37" t="n">
        <f aca="false">INDEX($Q$7:$Q$9,MATCH(H91,$P$7:$P$9,1))</f>
        <v>3</v>
      </c>
      <c r="K91" s="37" t="n">
        <f aca="false">INDEX($Q$12:$Q$14,MATCH(F91,$P$12:$P$14,1))</f>
        <v>3</v>
      </c>
      <c r="L91" s="37" t="n">
        <f aca="false">INDEX($Q$17:$Q$19,MATCH(I91,$P$17:$P$19,1))</f>
        <v>2</v>
      </c>
      <c r="M91" s="37" t="n">
        <f aca="false">J91+K91+L91</f>
        <v>8</v>
      </c>
      <c r="N91" s="39" t="str">
        <f aca="false">INDEX($Q$22:$Q$25,MATCH(M91,$P$22:$P$25,1))</f>
        <v>Champion</v>
      </c>
    </row>
    <row r="92" customFormat="false" ht="15" hidden="false" customHeight="true" outlineLevel="0" collapsed="false">
      <c r="A92" s="11" t="s">
        <v>1508</v>
      </c>
      <c r="B92" s="11" t="s">
        <v>1509</v>
      </c>
      <c r="C92" s="11" t="s">
        <v>159</v>
      </c>
      <c r="D92" s="11" t="s">
        <v>324</v>
      </c>
      <c r="F92" s="37" t="n">
        <f aca="false">COUNTIF('Sales Data'!$D$2:$D$1201,A92)</f>
        <v>1</v>
      </c>
      <c r="G92" s="38" t="n">
        <f aca="false">_xlfn.MAXIFS('Sales Data'!$B$2:$B$1201,'Sales Data'!$D$2:$D$1201,A92)</f>
        <v>45941</v>
      </c>
      <c r="H92" s="37" t="n">
        <f aca="false">$Q$4-G92</f>
        <v>81</v>
      </c>
      <c r="I92" s="33" t="n">
        <f aca="false">SUMIFS('Sales Data'!$P$2:$P$1201,'Sales Data'!$D$2:$D$1201,A92)</f>
        <v>749</v>
      </c>
      <c r="J92" s="37" t="n">
        <f aca="false">INDEX($Q$7:$Q$9,MATCH(H92,$P$7:$P$9,1))</f>
        <v>2</v>
      </c>
      <c r="K92" s="37" t="n">
        <f aca="false">INDEX($Q$12:$Q$14,MATCH(F92,$P$12:$P$14,1))</f>
        <v>1</v>
      </c>
      <c r="L92" s="37" t="n">
        <f aca="false">INDEX($Q$17:$Q$19,MATCH(I92,$P$17:$P$19,1))</f>
        <v>1</v>
      </c>
      <c r="M92" s="37" t="n">
        <f aca="false">J92+K92+L92</f>
        <v>4</v>
      </c>
      <c r="N92" s="39" t="str">
        <f aca="false">INDEX($Q$22:$Q$25,MATCH(M92,$P$22:$P$25,1))</f>
        <v>At Risk</v>
      </c>
    </row>
    <row r="93" customFormat="false" ht="15" hidden="false" customHeight="true" outlineLevel="0" collapsed="false">
      <c r="A93" s="11" t="s">
        <v>249</v>
      </c>
      <c r="B93" s="11" t="s">
        <v>250</v>
      </c>
      <c r="C93" s="11" t="s">
        <v>159</v>
      </c>
      <c r="D93" s="11" t="s">
        <v>191</v>
      </c>
      <c r="F93" s="37" t="n">
        <f aca="false">COUNTIF('Sales Data'!$D$2:$D$1201,A93)</f>
        <v>5</v>
      </c>
      <c r="G93" s="38" t="n">
        <f aca="false">_xlfn.MAXIFS('Sales Data'!$B$2:$B$1201,'Sales Data'!$D$2:$D$1201,A93)</f>
        <v>46012</v>
      </c>
      <c r="H93" s="37" t="n">
        <f aca="false">$Q$4-G93</f>
        <v>10</v>
      </c>
      <c r="I93" s="33" t="n">
        <f aca="false">SUMIFS('Sales Data'!$P$2:$P$1201,'Sales Data'!$D$2:$D$1201,A93)</f>
        <v>24922</v>
      </c>
      <c r="J93" s="37" t="n">
        <f aca="false">INDEX($Q$7:$Q$9,MATCH(H93,$P$7:$P$9,1))</f>
        <v>3</v>
      </c>
      <c r="K93" s="37" t="n">
        <f aca="false">INDEX($Q$12:$Q$14,MATCH(F93,$P$12:$P$14,1))</f>
        <v>2</v>
      </c>
      <c r="L93" s="37" t="n">
        <f aca="false">INDEX($Q$17:$Q$19,MATCH(I93,$P$17:$P$19,1))</f>
        <v>2</v>
      </c>
      <c r="M93" s="37" t="n">
        <f aca="false">J93+K93+L93</f>
        <v>7</v>
      </c>
      <c r="N93" s="39" t="str">
        <f aca="false">INDEX($Q$22:$Q$25,MATCH(M93,$P$22:$P$25,1))</f>
        <v>Loyal</v>
      </c>
    </row>
    <row r="94" customFormat="false" ht="15" hidden="false" customHeight="true" outlineLevel="0" collapsed="false">
      <c r="A94" s="11" t="s">
        <v>290</v>
      </c>
      <c r="B94" s="11" t="s">
        <v>291</v>
      </c>
      <c r="C94" s="11" t="s">
        <v>219</v>
      </c>
      <c r="D94" s="11" t="s">
        <v>179</v>
      </c>
      <c r="F94" s="37" t="n">
        <f aca="false">COUNTIF('Sales Data'!$D$2:$D$1201,A94)</f>
        <v>5</v>
      </c>
      <c r="G94" s="38" t="n">
        <f aca="false">_xlfn.MAXIFS('Sales Data'!$B$2:$B$1201,'Sales Data'!$D$2:$D$1201,A94)</f>
        <v>45813</v>
      </c>
      <c r="H94" s="37" t="n">
        <f aca="false">$Q$4-G94</f>
        <v>209</v>
      </c>
      <c r="I94" s="33" t="n">
        <f aca="false">SUMIFS('Sales Data'!$P$2:$P$1201,'Sales Data'!$D$2:$D$1201,A94)</f>
        <v>17446</v>
      </c>
      <c r="J94" s="37" t="n">
        <f aca="false">INDEX($Q$7:$Q$9,MATCH(H94,$P$7:$P$9,1))</f>
        <v>1</v>
      </c>
      <c r="K94" s="37" t="n">
        <f aca="false">INDEX($Q$12:$Q$14,MATCH(F94,$P$12:$P$14,1))</f>
        <v>2</v>
      </c>
      <c r="L94" s="37" t="n">
        <f aca="false">INDEX($Q$17:$Q$19,MATCH(I94,$P$17:$P$19,1))</f>
        <v>2</v>
      </c>
      <c r="M94" s="37" t="n">
        <f aca="false">J94+K94+L94</f>
        <v>5</v>
      </c>
      <c r="N94" s="39" t="str">
        <f aca="false">INDEX($Q$22:$Q$25,MATCH(M94,$P$22:$P$25,1))</f>
        <v>At Risk</v>
      </c>
    </row>
    <row r="95" customFormat="false" ht="15" hidden="false" customHeight="true" outlineLevel="0" collapsed="false">
      <c r="A95" s="11" t="s">
        <v>1168</v>
      </c>
      <c r="B95" s="11" t="s">
        <v>1169</v>
      </c>
      <c r="C95" s="11" t="s">
        <v>159</v>
      </c>
      <c r="D95" s="11" t="s">
        <v>161</v>
      </c>
      <c r="F95" s="37" t="n">
        <f aca="false">COUNTIF('Sales Data'!$D$2:$D$1201,A95)</f>
        <v>3</v>
      </c>
      <c r="G95" s="38" t="n">
        <f aca="false">_xlfn.MAXIFS('Sales Data'!$B$2:$B$1201,'Sales Data'!$D$2:$D$1201,A95)</f>
        <v>45976</v>
      </c>
      <c r="H95" s="37" t="n">
        <f aca="false">$Q$4-G95</f>
        <v>46</v>
      </c>
      <c r="I95" s="33" t="n">
        <f aca="false">SUMIFS('Sales Data'!$P$2:$P$1201,'Sales Data'!$D$2:$D$1201,A95)</f>
        <v>10736</v>
      </c>
      <c r="J95" s="37" t="n">
        <f aca="false">INDEX($Q$7:$Q$9,MATCH(H95,$P$7:$P$9,1))</f>
        <v>2</v>
      </c>
      <c r="K95" s="37" t="n">
        <f aca="false">INDEX($Q$12:$Q$14,MATCH(F95,$P$12:$P$14,1))</f>
        <v>2</v>
      </c>
      <c r="L95" s="37" t="n">
        <f aca="false">INDEX($Q$17:$Q$19,MATCH(I95,$P$17:$P$19,1))</f>
        <v>1</v>
      </c>
      <c r="M95" s="37" t="n">
        <f aca="false">J95+K95+L95</f>
        <v>5</v>
      </c>
      <c r="N95" s="39" t="str">
        <f aca="false">INDEX($Q$22:$Q$25,MATCH(M95,$P$22:$P$25,1))</f>
        <v>At Risk</v>
      </c>
    </row>
    <row r="96" customFormat="false" ht="15" hidden="false" customHeight="true" outlineLevel="0" collapsed="false">
      <c r="A96" s="11" t="s">
        <v>866</v>
      </c>
      <c r="B96" s="11" t="s">
        <v>867</v>
      </c>
      <c r="C96" s="11" t="s">
        <v>159</v>
      </c>
      <c r="D96" s="11" t="s">
        <v>170</v>
      </c>
      <c r="F96" s="37" t="n">
        <f aca="false">COUNTIF('Sales Data'!$D$2:$D$1201,A96)</f>
        <v>4</v>
      </c>
      <c r="G96" s="38" t="n">
        <f aca="false">_xlfn.MAXIFS('Sales Data'!$B$2:$B$1201,'Sales Data'!$D$2:$D$1201,A96)</f>
        <v>46001</v>
      </c>
      <c r="H96" s="37" t="n">
        <f aca="false">$Q$4-G96</f>
        <v>21</v>
      </c>
      <c r="I96" s="33" t="n">
        <f aca="false">SUMIFS('Sales Data'!$P$2:$P$1201,'Sales Data'!$D$2:$D$1201,A96)</f>
        <v>6236</v>
      </c>
      <c r="J96" s="37" t="n">
        <f aca="false">INDEX($Q$7:$Q$9,MATCH(H96,$P$7:$P$9,1))</f>
        <v>3</v>
      </c>
      <c r="K96" s="37" t="n">
        <f aca="false">INDEX($Q$12:$Q$14,MATCH(F96,$P$12:$P$14,1))</f>
        <v>2</v>
      </c>
      <c r="L96" s="37" t="n">
        <f aca="false">INDEX($Q$17:$Q$19,MATCH(I96,$P$17:$P$19,1))</f>
        <v>1</v>
      </c>
      <c r="M96" s="37" t="n">
        <f aca="false">J96+K96+L96</f>
        <v>6</v>
      </c>
      <c r="N96" s="39" t="str">
        <f aca="false">INDEX($Q$22:$Q$25,MATCH(M96,$P$22:$P$25,1))</f>
        <v>Loyal</v>
      </c>
    </row>
    <row r="97" customFormat="false" ht="15" hidden="false" customHeight="true" outlineLevel="0" collapsed="false">
      <c r="A97" s="11" t="s">
        <v>1124</v>
      </c>
      <c r="B97" s="11" t="s">
        <v>1125</v>
      </c>
      <c r="C97" s="11" t="s">
        <v>159</v>
      </c>
      <c r="D97" s="11" t="s">
        <v>191</v>
      </c>
      <c r="F97" s="37" t="n">
        <f aca="false">COUNTIF('Sales Data'!$D$2:$D$1201,A97)</f>
        <v>5</v>
      </c>
      <c r="G97" s="38" t="n">
        <f aca="false">_xlfn.MAXIFS('Sales Data'!$B$2:$B$1201,'Sales Data'!$D$2:$D$1201,A97)</f>
        <v>46020</v>
      </c>
      <c r="H97" s="37" t="n">
        <f aca="false">$Q$4-G97</f>
        <v>2</v>
      </c>
      <c r="I97" s="33" t="n">
        <f aca="false">SUMIFS('Sales Data'!$P$2:$P$1201,'Sales Data'!$D$2:$D$1201,A97)</f>
        <v>7294</v>
      </c>
      <c r="J97" s="37" t="n">
        <f aca="false">INDEX($Q$7:$Q$9,MATCH(H97,$P$7:$P$9,1))</f>
        <v>3</v>
      </c>
      <c r="K97" s="37" t="n">
        <f aca="false">INDEX($Q$12:$Q$14,MATCH(F97,$P$12:$P$14,1))</f>
        <v>2</v>
      </c>
      <c r="L97" s="37" t="n">
        <f aca="false">INDEX($Q$17:$Q$19,MATCH(I97,$P$17:$P$19,1))</f>
        <v>1</v>
      </c>
      <c r="M97" s="37" t="n">
        <f aca="false">J97+K97+L97</f>
        <v>6</v>
      </c>
      <c r="N97" s="39" t="str">
        <f aca="false">INDEX($Q$22:$Q$25,MATCH(M97,$P$22:$P$25,1))</f>
        <v>Loyal</v>
      </c>
    </row>
    <row r="98" customFormat="false" ht="15" hidden="false" customHeight="true" outlineLevel="0" collapsed="false">
      <c r="A98" s="11" t="s">
        <v>1867</v>
      </c>
      <c r="B98" s="11" t="s">
        <v>1868</v>
      </c>
      <c r="C98" s="11" t="s">
        <v>159</v>
      </c>
      <c r="D98" s="11" t="s">
        <v>263</v>
      </c>
      <c r="F98" s="37" t="n">
        <f aca="false">COUNTIF('Sales Data'!$D$2:$D$1201,A98)</f>
        <v>1</v>
      </c>
      <c r="G98" s="38" t="n">
        <f aca="false">_xlfn.MAXIFS('Sales Data'!$B$2:$B$1201,'Sales Data'!$D$2:$D$1201,A98)</f>
        <v>46009</v>
      </c>
      <c r="H98" s="37" t="n">
        <f aca="false">$Q$4-G98</f>
        <v>13</v>
      </c>
      <c r="I98" s="33" t="n">
        <f aca="false">SUMIFS('Sales Data'!$P$2:$P$1201,'Sales Data'!$D$2:$D$1201,A98)</f>
        <v>1197</v>
      </c>
      <c r="J98" s="37" t="n">
        <f aca="false">INDEX($Q$7:$Q$9,MATCH(H98,$P$7:$P$9,1))</f>
        <v>3</v>
      </c>
      <c r="K98" s="37" t="n">
        <f aca="false">INDEX($Q$12:$Q$14,MATCH(F98,$P$12:$P$14,1))</f>
        <v>1</v>
      </c>
      <c r="L98" s="37" t="n">
        <f aca="false">INDEX($Q$17:$Q$19,MATCH(I98,$P$17:$P$19,1))</f>
        <v>1</v>
      </c>
      <c r="M98" s="37" t="n">
        <f aca="false">J98+K98+L98</f>
        <v>5</v>
      </c>
      <c r="N98" s="39" t="str">
        <f aca="false">INDEX($Q$22:$Q$25,MATCH(M98,$P$22:$P$25,1))</f>
        <v>At Risk</v>
      </c>
    </row>
    <row r="99" customFormat="false" ht="15" hidden="false" customHeight="true" outlineLevel="0" collapsed="false">
      <c r="A99" s="11" t="s">
        <v>345</v>
      </c>
      <c r="B99" s="11" t="s">
        <v>346</v>
      </c>
      <c r="C99" s="11" t="s">
        <v>159</v>
      </c>
      <c r="D99" s="11" t="s">
        <v>161</v>
      </c>
      <c r="F99" s="37" t="n">
        <f aca="false">COUNTIF('Sales Data'!$D$2:$D$1201,A99)</f>
        <v>19</v>
      </c>
      <c r="G99" s="38" t="n">
        <f aca="false">_xlfn.MAXIFS('Sales Data'!$B$2:$B$1201,'Sales Data'!$D$2:$D$1201,A99)</f>
        <v>46005</v>
      </c>
      <c r="H99" s="37" t="n">
        <f aca="false">$Q$4-G99</f>
        <v>17</v>
      </c>
      <c r="I99" s="33" t="n">
        <f aca="false">SUMIFS('Sales Data'!$P$2:$P$1201,'Sales Data'!$D$2:$D$1201,A99)</f>
        <v>77928</v>
      </c>
      <c r="J99" s="37" t="n">
        <f aca="false">INDEX($Q$7:$Q$9,MATCH(H99,$P$7:$P$9,1))</f>
        <v>3</v>
      </c>
      <c r="K99" s="37" t="n">
        <f aca="false">INDEX($Q$12:$Q$14,MATCH(F99,$P$12:$P$14,1))</f>
        <v>3</v>
      </c>
      <c r="L99" s="37" t="n">
        <f aca="false">INDEX($Q$17:$Q$19,MATCH(I99,$P$17:$P$19,1))</f>
        <v>3</v>
      </c>
      <c r="M99" s="37" t="n">
        <f aca="false">J99+K99+L99</f>
        <v>9</v>
      </c>
      <c r="N99" s="39" t="str">
        <f aca="false">INDEX($Q$22:$Q$25,MATCH(M99,$P$22:$P$25,1))</f>
        <v>Champion</v>
      </c>
    </row>
    <row r="100" customFormat="false" ht="15" hidden="false" customHeight="true" outlineLevel="0" collapsed="false">
      <c r="A100" s="11" t="s">
        <v>940</v>
      </c>
      <c r="B100" s="11" t="s">
        <v>941</v>
      </c>
      <c r="C100" s="11" t="s">
        <v>159</v>
      </c>
      <c r="D100" s="11" t="s">
        <v>170</v>
      </c>
      <c r="F100" s="37" t="n">
        <f aca="false">COUNTIF('Sales Data'!$D$2:$D$1201,A100)</f>
        <v>3</v>
      </c>
      <c r="G100" s="38" t="n">
        <f aca="false">_xlfn.MAXIFS('Sales Data'!$B$2:$B$1201,'Sales Data'!$D$2:$D$1201,A100)</f>
        <v>45989</v>
      </c>
      <c r="H100" s="37" t="n">
        <f aca="false">$Q$4-G100</f>
        <v>33</v>
      </c>
      <c r="I100" s="33" t="n">
        <f aca="false">SUMIFS('Sales Data'!$P$2:$P$1201,'Sales Data'!$D$2:$D$1201,A100)</f>
        <v>9164</v>
      </c>
      <c r="J100" s="37" t="n">
        <f aca="false">INDEX($Q$7:$Q$9,MATCH(H100,$P$7:$P$9,1))</f>
        <v>3</v>
      </c>
      <c r="K100" s="37" t="n">
        <f aca="false">INDEX($Q$12:$Q$14,MATCH(F100,$P$12:$P$14,1))</f>
        <v>2</v>
      </c>
      <c r="L100" s="37" t="n">
        <f aca="false">INDEX($Q$17:$Q$19,MATCH(I100,$P$17:$P$19,1))</f>
        <v>1</v>
      </c>
      <c r="M100" s="37" t="n">
        <f aca="false">J100+K100+L100</f>
        <v>6</v>
      </c>
      <c r="N100" s="39" t="str">
        <f aca="false">INDEX($Q$22:$Q$25,MATCH(M100,$P$22:$P$25,1))</f>
        <v>Loyal</v>
      </c>
    </row>
    <row r="101" customFormat="false" ht="15" hidden="false" customHeight="true" outlineLevel="0" collapsed="false">
      <c r="A101" s="11" t="s">
        <v>773</v>
      </c>
      <c r="B101" s="11" t="s">
        <v>774</v>
      </c>
      <c r="C101" s="11" t="s">
        <v>159</v>
      </c>
      <c r="D101" s="11" t="s">
        <v>207</v>
      </c>
      <c r="F101" s="37" t="n">
        <f aca="false">COUNTIF('Sales Data'!$D$2:$D$1201,A101)</f>
        <v>4</v>
      </c>
      <c r="G101" s="38" t="n">
        <f aca="false">_xlfn.MAXIFS('Sales Data'!$B$2:$B$1201,'Sales Data'!$D$2:$D$1201,A101)</f>
        <v>45936</v>
      </c>
      <c r="H101" s="37" t="n">
        <f aca="false">$Q$4-G101</f>
        <v>86</v>
      </c>
      <c r="I101" s="33" t="n">
        <f aca="false">SUMIFS('Sales Data'!$P$2:$P$1201,'Sales Data'!$D$2:$D$1201,A101)</f>
        <v>6754</v>
      </c>
      <c r="J101" s="37" t="n">
        <f aca="false">INDEX($Q$7:$Q$9,MATCH(H101,$P$7:$P$9,1))</f>
        <v>2</v>
      </c>
      <c r="K101" s="37" t="n">
        <f aca="false">INDEX($Q$12:$Q$14,MATCH(F101,$P$12:$P$14,1))</f>
        <v>2</v>
      </c>
      <c r="L101" s="37" t="n">
        <f aca="false">INDEX($Q$17:$Q$19,MATCH(I101,$P$17:$P$19,1))</f>
        <v>1</v>
      </c>
      <c r="M101" s="37" t="n">
        <f aca="false">J101+K101+L101</f>
        <v>5</v>
      </c>
      <c r="N101" s="39" t="str">
        <f aca="false">INDEX($Q$22:$Q$25,MATCH(M101,$P$22:$P$25,1))</f>
        <v>At Risk</v>
      </c>
    </row>
    <row r="102" customFormat="false" ht="15" hidden="false" customHeight="true" outlineLevel="0" collapsed="false">
      <c r="A102" s="11" t="s">
        <v>837</v>
      </c>
      <c r="B102" s="11" t="s">
        <v>838</v>
      </c>
      <c r="C102" s="11" t="s">
        <v>178</v>
      </c>
      <c r="D102" s="11" t="s">
        <v>207</v>
      </c>
      <c r="F102" s="37" t="n">
        <f aca="false">COUNTIF('Sales Data'!$D$2:$D$1201,A102)</f>
        <v>3</v>
      </c>
      <c r="G102" s="38" t="n">
        <f aca="false">_xlfn.MAXIFS('Sales Data'!$B$2:$B$1201,'Sales Data'!$D$2:$D$1201,A102)</f>
        <v>45886</v>
      </c>
      <c r="H102" s="37" t="n">
        <f aca="false">$Q$4-G102</f>
        <v>136</v>
      </c>
      <c r="I102" s="33" t="n">
        <f aca="false">SUMIFS('Sales Data'!$P$2:$P$1201,'Sales Data'!$D$2:$D$1201,A102)</f>
        <v>17197</v>
      </c>
      <c r="J102" s="37" t="n">
        <f aca="false">INDEX($Q$7:$Q$9,MATCH(H102,$P$7:$P$9,1))</f>
        <v>2</v>
      </c>
      <c r="K102" s="37" t="n">
        <f aca="false">INDEX($Q$12:$Q$14,MATCH(F102,$P$12:$P$14,1))</f>
        <v>2</v>
      </c>
      <c r="L102" s="37" t="n">
        <f aca="false">INDEX($Q$17:$Q$19,MATCH(I102,$P$17:$P$19,1))</f>
        <v>2</v>
      </c>
      <c r="M102" s="37" t="n">
        <f aca="false">J102+K102+L102</f>
        <v>6</v>
      </c>
      <c r="N102" s="39" t="str">
        <f aca="false">INDEX($Q$22:$Q$25,MATCH(M102,$P$22:$P$25,1))</f>
        <v>Loyal</v>
      </c>
    </row>
    <row r="103" customFormat="false" ht="15" hidden="false" customHeight="true" outlineLevel="0" collapsed="false">
      <c r="A103" s="11" t="s">
        <v>435</v>
      </c>
      <c r="B103" s="11" t="s">
        <v>436</v>
      </c>
      <c r="C103" s="11" t="s">
        <v>159</v>
      </c>
      <c r="D103" s="11" t="s">
        <v>170</v>
      </c>
      <c r="F103" s="37" t="n">
        <f aca="false">COUNTIF('Sales Data'!$D$2:$D$1201,A103)</f>
        <v>6</v>
      </c>
      <c r="G103" s="38" t="n">
        <f aca="false">_xlfn.MAXIFS('Sales Data'!$B$2:$B$1201,'Sales Data'!$D$2:$D$1201,A103)</f>
        <v>45999</v>
      </c>
      <c r="H103" s="37" t="n">
        <f aca="false">$Q$4-G103</f>
        <v>23</v>
      </c>
      <c r="I103" s="33" t="n">
        <f aca="false">SUMIFS('Sales Data'!$P$2:$P$1201,'Sales Data'!$D$2:$D$1201,A103)</f>
        <v>38730</v>
      </c>
      <c r="J103" s="37" t="n">
        <f aca="false">INDEX($Q$7:$Q$9,MATCH(H103,$P$7:$P$9,1))</f>
        <v>3</v>
      </c>
      <c r="K103" s="37" t="n">
        <f aca="false">INDEX($Q$12:$Q$14,MATCH(F103,$P$12:$P$14,1))</f>
        <v>2</v>
      </c>
      <c r="L103" s="37" t="n">
        <f aca="false">INDEX($Q$17:$Q$19,MATCH(I103,$P$17:$P$19,1))</f>
        <v>2</v>
      </c>
      <c r="M103" s="37" t="n">
        <f aca="false">J103+K103+L103</f>
        <v>7</v>
      </c>
      <c r="N103" s="39" t="str">
        <f aca="false">INDEX($Q$22:$Q$25,MATCH(M103,$P$22:$P$25,1))</f>
        <v>Loyal</v>
      </c>
    </row>
    <row r="104" customFormat="false" ht="15" hidden="false" customHeight="true" outlineLevel="0" collapsed="false">
      <c r="A104" s="11" t="s">
        <v>469</v>
      </c>
      <c r="B104" s="11" t="s">
        <v>470</v>
      </c>
      <c r="C104" s="11" t="s">
        <v>219</v>
      </c>
      <c r="D104" s="11" t="s">
        <v>269</v>
      </c>
      <c r="F104" s="37" t="n">
        <f aca="false">COUNTIF('Sales Data'!$D$2:$D$1201,A104)</f>
        <v>3</v>
      </c>
      <c r="G104" s="38" t="n">
        <f aca="false">_xlfn.MAXIFS('Sales Data'!$B$2:$B$1201,'Sales Data'!$D$2:$D$1201,A104)</f>
        <v>45975</v>
      </c>
      <c r="H104" s="37" t="n">
        <f aca="false">$Q$4-G104</f>
        <v>47</v>
      </c>
      <c r="I104" s="33" t="n">
        <f aca="false">SUMIFS('Sales Data'!$P$2:$P$1201,'Sales Data'!$D$2:$D$1201,A104)</f>
        <v>9054</v>
      </c>
      <c r="J104" s="37" t="n">
        <f aca="false">INDEX($Q$7:$Q$9,MATCH(H104,$P$7:$P$9,1))</f>
        <v>2</v>
      </c>
      <c r="K104" s="37" t="n">
        <f aca="false">INDEX($Q$12:$Q$14,MATCH(F104,$P$12:$P$14,1))</f>
        <v>2</v>
      </c>
      <c r="L104" s="37" t="n">
        <f aca="false">INDEX($Q$17:$Q$19,MATCH(I104,$P$17:$P$19,1))</f>
        <v>1</v>
      </c>
      <c r="M104" s="37" t="n">
        <f aca="false">J104+K104+L104</f>
        <v>5</v>
      </c>
      <c r="N104" s="39" t="str">
        <f aca="false">INDEX($Q$22:$Q$25,MATCH(M104,$P$22:$P$25,1))</f>
        <v>At Risk</v>
      </c>
    </row>
    <row r="105" customFormat="false" ht="15" hidden="false" customHeight="true" outlineLevel="0" collapsed="false">
      <c r="A105" s="11" t="s">
        <v>384</v>
      </c>
      <c r="B105" s="11" t="s">
        <v>385</v>
      </c>
      <c r="C105" s="11" t="s">
        <v>159</v>
      </c>
      <c r="D105" s="11" t="s">
        <v>207</v>
      </c>
      <c r="F105" s="37" t="n">
        <f aca="false">COUNTIF('Sales Data'!$D$2:$D$1201,A105)</f>
        <v>1</v>
      </c>
      <c r="G105" s="38" t="n">
        <f aca="false">_xlfn.MAXIFS('Sales Data'!$B$2:$B$1201,'Sales Data'!$D$2:$D$1201,A105)</f>
        <v>45678</v>
      </c>
      <c r="H105" s="37" t="n">
        <f aca="false">$Q$4-G105</f>
        <v>344</v>
      </c>
      <c r="I105" s="33" t="n">
        <f aca="false">SUMIFS('Sales Data'!$P$2:$P$1201,'Sales Data'!$D$2:$D$1201,A105)</f>
        <v>699</v>
      </c>
      <c r="J105" s="37" t="n">
        <f aca="false">INDEX($Q$7:$Q$9,MATCH(H105,$P$7:$P$9,1))</f>
        <v>1</v>
      </c>
      <c r="K105" s="37" t="n">
        <f aca="false">INDEX($Q$12:$Q$14,MATCH(F105,$P$12:$P$14,1))</f>
        <v>1</v>
      </c>
      <c r="L105" s="37" t="n">
        <f aca="false">INDEX($Q$17:$Q$19,MATCH(I105,$P$17:$P$19,1))</f>
        <v>1</v>
      </c>
      <c r="M105" s="37" t="n">
        <f aca="false">J105+K105+L105</f>
        <v>3</v>
      </c>
      <c r="N105" s="39" t="str">
        <f aca="false">INDEX($Q$22:$Q$25,MATCH(M105,$P$22:$P$25,1))</f>
        <v>Lost</v>
      </c>
    </row>
    <row r="106" customFormat="false" ht="15" hidden="false" customHeight="true" outlineLevel="0" collapsed="false">
      <c r="A106" s="11" t="s">
        <v>947</v>
      </c>
      <c r="B106" s="11" t="s">
        <v>948</v>
      </c>
      <c r="C106" s="11" t="s">
        <v>159</v>
      </c>
      <c r="D106" s="11" t="s">
        <v>269</v>
      </c>
      <c r="F106" s="37" t="n">
        <f aca="false">COUNTIF('Sales Data'!$D$2:$D$1201,A106)</f>
        <v>8</v>
      </c>
      <c r="G106" s="38" t="n">
        <f aca="false">_xlfn.MAXIFS('Sales Data'!$B$2:$B$1201,'Sales Data'!$D$2:$D$1201,A106)</f>
        <v>45993</v>
      </c>
      <c r="H106" s="37" t="n">
        <f aca="false">$Q$4-G106</f>
        <v>29</v>
      </c>
      <c r="I106" s="33" t="n">
        <f aca="false">SUMIFS('Sales Data'!$P$2:$P$1201,'Sales Data'!$D$2:$D$1201,A106)</f>
        <v>26993</v>
      </c>
      <c r="J106" s="37" t="n">
        <f aca="false">INDEX($Q$7:$Q$9,MATCH(H106,$P$7:$P$9,1))</f>
        <v>3</v>
      </c>
      <c r="K106" s="37" t="n">
        <f aca="false">INDEX($Q$12:$Q$14,MATCH(F106,$P$12:$P$14,1))</f>
        <v>3</v>
      </c>
      <c r="L106" s="37" t="n">
        <f aca="false">INDEX($Q$17:$Q$19,MATCH(I106,$P$17:$P$19,1))</f>
        <v>2</v>
      </c>
      <c r="M106" s="37" t="n">
        <f aca="false">J106+K106+L106</f>
        <v>8</v>
      </c>
      <c r="N106" s="39" t="str">
        <f aca="false">INDEX($Q$22:$Q$25,MATCH(M106,$P$22:$P$25,1))</f>
        <v>Champion</v>
      </c>
    </row>
    <row r="107" customFormat="false" ht="15" hidden="false" customHeight="true" outlineLevel="0" collapsed="false">
      <c r="A107" s="11" t="s">
        <v>1146</v>
      </c>
      <c r="B107" s="11" t="s">
        <v>1147</v>
      </c>
      <c r="C107" s="11" t="s">
        <v>178</v>
      </c>
      <c r="D107" s="11" t="s">
        <v>269</v>
      </c>
      <c r="F107" s="37" t="n">
        <f aca="false">COUNTIF('Sales Data'!$D$2:$D$1201,A107)</f>
        <v>2</v>
      </c>
      <c r="G107" s="38" t="n">
        <f aca="false">_xlfn.MAXIFS('Sales Data'!$B$2:$B$1201,'Sales Data'!$D$2:$D$1201,A107)</f>
        <v>46011</v>
      </c>
      <c r="H107" s="37" t="n">
        <f aca="false">$Q$4-G107</f>
        <v>11</v>
      </c>
      <c r="I107" s="33" t="n">
        <f aca="false">SUMIFS('Sales Data'!$P$2:$P$1201,'Sales Data'!$D$2:$D$1201,A107)</f>
        <v>17188</v>
      </c>
      <c r="J107" s="37" t="n">
        <f aca="false">INDEX($Q$7:$Q$9,MATCH(H107,$P$7:$P$9,1))</f>
        <v>3</v>
      </c>
      <c r="K107" s="37" t="n">
        <f aca="false">INDEX($Q$12:$Q$14,MATCH(F107,$P$12:$P$14,1))</f>
        <v>1</v>
      </c>
      <c r="L107" s="37" t="n">
        <f aca="false">INDEX($Q$17:$Q$19,MATCH(I107,$P$17:$P$19,1))</f>
        <v>2</v>
      </c>
      <c r="M107" s="37" t="n">
        <f aca="false">J107+K107+L107</f>
        <v>6</v>
      </c>
      <c r="N107" s="39" t="str">
        <f aca="false">INDEX($Q$22:$Q$25,MATCH(M107,$P$22:$P$25,1))</f>
        <v>Loyal</v>
      </c>
    </row>
    <row r="108" customFormat="false" ht="15" hidden="false" customHeight="true" outlineLevel="0" collapsed="false">
      <c r="A108" s="11" t="s">
        <v>729</v>
      </c>
      <c r="B108" s="11" t="s">
        <v>730</v>
      </c>
      <c r="C108" s="11" t="s">
        <v>159</v>
      </c>
      <c r="D108" s="11" t="s">
        <v>269</v>
      </c>
      <c r="F108" s="37" t="n">
        <f aca="false">COUNTIF('Sales Data'!$D$2:$D$1201,A108)</f>
        <v>8</v>
      </c>
      <c r="G108" s="38" t="n">
        <f aca="false">_xlfn.MAXIFS('Sales Data'!$B$2:$B$1201,'Sales Data'!$D$2:$D$1201,A108)</f>
        <v>46006</v>
      </c>
      <c r="H108" s="37" t="n">
        <f aca="false">$Q$4-G108</f>
        <v>16</v>
      </c>
      <c r="I108" s="33" t="n">
        <f aca="false">SUMIFS('Sales Data'!$P$2:$P$1201,'Sales Data'!$D$2:$D$1201,A108)</f>
        <v>35339</v>
      </c>
      <c r="J108" s="37" t="n">
        <f aca="false">INDEX($Q$7:$Q$9,MATCH(H108,$P$7:$P$9,1))</f>
        <v>3</v>
      </c>
      <c r="K108" s="37" t="n">
        <f aca="false">INDEX($Q$12:$Q$14,MATCH(F108,$P$12:$P$14,1))</f>
        <v>3</v>
      </c>
      <c r="L108" s="37" t="n">
        <f aca="false">INDEX($Q$17:$Q$19,MATCH(I108,$P$17:$P$19,1))</f>
        <v>2</v>
      </c>
      <c r="M108" s="37" t="n">
        <f aca="false">J108+K108+L108</f>
        <v>8</v>
      </c>
      <c r="N108" s="39" t="str">
        <f aca="false">INDEX($Q$22:$Q$25,MATCH(M108,$P$22:$P$25,1))</f>
        <v>Champion</v>
      </c>
    </row>
    <row r="109" customFormat="false" ht="15" hidden="false" customHeight="true" outlineLevel="0" collapsed="false">
      <c r="A109" s="11" t="s">
        <v>906</v>
      </c>
      <c r="B109" s="11" t="s">
        <v>907</v>
      </c>
      <c r="C109" s="11" t="s">
        <v>159</v>
      </c>
      <c r="D109" s="11" t="s">
        <v>263</v>
      </c>
      <c r="F109" s="37" t="n">
        <f aca="false">COUNTIF('Sales Data'!$D$2:$D$1201,A109)</f>
        <v>5</v>
      </c>
      <c r="G109" s="38" t="n">
        <f aca="false">_xlfn.MAXIFS('Sales Data'!$B$2:$B$1201,'Sales Data'!$D$2:$D$1201,A109)</f>
        <v>45969</v>
      </c>
      <c r="H109" s="37" t="n">
        <f aca="false">$Q$4-G109</f>
        <v>53</v>
      </c>
      <c r="I109" s="33" t="n">
        <f aca="false">SUMIFS('Sales Data'!$P$2:$P$1201,'Sales Data'!$D$2:$D$1201,A109)</f>
        <v>43884</v>
      </c>
      <c r="J109" s="37" t="n">
        <f aca="false">INDEX($Q$7:$Q$9,MATCH(H109,$P$7:$P$9,1))</f>
        <v>2</v>
      </c>
      <c r="K109" s="37" t="n">
        <f aca="false">INDEX($Q$12:$Q$14,MATCH(F109,$P$12:$P$14,1))</f>
        <v>2</v>
      </c>
      <c r="L109" s="37" t="n">
        <f aca="false">INDEX($Q$17:$Q$19,MATCH(I109,$P$17:$P$19,1))</f>
        <v>2</v>
      </c>
      <c r="M109" s="37" t="n">
        <f aca="false">J109+K109+L109</f>
        <v>6</v>
      </c>
      <c r="N109" s="39" t="str">
        <f aca="false">INDEX($Q$22:$Q$25,MATCH(M109,$P$22:$P$25,1))</f>
        <v>Loyal</v>
      </c>
    </row>
    <row r="110" customFormat="false" ht="15" hidden="false" customHeight="true" outlineLevel="0" collapsed="false">
      <c r="A110" s="11" t="s">
        <v>722</v>
      </c>
      <c r="B110" s="11" t="s">
        <v>723</v>
      </c>
      <c r="C110" s="11" t="s">
        <v>159</v>
      </c>
      <c r="D110" s="11" t="s">
        <v>161</v>
      </c>
      <c r="F110" s="37" t="n">
        <f aca="false">COUNTIF('Sales Data'!$D$2:$D$1201,A110)</f>
        <v>7</v>
      </c>
      <c r="G110" s="38" t="n">
        <f aca="false">_xlfn.MAXIFS('Sales Data'!$B$2:$B$1201,'Sales Data'!$D$2:$D$1201,A110)</f>
        <v>45982</v>
      </c>
      <c r="H110" s="37" t="n">
        <f aca="false">$Q$4-G110</f>
        <v>40</v>
      </c>
      <c r="I110" s="33" t="n">
        <f aca="false">SUMIFS('Sales Data'!$P$2:$P$1201,'Sales Data'!$D$2:$D$1201,A110)</f>
        <v>28878</v>
      </c>
      <c r="J110" s="37" t="n">
        <f aca="false">INDEX($Q$7:$Q$9,MATCH(H110,$P$7:$P$9,1))</f>
        <v>3</v>
      </c>
      <c r="K110" s="37" t="n">
        <f aca="false">INDEX($Q$12:$Q$14,MATCH(F110,$P$12:$P$14,1))</f>
        <v>3</v>
      </c>
      <c r="L110" s="37" t="n">
        <f aca="false">INDEX($Q$17:$Q$19,MATCH(I110,$P$17:$P$19,1))</f>
        <v>2</v>
      </c>
      <c r="M110" s="37" t="n">
        <f aca="false">J110+K110+L110</f>
        <v>8</v>
      </c>
      <c r="N110" s="39" t="str">
        <f aca="false">INDEX($Q$22:$Q$25,MATCH(M110,$P$22:$P$25,1))</f>
        <v>Champion</v>
      </c>
    </row>
    <row r="111" customFormat="false" ht="15" hidden="false" customHeight="true" outlineLevel="0" collapsed="false">
      <c r="A111" s="11" t="s">
        <v>601</v>
      </c>
      <c r="B111" s="11" t="s">
        <v>602</v>
      </c>
      <c r="C111" s="11" t="s">
        <v>159</v>
      </c>
      <c r="D111" s="11" t="s">
        <v>263</v>
      </c>
      <c r="F111" s="37" t="n">
        <f aca="false">COUNTIF('Sales Data'!$D$2:$D$1201,A111)</f>
        <v>6</v>
      </c>
      <c r="G111" s="38" t="n">
        <f aca="false">_xlfn.MAXIFS('Sales Data'!$B$2:$B$1201,'Sales Data'!$D$2:$D$1201,A111)</f>
        <v>45999</v>
      </c>
      <c r="H111" s="37" t="n">
        <f aca="false">$Q$4-G111</f>
        <v>23</v>
      </c>
      <c r="I111" s="33" t="n">
        <f aca="false">SUMIFS('Sales Data'!$P$2:$P$1201,'Sales Data'!$D$2:$D$1201,A111)</f>
        <v>12887</v>
      </c>
      <c r="J111" s="37" t="n">
        <f aca="false">INDEX($Q$7:$Q$9,MATCH(H111,$P$7:$P$9,1))</f>
        <v>3</v>
      </c>
      <c r="K111" s="37" t="n">
        <f aca="false">INDEX($Q$12:$Q$14,MATCH(F111,$P$12:$P$14,1))</f>
        <v>2</v>
      </c>
      <c r="L111" s="37" t="n">
        <f aca="false">INDEX($Q$17:$Q$19,MATCH(I111,$P$17:$P$19,1))</f>
        <v>2</v>
      </c>
      <c r="M111" s="37" t="n">
        <f aca="false">J111+K111+L111</f>
        <v>7</v>
      </c>
      <c r="N111" s="39" t="str">
        <f aca="false">INDEX($Q$22:$Q$25,MATCH(M111,$P$22:$P$25,1))</f>
        <v>Loyal</v>
      </c>
    </row>
    <row r="112" customFormat="false" ht="15" hidden="false" customHeight="true" outlineLevel="0" collapsed="false">
      <c r="A112" s="11" t="s">
        <v>555</v>
      </c>
      <c r="B112" s="11" t="s">
        <v>556</v>
      </c>
      <c r="C112" s="11" t="s">
        <v>178</v>
      </c>
      <c r="D112" s="11" t="s">
        <v>207</v>
      </c>
      <c r="F112" s="37" t="n">
        <f aca="false">COUNTIF('Sales Data'!$D$2:$D$1201,A112)</f>
        <v>7</v>
      </c>
      <c r="G112" s="38" t="n">
        <f aca="false">_xlfn.MAXIFS('Sales Data'!$B$2:$B$1201,'Sales Data'!$D$2:$D$1201,A112)</f>
        <v>45985</v>
      </c>
      <c r="H112" s="37" t="n">
        <f aca="false">$Q$4-G112</f>
        <v>37</v>
      </c>
      <c r="I112" s="33" t="n">
        <f aca="false">SUMIFS('Sales Data'!$P$2:$P$1201,'Sales Data'!$D$2:$D$1201,A112)</f>
        <v>43535</v>
      </c>
      <c r="J112" s="37" t="n">
        <f aca="false">INDEX($Q$7:$Q$9,MATCH(H112,$P$7:$P$9,1))</f>
        <v>3</v>
      </c>
      <c r="K112" s="37" t="n">
        <f aca="false">INDEX($Q$12:$Q$14,MATCH(F112,$P$12:$P$14,1))</f>
        <v>3</v>
      </c>
      <c r="L112" s="37" t="n">
        <f aca="false">INDEX($Q$17:$Q$19,MATCH(I112,$P$17:$P$19,1))</f>
        <v>2</v>
      </c>
      <c r="M112" s="37" t="n">
        <f aca="false">J112+K112+L112</f>
        <v>8</v>
      </c>
      <c r="N112" s="39" t="str">
        <f aca="false">INDEX($Q$22:$Q$25,MATCH(M112,$P$22:$P$25,1))</f>
        <v>Champion</v>
      </c>
    </row>
    <row r="113" customFormat="false" ht="15" hidden="false" customHeight="true" outlineLevel="0" collapsed="false">
      <c r="A113" s="11" t="s">
        <v>479</v>
      </c>
      <c r="B113" s="11" t="s">
        <v>480</v>
      </c>
      <c r="C113" s="11" t="s">
        <v>178</v>
      </c>
      <c r="D113" s="11" t="s">
        <v>179</v>
      </c>
      <c r="F113" s="37" t="n">
        <f aca="false">COUNTIF('Sales Data'!$D$2:$D$1201,A113)</f>
        <v>8</v>
      </c>
      <c r="G113" s="38" t="n">
        <f aca="false">_xlfn.MAXIFS('Sales Data'!$B$2:$B$1201,'Sales Data'!$D$2:$D$1201,A113)</f>
        <v>45994</v>
      </c>
      <c r="H113" s="37" t="n">
        <f aca="false">$Q$4-G113</f>
        <v>28</v>
      </c>
      <c r="I113" s="33" t="n">
        <f aca="false">SUMIFS('Sales Data'!$P$2:$P$1201,'Sales Data'!$D$2:$D$1201,A113)</f>
        <v>22818</v>
      </c>
      <c r="J113" s="37" t="n">
        <f aca="false">INDEX($Q$7:$Q$9,MATCH(H113,$P$7:$P$9,1))</f>
        <v>3</v>
      </c>
      <c r="K113" s="37" t="n">
        <f aca="false">INDEX($Q$12:$Q$14,MATCH(F113,$P$12:$P$14,1))</f>
        <v>3</v>
      </c>
      <c r="L113" s="37" t="n">
        <f aca="false">INDEX($Q$17:$Q$19,MATCH(I113,$P$17:$P$19,1))</f>
        <v>2</v>
      </c>
      <c r="M113" s="37" t="n">
        <f aca="false">J113+K113+L113</f>
        <v>8</v>
      </c>
      <c r="N113" s="39" t="str">
        <f aca="false">INDEX($Q$22:$Q$25,MATCH(M113,$P$22:$P$25,1))</f>
        <v>Champion</v>
      </c>
    </row>
    <row r="114" customFormat="false" ht="15" hidden="false" customHeight="true" outlineLevel="0" collapsed="false">
      <c r="A114" s="11" t="s">
        <v>920</v>
      </c>
      <c r="B114" s="11" t="s">
        <v>921</v>
      </c>
      <c r="C114" s="11" t="s">
        <v>159</v>
      </c>
      <c r="D114" s="11" t="s">
        <v>170</v>
      </c>
      <c r="F114" s="37" t="n">
        <f aca="false">COUNTIF('Sales Data'!$D$2:$D$1201,A114)</f>
        <v>8</v>
      </c>
      <c r="G114" s="38" t="n">
        <f aca="false">_xlfn.MAXIFS('Sales Data'!$B$2:$B$1201,'Sales Data'!$D$2:$D$1201,A114)</f>
        <v>46000</v>
      </c>
      <c r="H114" s="37" t="n">
        <f aca="false">$Q$4-G114</f>
        <v>22</v>
      </c>
      <c r="I114" s="33" t="n">
        <f aca="false">SUMIFS('Sales Data'!$P$2:$P$1201,'Sales Data'!$D$2:$D$1201,A114)</f>
        <v>17546</v>
      </c>
      <c r="J114" s="37" t="n">
        <f aca="false">INDEX($Q$7:$Q$9,MATCH(H114,$P$7:$P$9,1))</f>
        <v>3</v>
      </c>
      <c r="K114" s="37" t="n">
        <f aca="false">INDEX($Q$12:$Q$14,MATCH(F114,$P$12:$P$14,1))</f>
        <v>3</v>
      </c>
      <c r="L114" s="37" t="n">
        <f aca="false">INDEX($Q$17:$Q$19,MATCH(I114,$P$17:$P$19,1))</f>
        <v>2</v>
      </c>
      <c r="M114" s="37" t="n">
        <f aca="false">J114+K114+L114</f>
        <v>8</v>
      </c>
      <c r="N114" s="39" t="str">
        <f aca="false">INDEX($Q$22:$Q$25,MATCH(M114,$P$22:$P$25,1))</f>
        <v>Champion</v>
      </c>
    </row>
    <row r="115" customFormat="false" ht="15" hidden="false" customHeight="true" outlineLevel="0" collapsed="false">
      <c r="A115" s="11" t="s">
        <v>1093</v>
      </c>
      <c r="B115" s="11" t="s">
        <v>1094</v>
      </c>
      <c r="C115" s="11" t="s">
        <v>219</v>
      </c>
      <c r="D115" s="11" t="s">
        <v>269</v>
      </c>
      <c r="F115" s="37" t="n">
        <f aca="false">COUNTIF('Sales Data'!$D$2:$D$1201,A115)</f>
        <v>2</v>
      </c>
      <c r="G115" s="38" t="n">
        <f aca="false">_xlfn.MAXIFS('Sales Data'!$B$2:$B$1201,'Sales Data'!$D$2:$D$1201,A115)</f>
        <v>46008</v>
      </c>
      <c r="H115" s="37" t="n">
        <f aca="false">$Q$4-G115</f>
        <v>14</v>
      </c>
      <c r="I115" s="33" t="n">
        <f aca="false">SUMIFS('Sales Data'!$P$2:$P$1201,'Sales Data'!$D$2:$D$1201,A115)</f>
        <v>14395</v>
      </c>
      <c r="J115" s="37" t="n">
        <f aca="false">INDEX($Q$7:$Q$9,MATCH(H115,$P$7:$P$9,1))</f>
        <v>3</v>
      </c>
      <c r="K115" s="37" t="n">
        <f aca="false">INDEX($Q$12:$Q$14,MATCH(F115,$P$12:$P$14,1))</f>
        <v>1</v>
      </c>
      <c r="L115" s="37" t="n">
        <f aca="false">INDEX($Q$17:$Q$19,MATCH(I115,$P$17:$P$19,1))</f>
        <v>2</v>
      </c>
      <c r="M115" s="37" t="n">
        <f aca="false">J115+K115+L115</f>
        <v>6</v>
      </c>
      <c r="N115" s="39" t="str">
        <f aca="false">INDEX($Q$22:$Q$25,MATCH(M115,$P$22:$P$25,1))</f>
        <v>Loyal</v>
      </c>
    </row>
    <row r="116" customFormat="false" ht="15" hidden="false" customHeight="true" outlineLevel="0" collapsed="false">
      <c r="A116" s="11" t="s">
        <v>403</v>
      </c>
      <c r="B116" s="11" t="s">
        <v>404</v>
      </c>
      <c r="C116" s="11" t="s">
        <v>219</v>
      </c>
      <c r="D116" s="11" t="s">
        <v>191</v>
      </c>
      <c r="F116" s="37" t="n">
        <f aca="false">COUNTIF('Sales Data'!$D$2:$D$1201,A116)</f>
        <v>9</v>
      </c>
      <c r="G116" s="38" t="n">
        <f aca="false">_xlfn.MAXIFS('Sales Data'!$B$2:$B$1201,'Sales Data'!$D$2:$D$1201,A116)</f>
        <v>46014</v>
      </c>
      <c r="H116" s="37" t="n">
        <f aca="false">$Q$4-G116</f>
        <v>8</v>
      </c>
      <c r="I116" s="33" t="n">
        <f aca="false">SUMIFS('Sales Data'!$P$2:$P$1201,'Sales Data'!$D$2:$D$1201,A116)</f>
        <v>61182</v>
      </c>
      <c r="J116" s="37" t="n">
        <f aca="false">INDEX($Q$7:$Q$9,MATCH(H116,$P$7:$P$9,1))</f>
        <v>3</v>
      </c>
      <c r="K116" s="37" t="n">
        <f aca="false">INDEX($Q$12:$Q$14,MATCH(F116,$P$12:$P$14,1))</f>
        <v>3</v>
      </c>
      <c r="L116" s="37" t="n">
        <f aca="false">INDEX($Q$17:$Q$19,MATCH(I116,$P$17:$P$19,1))</f>
        <v>3</v>
      </c>
      <c r="M116" s="37" t="n">
        <f aca="false">J116+K116+L116</f>
        <v>9</v>
      </c>
      <c r="N116" s="39" t="str">
        <f aca="false">INDEX($Q$22:$Q$25,MATCH(M116,$P$22:$P$25,1))</f>
        <v>Champion</v>
      </c>
    </row>
    <row r="117" customFormat="false" ht="15" hidden="false" customHeight="true" outlineLevel="0" collapsed="false">
      <c r="A117" s="11" t="s">
        <v>648</v>
      </c>
      <c r="B117" s="11" t="s">
        <v>649</v>
      </c>
      <c r="C117" s="11" t="s">
        <v>159</v>
      </c>
      <c r="D117" s="11" t="s">
        <v>161</v>
      </c>
      <c r="F117" s="37" t="n">
        <f aca="false">COUNTIF('Sales Data'!$D$2:$D$1201,A117)</f>
        <v>11</v>
      </c>
      <c r="G117" s="38" t="n">
        <f aca="false">_xlfn.MAXIFS('Sales Data'!$B$2:$B$1201,'Sales Data'!$D$2:$D$1201,A117)</f>
        <v>45981</v>
      </c>
      <c r="H117" s="37" t="n">
        <f aca="false">$Q$4-G117</f>
        <v>41</v>
      </c>
      <c r="I117" s="33" t="n">
        <f aca="false">SUMIFS('Sales Data'!$P$2:$P$1201,'Sales Data'!$D$2:$D$1201,A117)</f>
        <v>43504</v>
      </c>
      <c r="J117" s="37" t="n">
        <f aca="false">INDEX($Q$7:$Q$9,MATCH(H117,$P$7:$P$9,1))</f>
        <v>3</v>
      </c>
      <c r="K117" s="37" t="n">
        <f aca="false">INDEX($Q$12:$Q$14,MATCH(F117,$P$12:$P$14,1))</f>
        <v>3</v>
      </c>
      <c r="L117" s="37" t="n">
        <f aca="false">INDEX($Q$17:$Q$19,MATCH(I117,$P$17:$P$19,1))</f>
        <v>2</v>
      </c>
      <c r="M117" s="37" t="n">
        <f aca="false">J117+K117+L117</f>
        <v>8</v>
      </c>
      <c r="N117" s="39" t="str">
        <f aca="false">INDEX($Q$22:$Q$25,MATCH(M117,$P$22:$P$25,1))</f>
        <v>Champion</v>
      </c>
    </row>
    <row r="118" customFormat="false" ht="15" hidden="false" customHeight="true" outlineLevel="0" collapsed="false">
      <c r="A118" s="11" t="s">
        <v>861</v>
      </c>
      <c r="B118" s="11" t="s">
        <v>862</v>
      </c>
      <c r="C118" s="11" t="s">
        <v>219</v>
      </c>
      <c r="D118" s="11" t="s">
        <v>179</v>
      </c>
      <c r="F118" s="37" t="n">
        <f aca="false">COUNTIF('Sales Data'!$D$2:$D$1201,A118)</f>
        <v>3</v>
      </c>
      <c r="G118" s="38" t="n">
        <f aca="false">_xlfn.MAXIFS('Sales Data'!$B$2:$B$1201,'Sales Data'!$D$2:$D$1201,A118)</f>
        <v>45945</v>
      </c>
      <c r="H118" s="37" t="n">
        <f aca="false">$Q$4-G118</f>
        <v>77</v>
      </c>
      <c r="I118" s="33" t="n">
        <f aca="false">SUMIFS('Sales Data'!$P$2:$P$1201,'Sales Data'!$D$2:$D$1201,A118)</f>
        <v>12056</v>
      </c>
      <c r="J118" s="37" t="n">
        <f aca="false">INDEX($Q$7:$Q$9,MATCH(H118,$P$7:$P$9,1))</f>
        <v>2</v>
      </c>
      <c r="K118" s="37" t="n">
        <f aca="false">INDEX($Q$12:$Q$14,MATCH(F118,$P$12:$P$14,1))</f>
        <v>2</v>
      </c>
      <c r="L118" s="37" t="n">
        <f aca="false">INDEX($Q$17:$Q$19,MATCH(I118,$P$17:$P$19,1))</f>
        <v>2</v>
      </c>
      <c r="M118" s="37" t="n">
        <f aca="false">J118+K118+L118</f>
        <v>6</v>
      </c>
      <c r="N118" s="39" t="str">
        <f aca="false">INDEX($Q$22:$Q$25,MATCH(M118,$P$22:$P$25,1))</f>
        <v>Loyal</v>
      </c>
    </row>
    <row r="119" customFormat="false" ht="15" hidden="false" customHeight="true" outlineLevel="0" collapsed="false">
      <c r="A119" s="11" t="s">
        <v>299</v>
      </c>
      <c r="B119" s="11" t="s">
        <v>300</v>
      </c>
      <c r="C119" s="11" t="s">
        <v>159</v>
      </c>
      <c r="D119" s="11" t="s">
        <v>269</v>
      </c>
      <c r="F119" s="37" t="n">
        <f aca="false">COUNTIF('Sales Data'!$D$2:$D$1201,A119)</f>
        <v>3</v>
      </c>
      <c r="G119" s="38" t="n">
        <f aca="false">_xlfn.MAXIFS('Sales Data'!$B$2:$B$1201,'Sales Data'!$D$2:$D$1201,A119)</f>
        <v>46020</v>
      </c>
      <c r="H119" s="37" t="n">
        <f aca="false">$Q$4-G119</f>
        <v>2</v>
      </c>
      <c r="I119" s="33" t="n">
        <f aca="false">SUMIFS('Sales Data'!$P$2:$P$1201,'Sales Data'!$D$2:$D$1201,A119)</f>
        <v>19792</v>
      </c>
      <c r="J119" s="37" t="n">
        <f aca="false">INDEX($Q$7:$Q$9,MATCH(H119,$P$7:$P$9,1))</f>
        <v>3</v>
      </c>
      <c r="K119" s="37" t="n">
        <f aca="false">INDEX($Q$12:$Q$14,MATCH(F119,$P$12:$P$14,1))</f>
        <v>2</v>
      </c>
      <c r="L119" s="37" t="n">
        <f aca="false">INDEX($Q$17:$Q$19,MATCH(I119,$P$17:$P$19,1))</f>
        <v>2</v>
      </c>
      <c r="M119" s="37" t="n">
        <f aca="false">J119+K119+L119</f>
        <v>7</v>
      </c>
      <c r="N119" s="39" t="str">
        <f aca="false">INDEX($Q$22:$Q$25,MATCH(M119,$P$22:$P$25,1))</f>
        <v>Loyal</v>
      </c>
    </row>
    <row r="120" customFormat="false" ht="15" hidden="false" customHeight="true" outlineLevel="0" collapsed="false">
      <c r="A120" s="11" t="s">
        <v>488</v>
      </c>
      <c r="B120" s="11" t="s">
        <v>489</v>
      </c>
      <c r="C120" s="11" t="s">
        <v>159</v>
      </c>
      <c r="D120" s="11" t="s">
        <v>207</v>
      </c>
      <c r="F120" s="37" t="n">
        <f aca="false">COUNTIF('Sales Data'!$D$2:$D$1201,A120)</f>
        <v>7</v>
      </c>
      <c r="G120" s="38" t="n">
        <f aca="false">_xlfn.MAXIFS('Sales Data'!$B$2:$B$1201,'Sales Data'!$D$2:$D$1201,A120)</f>
        <v>45980</v>
      </c>
      <c r="H120" s="37" t="n">
        <f aca="false">$Q$4-G120</f>
        <v>42</v>
      </c>
      <c r="I120" s="33" t="n">
        <f aca="false">SUMIFS('Sales Data'!$P$2:$P$1201,'Sales Data'!$D$2:$D$1201,A120)</f>
        <v>25194</v>
      </c>
      <c r="J120" s="37" t="n">
        <f aca="false">INDEX($Q$7:$Q$9,MATCH(H120,$P$7:$P$9,1))</f>
        <v>3</v>
      </c>
      <c r="K120" s="37" t="n">
        <f aca="false">INDEX($Q$12:$Q$14,MATCH(F120,$P$12:$P$14,1))</f>
        <v>3</v>
      </c>
      <c r="L120" s="37" t="n">
        <f aca="false">INDEX($Q$17:$Q$19,MATCH(I120,$P$17:$P$19,1))</f>
        <v>2</v>
      </c>
      <c r="M120" s="37" t="n">
        <f aca="false">J120+K120+L120</f>
        <v>8</v>
      </c>
      <c r="N120" s="39" t="str">
        <f aca="false">INDEX($Q$22:$Q$25,MATCH(M120,$P$22:$P$25,1))</f>
        <v>Champion</v>
      </c>
    </row>
    <row r="121" customFormat="false" ht="15" hidden="false" customHeight="true" outlineLevel="0" collapsed="false">
      <c r="A121" s="11" t="s">
        <v>708</v>
      </c>
      <c r="B121" s="11" t="s">
        <v>709</v>
      </c>
      <c r="C121" s="11" t="s">
        <v>219</v>
      </c>
      <c r="D121" s="11" t="s">
        <v>191</v>
      </c>
      <c r="F121" s="37" t="n">
        <f aca="false">COUNTIF('Sales Data'!$D$2:$D$1201,A121)</f>
        <v>3</v>
      </c>
      <c r="G121" s="38" t="n">
        <f aca="false">_xlfn.MAXIFS('Sales Data'!$B$2:$B$1201,'Sales Data'!$D$2:$D$1201,A121)</f>
        <v>46008</v>
      </c>
      <c r="H121" s="37" t="n">
        <f aca="false">$Q$4-G121</f>
        <v>14</v>
      </c>
      <c r="I121" s="33" t="n">
        <f aca="false">SUMIFS('Sales Data'!$P$2:$P$1201,'Sales Data'!$D$2:$D$1201,A121)</f>
        <v>29395</v>
      </c>
      <c r="J121" s="37" t="n">
        <f aca="false">INDEX($Q$7:$Q$9,MATCH(H121,$P$7:$P$9,1))</f>
        <v>3</v>
      </c>
      <c r="K121" s="37" t="n">
        <f aca="false">INDEX($Q$12:$Q$14,MATCH(F121,$P$12:$P$14,1))</f>
        <v>2</v>
      </c>
      <c r="L121" s="37" t="n">
        <f aca="false">INDEX($Q$17:$Q$19,MATCH(I121,$P$17:$P$19,1))</f>
        <v>2</v>
      </c>
      <c r="M121" s="37" t="n">
        <f aca="false">J121+K121+L121</f>
        <v>7</v>
      </c>
      <c r="N121" s="39" t="str">
        <f aca="false">INDEX($Q$22:$Q$25,MATCH(M121,$P$22:$P$25,1))</f>
        <v>Loyal</v>
      </c>
    </row>
    <row r="122" customFormat="false" ht="15" hidden="false" customHeight="true" outlineLevel="0" collapsed="false">
      <c r="A122" s="11" t="s">
        <v>635</v>
      </c>
      <c r="B122" s="11" t="s">
        <v>636</v>
      </c>
      <c r="C122" s="11" t="s">
        <v>159</v>
      </c>
      <c r="D122" s="11" t="s">
        <v>324</v>
      </c>
      <c r="F122" s="37" t="n">
        <f aca="false">COUNTIF('Sales Data'!$D$2:$D$1201,A122)</f>
        <v>6</v>
      </c>
      <c r="G122" s="38" t="n">
        <f aca="false">_xlfn.MAXIFS('Sales Data'!$B$2:$B$1201,'Sales Data'!$D$2:$D$1201,A122)</f>
        <v>45945</v>
      </c>
      <c r="H122" s="37" t="n">
        <f aca="false">$Q$4-G122</f>
        <v>77</v>
      </c>
      <c r="I122" s="33" t="n">
        <f aca="false">SUMIFS('Sales Data'!$P$2:$P$1201,'Sales Data'!$D$2:$D$1201,A122)</f>
        <v>21294</v>
      </c>
      <c r="J122" s="37" t="n">
        <f aca="false">INDEX($Q$7:$Q$9,MATCH(H122,$P$7:$P$9,1))</f>
        <v>2</v>
      </c>
      <c r="K122" s="37" t="n">
        <f aca="false">INDEX($Q$12:$Q$14,MATCH(F122,$P$12:$P$14,1))</f>
        <v>2</v>
      </c>
      <c r="L122" s="37" t="n">
        <f aca="false">INDEX($Q$17:$Q$19,MATCH(I122,$P$17:$P$19,1))</f>
        <v>2</v>
      </c>
      <c r="M122" s="37" t="n">
        <f aca="false">J122+K122+L122</f>
        <v>6</v>
      </c>
      <c r="N122" s="39" t="str">
        <f aca="false">INDEX($Q$22:$Q$25,MATCH(M122,$P$22:$P$25,1))</f>
        <v>Loyal</v>
      </c>
    </row>
    <row r="123" customFormat="false" ht="15" hidden="false" customHeight="true" outlineLevel="0" collapsed="false">
      <c r="A123" s="11" t="s">
        <v>1620</v>
      </c>
      <c r="B123" s="11" t="s">
        <v>1621</v>
      </c>
      <c r="C123" s="11" t="s">
        <v>219</v>
      </c>
      <c r="D123" s="11" t="s">
        <v>269</v>
      </c>
      <c r="F123" s="37" t="n">
        <f aca="false">COUNTIF('Sales Data'!$D$2:$D$1201,A123)</f>
        <v>2</v>
      </c>
      <c r="G123" s="38" t="n">
        <f aca="false">_xlfn.MAXIFS('Sales Data'!$B$2:$B$1201,'Sales Data'!$D$2:$D$1201,A123)</f>
        <v>45980</v>
      </c>
      <c r="H123" s="37" t="n">
        <f aca="false">$Q$4-G123</f>
        <v>42</v>
      </c>
      <c r="I123" s="33" t="n">
        <f aca="false">SUMIFS('Sales Data'!$P$2:$P$1201,'Sales Data'!$D$2:$D$1201,A123)</f>
        <v>4326</v>
      </c>
      <c r="J123" s="37" t="n">
        <f aca="false">INDEX($Q$7:$Q$9,MATCH(H123,$P$7:$P$9,1))</f>
        <v>3</v>
      </c>
      <c r="K123" s="37" t="n">
        <f aca="false">INDEX($Q$12:$Q$14,MATCH(F123,$P$12:$P$14,1))</f>
        <v>1</v>
      </c>
      <c r="L123" s="37" t="n">
        <f aca="false">INDEX($Q$17:$Q$19,MATCH(I123,$P$17:$P$19,1))</f>
        <v>1</v>
      </c>
      <c r="M123" s="37" t="n">
        <f aca="false">J123+K123+L123</f>
        <v>5</v>
      </c>
      <c r="N123" s="39" t="str">
        <f aca="false">INDEX($Q$22:$Q$25,MATCH(M123,$P$22:$P$25,1))</f>
        <v>At Risk</v>
      </c>
    </row>
    <row r="124" customFormat="false" ht="15" hidden="false" customHeight="true" outlineLevel="0" collapsed="false">
      <c r="A124" s="11" t="s">
        <v>258</v>
      </c>
      <c r="B124" s="11" t="s">
        <v>259</v>
      </c>
      <c r="C124" s="11" t="s">
        <v>159</v>
      </c>
      <c r="D124" s="11" t="s">
        <v>207</v>
      </c>
      <c r="F124" s="37" t="n">
        <f aca="false">COUNTIF('Sales Data'!$D$2:$D$1201,A124)</f>
        <v>8</v>
      </c>
      <c r="G124" s="38" t="n">
        <f aca="false">_xlfn.MAXIFS('Sales Data'!$B$2:$B$1201,'Sales Data'!$D$2:$D$1201,A124)</f>
        <v>45999</v>
      </c>
      <c r="H124" s="37" t="n">
        <f aca="false">$Q$4-G124</f>
        <v>23</v>
      </c>
      <c r="I124" s="33" t="n">
        <f aca="false">SUMIFS('Sales Data'!$P$2:$P$1201,'Sales Data'!$D$2:$D$1201,A124)</f>
        <v>34748</v>
      </c>
      <c r="J124" s="37" t="n">
        <f aca="false">INDEX($Q$7:$Q$9,MATCH(H124,$P$7:$P$9,1))</f>
        <v>3</v>
      </c>
      <c r="K124" s="37" t="n">
        <f aca="false">INDEX($Q$12:$Q$14,MATCH(F124,$P$12:$P$14,1))</f>
        <v>3</v>
      </c>
      <c r="L124" s="37" t="n">
        <f aca="false">INDEX($Q$17:$Q$19,MATCH(I124,$P$17:$P$19,1))</f>
        <v>2</v>
      </c>
      <c r="M124" s="37" t="n">
        <f aca="false">J124+K124+L124</f>
        <v>8</v>
      </c>
      <c r="N124" s="39" t="str">
        <f aca="false">INDEX($Q$22:$Q$25,MATCH(M124,$P$22:$P$25,1))</f>
        <v>Champion</v>
      </c>
    </row>
    <row r="125" customFormat="false" ht="15" hidden="false" customHeight="true" outlineLevel="0" collapsed="false">
      <c r="A125" s="11" t="s">
        <v>472</v>
      </c>
      <c r="B125" s="11" t="s">
        <v>473</v>
      </c>
      <c r="C125" s="11" t="s">
        <v>159</v>
      </c>
      <c r="D125" s="11" t="s">
        <v>324</v>
      </c>
      <c r="F125" s="37" t="n">
        <f aca="false">COUNTIF('Sales Data'!$D$2:$D$1201,A125)</f>
        <v>1</v>
      </c>
      <c r="G125" s="38" t="n">
        <f aca="false">_xlfn.MAXIFS('Sales Data'!$B$2:$B$1201,'Sales Data'!$D$2:$D$1201,A125)</f>
        <v>45690</v>
      </c>
      <c r="H125" s="37" t="n">
        <f aca="false">$Q$4-G125</f>
        <v>332</v>
      </c>
      <c r="I125" s="33" t="n">
        <f aca="false">SUMIFS('Sales Data'!$P$2:$P$1201,'Sales Data'!$D$2:$D$1201,A125)</f>
        <v>10557</v>
      </c>
      <c r="J125" s="37" t="n">
        <f aca="false">INDEX($Q$7:$Q$9,MATCH(H125,$P$7:$P$9,1))</f>
        <v>1</v>
      </c>
      <c r="K125" s="37" t="n">
        <f aca="false">INDEX($Q$12:$Q$14,MATCH(F125,$P$12:$P$14,1))</f>
        <v>1</v>
      </c>
      <c r="L125" s="37" t="n">
        <f aca="false">INDEX($Q$17:$Q$19,MATCH(I125,$P$17:$P$19,1))</f>
        <v>1</v>
      </c>
      <c r="M125" s="37" t="n">
        <f aca="false">J125+K125+L125</f>
        <v>3</v>
      </c>
      <c r="N125" s="39" t="str">
        <f aca="false">INDEX($Q$22:$Q$25,MATCH(M125,$P$22:$P$25,1))</f>
        <v>Lost</v>
      </c>
    </row>
    <row r="126" customFormat="false" ht="15" hidden="false" customHeight="true" outlineLevel="0" collapsed="false">
      <c r="A126" s="11" t="s">
        <v>280</v>
      </c>
      <c r="B126" s="11" t="s">
        <v>281</v>
      </c>
      <c r="C126" s="11" t="s">
        <v>219</v>
      </c>
      <c r="D126" s="11" t="s">
        <v>263</v>
      </c>
      <c r="F126" s="37" t="n">
        <f aca="false">COUNTIF('Sales Data'!$D$2:$D$1201,A126)</f>
        <v>3</v>
      </c>
      <c r="G126" s="38" t="n">
        <f aca="false">_xlfn.MAXIFS('Sales Data'!$B$2:$B$1201,'Sales Data'!$D$2:$D$1201,A126)</f>
        <v>45776</v>
      </c>
      <c r="H126" s="37" t="n">
        <f aca="false">$Q$4-G126</f>
        <v>246</v>
      </c>
      <c r="I126" s="33" t="n">
        <f aca="false">SUMIFS('Sales Data'!$P$2:$P$1201,'Sales Data'!$D$2:$D$1201,A126)</f>
        <v>5642</v>
      </c>
      <c r="J126" s="37" t="n">
        <f aca="false">INDEX($Q$7:$Q$9,MATCH(H126,$P$7:$P$9,1))</f>
        <v>1</v>
      </c>
      <c r="K126" s="37" t="n">
        <f aca="false">INDEX($Q$12:$Q$14,MATCH(F126,$P$12:$P$14,1))</f>
        <v>2</v>
      </c>
      <c r="L126" s="37" t="n">
        <f aca="false">INDEX($Q$17:$Q$19,MATCH(I126,$P$17:$P$19,1))</f>
        <v>1</v>
      </c>
      <c r="M126" s="37" t="n">
        <f aca="false">J126+K126+L126</f>
        <v>4</v>
      </c>
      <c r="N126" s="39" t="str">
        <f aca="false">INDEX($Q$22:$Q$25,MATCH(M126,$P$22:$P$25,1))</f>
        <v>At Risk</v>
      </c>
    </row>
    <row r="127" customFormat="false" ht="15" hidden="false" customHeight="true" outlineLevel="0" collapsed="false">
      <c r="A127" s="11" t="s">
        <v>524</v>
      </c>
      <c r="B127" s="11" t="s">
        <v>525</v>
      </c>
      <c r="C127" s="11" t="s">
        <v>159</v>
      </c>
      <c r="D127" s="11" t="s">
        <v>324</v>
      </c>
      <c r="F127" s="37" t="n">
        <f aca="false">COUNTIF('Sales Data'!$D$2:$D$1201,A127)</f>
        <v>5</v>
      </c>
      <c r="G127" s="38" t="n">
        <f aca="false">_xlfn.MAXIFS('Sales Data'!$B$2:$B$1201,'Sales Data'!$D$2:$D$1201,A127)</f>
        <v>45960</v>
      </c>
      <c r="H127" s="37" t="n">
        <f aca="false">$Q$4-G127</f>
        <v>62</v>
      </c>
      <c r="I127" s="33" t="n">
        <f aca="false">SUMIFS('Sales Data'!$P$2:$P$1201,'Sales Data'!$D$2:$D$1201,A127)</f>
        <v>43086</v>
      </c>
      <c r="J127" s="37" t="n">
        <f aca="false">INDEX($Q$7:$Q$9,MATCH(H127,$P$7:$P$9,1))</f>
        <v>2</v>
      </c>
      <c r="K127" s="37" t="n">
        <f aca="false">INDEX($Q$12:$Q$14,MATCH(F127,$P$12:$P$14,1))</f>
        <v>2</v>
      </c>
      <c r="L127" s="37" t="n">
        <f aca="false">INDEX($Q$17:$Q$19,MATCH(I127,$P$17:$P$19,1))</f>
        <v>2</v>
      </c>
      <c r="M127" s="37" t="n">
        <f aca="false">J127+K127+L127</f>
        <v>6</v>
      </c>
      <c r="N127" s="39" t="str">
        <f aca="false">INDEX($Q$22:$Q$25,MATCH(M127,$P$22:$P$25,1))</f>
        <v>Loyal</v>
      </c>
    </row>
    <row r="128" customFormat="false" ht="15" hidden="false" customHeight="true" outlineLevel="0" collapsed="false">
      <c r="A128" s="11" t="s">
        <v>719</v>
      </c>
      <c r="B128" s="11" t="s">
        <v>720</v>
      </c>
      <c r="C128" s="11" t="s">
        <v>159</v>
      </c>
      <c r="D128" s="11" t="s">
        <v>324</v>
      </c>
      <c r="F128" s="37" t="n">
        <f aca="false">COUNTIF('Sales Data'!$D$2:$D$1201,A128)</f>
        <v>4</v>
      </c>
      <c r="G128" s="38" t="n">
        <f aca="false">_xlfn.MAXIFS('Sales Data'!$B$2:$B$1201,'Sales Data'!$D$2:$D$1201,A128)</f>
        <v>45973</v>
      </c>
      <c r="H128" s="37" t="n">
        <f aca="false">$Q$4-G128</f>
        <v>49</v>
      </c>
      <c r="I128" s="33" t="n">
        <f aca="false">SUMIFS('Sales Data'!$P$2:$P$1201,'Sales Data'!$D$2:$D$1201,A128)</f>
        <v>6989</v>
      </c>
      <c r="J128" s="37" t="n">
        <f aca="false">INDEX($Q$7:$Q$9,MATCH(H128,$P$7:$P$9,1))</f>
        <v>2</v>
      </c>
      <c r="K128" s="37" t="n">
        <f aca="false">INDEX($Q$12:$Q$14,MATCH(F128,$P$12:$P$14,1))</f>
        <v>2</v>
      </c>
      <c r="L128" s="37" t="n">
        <f aca="false">INDEX($Q$17:$Q$19,MATCH(I128,$P$17:$P$19,1))</f>
        <v>1</v>
      </c>
      <c r="M128" s="37" t="n">
        <f aca="false">J128+K128+L128</f>
        <v>5</v>
      </c>
      <c r="N128" s="39" t="str">
        <f aca="false">INDEX($Q$22:$Q$25,MATCH(M128,$P$22:$P$25,1))</f>
        <v>At Risk</v>
      </c>
    </row>
    <row r="129" customFormat="false" ht="15" hidden="false" customHeight="true" outlineLevel="0" collapsed="false">
      <c r="A129" s="11" t="s">
        <v>517</v>
      </c>
      <c r="B129" s="11" t="s">
        <v>518</v>
      </c>
      <c r="C129" s="11" t="s">
        <v>159</v>
      </c>
      <c r="D129" s="11" t="s">
        <v>207</v>
      </c>
      <c r="F129" s="37" t="n">
        <f aca="false">COUNTIF('Sales Data'!$D$2:$D$1201,A129)</f>
        <v>3</v>
      </c>
      <c r="G129" s="38" t="n">
        <f aca="false">_xlfn.MAXIFS('Sales Data'!$B$2:$B$1201,'Sales Data'!$D$2:$D$1201,A129)</f>
        <v>45968</v>
      </c>
      <c r="H129" s="37" t="n">
        <f aca="false">$Q$4-G129</f>
        <v>54</v>
      </c>
      <c r="I129" s="33" t="n">
        <f aca="false">SUMIFS('Sales Data'!$P$2:$P$1201,'Sales Data'!$D$2:$D$1201,A129)</f>
        <v>4456</v>
      </c>
      <c r="J129" s="37" t="n">
        <f aca="false">INDEX($Q$7:$Q$9,MATCH(H129,$P$7:$P$9,1))</f>
        <v>2</v>
      </c>
      <c r="K129" s="37" t="n">
        <f aca="false">INDEX($Q$12:$Q$14,MATCH(F129,$P$12:$P$14,1))</f>
        <v>2</v>
      </c>
      <c r="L129" s="37" t="n">
        <f aca="false">INDEX($Q$17:$Q$19,MATCH(I129,$P$17:$P$19,1))</f>
        <v>1</v>
      </c>
      <c r="M129" s="37" t="n">
        <f aca="false">J129+K129+L129</f>
        <v>5</v>
      </c>
      <c r="N129" s="39" t="str">
        <f aca="false">INDEX($Q$22:$Q$25,MATCH(M129,$P$22:$P$25,1))</f>
        <v>At Risk</v>
      </c>
    </row>
    <row r="130" customFormat="false" ht="15" hidden="false" customHeight="true" outlineLevel="0" collapsed="false">
      <c r="A130" s="11" t="s">
        <v>911</v>
      </c>
      <c r="B130" s="11" t="s">
        <v>912</v>
      </c>
      <c r="C130" s="11" t="s">
        <v>178</v>
      </c>
      <c r="D130" s="11" t="s">
        <v>269</v>
      </c>
      <c r="F130" s="37" t="n">
        <f aca="false">COUNTIF('Sales Data'!$D$2:$D$1201,A130)</f>
        <v>1</v>
      </c>
      <c r="G130" s="38" t="n">
        <f aca="false">_xlfn.MAXIFS('Sales Data'!$B$2:$B$1201,'Sales Data'!$D$2:$D$1201,A130)</f>
        <v>45788</v>
      </c>
      <c r="H130" s="37" t="n">
        <f aca="false">$Q$4-G130</f>
        <v>234</v>
      </c>
      <c r="I130" s="33" t="n">
        <f aca="false">SUMIFS('Sales Data'!$P$2:$P$1201,'Sales Data'!$D$2:$D$1201,A130)</f>
        <v>3499</v>
      </c>
      <c r="J130" s="37" t="n">
        <f aca="false">INDEX($Q$7:$Q$9,MATCH(H130,$P$7:$P$9,1))</f>
        <v>1</v>
      </c>
      <c r="K130" s="37" t="n">
        <f aca="false">INDEX($Q$12:$Q$14,MATCH(F130,$P$12:$P$14,1))</f>
        <v>1</v>
      </c>
      <c r="L130" s="37" t="n">
        <f aca="false">INDEX($Q$17:$Q$19,MATCH(I130,$P$17:$P$19,1))</f>
        <v>1</v>
      </c>
      <c r="M130" s="37" t="n">
        <f aca="false">J130+K130+L130</f>
        <v>3</v>
      </c>
      <c r="N130" s="39" t="str">
        <f aca="false">INDEX($Q$22:$Q$25,MATCH(M130,$P$22:$P$25,1))</f>
        <v>Lost</v>
      </c>
    </row>
    <row r="131" customFormat="false" ht="15" hidden="false" customHeight="true" outlineLevel="0" collapsed="false">
      <c r="A131" s="11" t="s">
        <v>1200</v>
      </c>
      <c r="B131" s="11" t="s">
        <v>1201</v>
      </c>
      <c r="C131" s="11" t="s">
        <v>159</v>
      </c>
      <c r="D131" s="11" t="s">
        <v>161</v>
      </c>
      <c r="F131" s="37" t="n">
        <f aca="false">COUNTIF('Sales Data'!$D$2:$D$1201,A131)</f>
        <v>1</v>
      </c>
      <c r="G131" s="38" t="n">
        <f aca="false">_xlfn.MAXIFS('Sales Data'!$B$2:$B$1201,'Sales Data'!$D$2:$D$1201,A131)</f>
        <v>45858</v>
      </c>
      <c r="H131" s="37" t="n">
        <f aca="false">$Q$4-G131</f>
        <v>164</v>
      </c>
      <c r="I131" s="33" t="n">
        <f aca="false">SUMIFS('Sales Data'!$P$2:$P$1201,'Sales Data'!$D$2:$D$1201,A131)</f>
        <v>20896</v>
      </c>
      <c r="J131" s="37" t="n">
        <f aca="false">INDEX($Q$7:$Q$9,MATCH(H131,$P$7:$P$9,1))</f>
        <v>1</v>
      </c>
      <c r="K131" s="37" t="n">
        <f aca="false">INDEX($Q$12:$Q$14,MATCH(F131,$P$12:$P$14,1))</f>
        <v>1</v>
      </c>
      <c r="L131" s="37" t="n">
        <f aca="false">INDEX($Q$17:$Q$19,MATCH(I131,$P$17:$P$19,1))</f>
        <v>2</v>
      </c>
      <c r="M131" s="37" t="n">
        <f aca="false">J131+K131+L131</f>
        <v>4</v>
      </c>
      <c r="N131" s="39" t="str">
        <f aca="false">INDEX($Q$22:$Q$25,MATCH(M131,$P$22:$P$25,1))</f>
        <v>At Risk</v>
      </c>
    </row>
    <row r="132" customFormat="false" ht="15" hidden="false" customHeight="true" outlineLevel="0" collapsed="false">
      <c r="A132" s="11" t="s">
        <v>1324</v>
      </c>
      <c r="B132" s="11" t="s">
        <v>1325</v>
      </c>
      <c r="C132" s="11" t="s">
        <v>178</v>
      </c>
      <c r="D132" s="11" t="s">
        <v>269</v>
      </c>
      <c r="F132" s="37" t="n">
        <f aca="false">COUNTIF('Sales Data'!$D$2:$D$1201,A132)</f>
        <v>2</v>
      </c>
      <c r="G132" s="38" t="n">
        <f aca="false">_xlfn.MAXIFS('Sales Data'!$B$2:$B$1201,'Sales Data'!$D$2:$D$1201,A132)</f>
        <v>45958</v>
      </c>
      <c r="H132" s="37" t="n">
        <f aca="false">$Q$4-G132</f>
        <v>64</v>
      </c>
      <c r="I132" s="33" t="n">
        <f aca="false">SUMIFS('Sales Data'!$P$2:$P$1201,'Sales Data'!$D$2:$D$1201,A132)</f>
        <v>4056</v>
      </c>
      <c r="J132" s="37" t="n">
        <f aca="false">INDEX($Q$7:$Q$9,MATCH(H132,$P$7:$P$9,1))</f>
        <v>2</v>
      </c>
      <c r="K132" s="37" t="n">
        <f aca="false">INDEX($Q$12:$Q$14,MATCH(F132,$P$12:$P$14,1))</f>
        <v>1</v>
      </c>
      <c r="L132" s="37" t="n">
        <f aca="false">INDEX($Q$17:$Q$19,MATCH(I132,$P$17:$P$19,1))</f>
        <v>1</v>
      </c>
      <c r="M132" s="37" t="n">
        <f aca="false">J132+K132+L132</f>
        <v>4</v>
      </c>
      <c r="N132" s="39" t="str">
        <f aca="false">INDEX($Q$22:$Q$25,MATCH(M132,$P$22:$P$25,1))</f>
        <v>At Risk</v>
      </c>
    </row>
    <row r="133" customFormat="false" ht="15" hidden="false" customHeight="true" outlineLevel="0" collapsed="false">
      <c r="A133" s="11" t="s">
        <v>571</v>
      </c>
      <c r="B133" s="11" t="s">
        <v>572</v>
      </c>
      <c r="C133" s="11" t="s">
        <v>159</v>
      </c>
      <c r="D133" s="11" t="s">
        <v>269</v>
      </c>
      <c r="F133" s="37" t="n">
        <f aca="false">COUNTIF('Sales Data'!$D$2:$D$1201,A133)</f>
        <v>8</v>
      </c>
      <c r="G133" s="38" t="n">
        <f aca="false">_xlfn.MAXIFS('Sales Data'!$B$2:$B$1201,'Sales Data'!$D$2:$D$1201,A133)</f>
        <v>45937</v>
      </c>
      <c r="H133" s="37" t="n">
        <f aca="false">$Q$4-G133</f>
        <v>85</v>
      </c>
      <c r="I133" s="33" t="n">
        <f aca="false">SUMIFS('Sales Data'!$P$2:$P$1201,'Sales Data'!$D$2:$D$1201,A133)</f>
        <v>42060</v>
      </c>
      <c r="J133" s="37" t="n">
        <f aca="false">INDEX($Q$7:$Q$9,MATCH(H133,$P$7:$P$9,1))</f>
        <v>2</v>
      </c>
      <c r="K133" s="37" t="n">
        <f aca="false">INDEX($Q$12:$Q$14,MATCH(F133,$P$12:$P$14,1))</f>
        <v>3</v>
      </c>
      <c r="L133" s="37" t="n">
        <f aca="false">INDEX($Q$17:$Q$19,MATCH(I133,$P$17:$P$19,1))</f>
        <v>2</v>
      </c>
      <c r="M133" s="37" t="n">
        <f aca="false">J133+K133+L133</f>
        <v>7</v>
      </c>
      <c r="N133" s="39" t="str">
        <f aca="false">INDEX($Q$22:$Q$25,MATCH(M133,$P$22:$P$25,1))</f>
        <v>Loyal</v>
      </c>
    </row>
    <row r="134" customFormat="false" ht="15" hidden="false" customHeight="true" outlineLevel="0" collapsed="false">
      <c r="A134" s="11" t="s">
        <v>675</v>
      </c>
      <c r="B134" s="11" t="s">
        <v>676</v>
      </c>
      <c r="C134" s="11" t="s">
        <v>159</v>
      </c>
      <c r="D134" s="11" t="s">
        <v>170</v>
      </c>
      <c r="F134" s="37" t="n">
        <f aca="false">COUNTIF('Sales Data'!$D$2:$D$1201,A134)</f>
        <v>8</v>
      </c>
      <c r="G134" s="38" t="n">
        <f aca="false">_xlfn.MAXIFS('Sales Data'!$B$2:$B$1201,'Sales Data'!$D$2:$D$1201,A134)</f>
        <v>45983</v>
      </c>
      <c r="H134" s="37" t="n">
        <f aca="false">$Q$4-G134</f>
        <v>39</v>
      </c>
      <c r="I134" s="33" t="n">
        <f aca="false">SUMIFS('Sales Data'!$P$2:$P$1201,'Sales Data'!$D$2:$D$1201,A134)</f>
        <v>61492</v>
      </c>
      <c r="J134" s="37" t="n">
        <f aca="false">INDEX($Q$7:$Q$9,MATCH(H134,$P$7:$P$9,1))</f>
        <v>3</v>
      </c>
      <c r="K134" s="37" t="n">
        <f aca="false">INDEX($Q$12:$Q$14,MATCH(F134,$P$12:$P$14,1))</f>
        <v>3</v>
      </c>
      <c r="L134" s="37" t="n">
        <f aca="false">INDEX($Q$17:$Q$19,MATCH(I134,$P$17:$P$19,1))</f>
        <v>3</v>
      </c>
      <c r="M134" s="37" t="n">
        <f aca="false">J134+K134+L134</f>
        <v>9</v>
      </c>
      <c r="N134" s="39" t="str">
        <f aca="false">INDEX($Q$22:$Q$25,MATCH(M134,$P$22:$P$25,1))</f>
        <v>Champion</v>
      </c>
    </row>
    <row r="135" customFormat="false" ht="15" hidden="false" customHeight="true" outlineLevel="0" collapsed="false">
      <c r="A135" s="11" t="s">
        <v>700</v>
      </c>
      <c r="B135" s="11" t="s">
        <v>701</v>
      </c>
      <c r="C135" s="11" t="s">
        <v>159</v>
      </c>
      <c r="D135" s="11" t="s">
        <v>269</v>
      </c>
      <c r="F135" s="37" t="n">
        <f aca="false">COUNTIF('Sales Data'!$D$2:$D$1201,A135)</f>
        <v>2</v>
      </c>
      <c r="G135" s="38" t="n">
        <f aca="false">_xlfn.MAXIFS('Sales Data'!$B$2:$B$1201,'Sales Data'!$D$2:$D$1201,A135)</f>
        <v>45790</v>
      </c>
      <c r="H135" s="37" t="n">
        <f aca="false">$Q$4-G135</f>
        <v>232</v>
      </c>
      <c r="I135" s="33" t="n">
        <f aca="false">SUMIFS('Sales Data'!$P$2:$P$1201,'Sales Data'!$D$2:$D$1201,A135)</f>
        <v>4018</v>
      </c>
      <c r="J135" s="37" t="n">
        <f aca="false">INDEX($Q$7:$Q$9,MATCH(H135,$P$7:$P$9,1))</f>
        <v>1</v>
      </c>
      <c r="K135" s="37" t="n">
        <f aca="false">INDEX($Q$12:$Q$14,MATCH(F135,$P$12:$P$14,1))</f>
        <v>1</v>
      </c>
      <c r="L135" s="37" t="n">
        <f aca="false">INDEX($Q$17:$Q$19,MATCH(I135,$P$17:$P$19,1))</f>
        <v>1</v>
      </c>
      <c r="M135" s="37" t="n">
        <f aca="false">J135+K135+L135</f>
        <v>3</v>
      </c>
      <c r="N135" s="39" t="str">
        <f aca="false">INDEX($Q$22:$Q$25,MATCH(M135,$P$22:$P$25,1))</f>
        <v>Lost</v>
      </c>
    </row>
    <row r="136" customFormat="false" ht="15" hidden="false" customHeight="true" outlineLevel="0" collapsed="false">
      <c r="A136" s="11" t="s">
        <v>834</v>
      </c>
      <c r="B136" s="11" t="s">
        <v>835</v>
      </c>
      <c r="C136" s="11" t="s">
        <v>219</v>
      </c>
      <c r="D136" s="11" t="s">
        <v>207</v>
      </c>
      <c r="F136" s="37" t="n">
        <f aca="false">COUNTIF('Sales Data'!$D$2:$D$1201,A136)</f>
        <v>1</v>
      </c>
      <c r="G136" s="38" t="n">
        <f aca="false">_xlfn.MAXIFS('Sales Data'!$B$2:$B$1201,'Sales Data'!$D$2:$D$1201,A136)</f>
        <v>45771</v>
      </c>
      <c r="H136" s="37" t="n">
        <f aca="false">$Q$4-G136</f>
        <v>251</v>
      </c>
      <c r="I136" s="33" t="n">
        <f aca="false">SUMIFS('Sales Data'!$P$2:$P$1201,'Sales Data'!$D$2:$D$1201,A136)</f>
        <v>199</v>
      </c>
      <c r="J136" s="37" t="n">
        <f aca="false">INDEX($Q$7:$Q$9,MATCH(H136,$P$7:$P$9,1))</f>
        <v>1</v>
      </c>
      <c r="K136" s="37" t="n">
        <f aca="false">INDEX($Q$12:$Q$14,MATCH(F136,$P$12:$P$14,1))</f>
        <v>1</v>
      </c>
      <c r="L136" s="37" t="n">
        <f aca="false">INDEX($Q$17:$Q$19,MATCH(I136,$P$17:$P$19,1))</f>
        <v>1</v>
      </c>
      <c r="M136" s="37" t="n">
        <f aca="false">J136+K136+L136</f>
        <v>3</v>
      </c>
      <c r="N136" s="39" t="str">
        <f aca="false">INDEX($Q$22:$Q$25,MATCH(M136,$P$22:$P$25,1))</f>
        <v>Lost</v>
      </c>
    </row>
    <row r="137" customFormat="false" ht="15" hidden="false" customHeight="true" outlineLevel="0" collapsed="false">
      <c r="A137" s="11" t="s">
        <v>354</v>
      </c>
      <c r="B137" s="11" t="s">
        <v>355</v>
      </c>
      <c r="C137" s="11" t="s">
        <v>159</v>
      </c>
      <c r="D137" s="11" t="s">
        <v>324</v>
      </c>
      <c r="F137" s="37" t="n">
        <f aca="false">COUNTIF('Sales Data'!$D$2:$D$1201,A137)</f>
        <v>2</v>
      </c>
      <c r="G137" s="38" t="n">
        <f aca="false">_xlfn.MAXIFS('Sales Data'!$B$2:$B$1201,'Sales Data'!$D$2:$D$1201,A137)</f>
        <v>45969</v>
      </c>
      <c r="H137" s="37" t="n">
        <f aca="false">$Q$4-G137</f>
        <v>53</v>
      </c>
      <c r="I137" s="33" t="n">
        <f aca="false">SUMIFS('Sales Data'!$P$2:$P$1201,'Sales Data'!$D$2:$D$1201,A137)</f>
        <v>18897</v>
      </c>
      <c r="J137" s="37" t="n">
        <f aca="false">INDEX($Q$7:$Q$9,MATCH(H137,$P$7:$P$9,1))</f>
        <v>2</v>
      </c>
      <c r="K137" s="37" t="n">
        <f aca="false">INDEX($Q$12:$Q$14,MATCH(F137,$P$12:$P$14,1))</f>
        <v>1</v>
      </c>
      <c r="L137" s="37" t="n">
        <f aca="false">INDEX($Q$17:$Q$19,MATCH(I137,$P$17:$P$19,1))</f>
        <v>2</v>
      </c>
      <c r="M137" s="37" t="n">
        <f aca="false">J137+K137+L137</f>
        <v>5</v>
      </c>
      <c r="N137" s="39" t="str">
        <f aca="false">INDEX($Q$22:$Q$25,MATCH(M137,$P$22:$P$25,1))</f>
        <v>At Risk</v>
      </c>
    </row>
    <row r="138" customFormat="false" ht="15" hidden="false" customHeight="true" outlineLevel="0" collapsed="false">
      <c r="A138" s="11" t="s">
        <v>475</v>
      </c>
      <c r="B138" s="11" t="s">
        <v>476</v>
      </c>
      <c r="C138" s="11" t="s">
        <v>159</v>
      </c>
      <c r="D138" s="11" t="s">
        <v>170</v>
      </c>
      <c r="F138" s="37" t="n">
        <f aca="false">COUNTIF('Sales Data'!$D$2:$D$1201,A138)</f>
        <v>4</v>
      </c>
      <c r="G138" s="38" t="n">
        <f aca="false">_xlfn.MAXIFS('Sales Data'!$B$2:$B$1201,'Sales Data'!$D$2:$D$1201,A138)</f>
        <v>45943</v>
      </c>
      <c r="H138" s="37" t="n">
        <f aca="false">$Q$4-G138</f>
        <v>79</v>
      </c>
      <c r="I138" s="33" t="n">
        <f aca="false">SUMIFS('Sales Data'!$P$2:$P$1201,'Sales Data'!$D$2:$D$1201,A138)</f>
        <v>23794</v>
      </c>
      <c r="J138" s="37" t="n">
        <f aca="false">INDEX($Q$7:$Q$9,MATCH(H138,$P$7:$P$9,1))</f>
        <v>2</v>
      </c>
      <c r="K138" s="37" t="n">
        <f aca="false">INDEX($Q$12:$Q$14,MATCH(F138,$P$12:$P$14,1))</f>
        <v>2</v>
      </c>
      <c r="L138" s="37" t="n">
        <f aca="false">INDEX($Q$17:$Q$19,MATCH(I138,$P$17:$P$19,1))</f>
        <v>2</v>
      </c>
      <c r="M138" s="37" t="n">
        <f aca="false">J138+K138+L138</f>
        <v>6</v>
      </c>
      <c r="N138" s="39" t="str">
        <f aca="false">INDEX($Q$22:$Q$25,MATCH(M138,$P$22:$P$25,1))</f>
        <v>Loyal</v>
      </c>
    </row>
    <row r="139" customFormat="false" ht="15" hidden="false" customHeight="true" outlineLevel="0" collapsed="false">
      <c r="A139" s="11" t="s">
        <v>230</v>
      </c>
      <c r="B139" s="11" t="s">
        <v>231</v>
      </c>
      <c r="C139" s="11" t="s">
        <v>219</v>
      </c>
      <c r="D139" s="11" t="s">
        <v>191</v>
      </c>
      <c r="F139" s="37" t="n">
        <f aca="false">COUNTIF('Sales Data'!$D$2:$D$1201,A139)</f>
        <v>2</v>
      </c>
      <c r="G139" s="38" t="n">
        <f aca="false">_xlfn.MAXIFS('Sales Data'!$B$2:$B$1201,'Sales Data'!$D$2:$D$1201,A139)</f>
        <v>45851</v>
      </c>
      <c r="H139" s="37" t="n">
        <f aca="false">$Q$4-G139</f>
        <v>171</v>
      </c>
      <c r="I139" s="33" t="n">
        <f aca="false">SUMIFS('Sales Data'!$P$2:$P$1201,'Sales Data'!$D$2:$D$1201,A139)</f>
        <v>12795</v>
      </c>
      <c r="J139" s="37" t="n">
        <f aca="false">INDEX($Q$7:$Q$9,MATCH(H139,$P$7:$P$9,1))</f>
        <v>1</v>
      </c>
      <c r="K139" s="37" t="n">
        <f aca="false">INDEX($Q$12:$Q$14,MATCH(F139,$P$12:$P$14,1))</f>
        <v>1</v>
      </c>
      <c r="L139" s="37" t="n">
        <f aca="false">INDEX($Q$17:$Q$19,MATCH(I139,$P$17:$P$19,1))</f>
        <v>2</v>
      </c>
      <c r="M139" s="37" t="n">
        <f aca="false">J139+K139+L139</f>
        <v>4</v>
      </c>
      <c r="N139" s="39" t="str">
        <f aca="false">INDEX($Q$22:$Q$25,MATCH(M139,$P$22:$P$25,1))</f>
        <v>At Risk</v>
      </c>
    </row>
    <row r="140" customFormat="false" ht="15" hidden="false" customHeight="true" outlineLevel="0" collapsed="false">
      <c r="A140" s="11" t="s">
        <v>1395</v>
      </c>
      <c r="B140" s="11" t="s">
        <v>1396</v>
      </c>
      <c r="C140" s="11" t="s">
        <v>159</v>
      </c>
      <c r="D140" s="11" t="s">
        <v>207</v>
      </c>
      <c r="F140" s="37" t="n">
        <f aca="false">COUNTIF('Sales Data'!$D$2:$D$1201,A140)</f>
        <v>4</v>
      </c>
      <c r="G140" s="38" t="n">
        <f aca="false">_xlfn.MAXIFS('Sales Data'!$B$2:$B$1201,'Sales Data'!$D$2:$D$1201,A140)</f>
        <v>45984</v>
      </c>
      <c r="H140" s="37" t="n">
        <f aca="false">$Q$4-G140</f>
        <v>38</v>
      </c>
      <c r="I140" s="33" t="n">
        <f aca="false">SUMIFS('Sales Data'!$P$2:$P$1201,'Sales Data'!$D$2:$D$1201,A140)</f>
        <v>14538</v>
      </c>
      <c r="J140" s="37" t="n">
        <f aca="false">INDEX($Q$7:$Q$9,MATCH(H140,$P$7:$P$9,1))</f>
        <v>3</v>
      </c>
      <c r="K140" s="37" t="n">
        <f aca="false">INDEX($Q$12:$Q$14,MATCH(F140,$P$12:$P$14,1))</f>
        <v>2</v>
      </c>
      <c r="L140" s="37" t="n">
        <f aca="false">INDEX($Q$17:$Q$19,MATCH(I140,$P$17:$P$19,1))</f>
        <v>2</v>
      </c>
      <c r="M140" s="37" t="n">
        <f aca="false">J140+K140+L140</f>
        <v>7</v>
      </c>
      <c r="N140" s="39" t="str">
        <f aca="false">INDEX($Q$22:$Q$25,MATCH(M140,$P$22:$P$25,1))</f>
        <v>Loyal</v>
      </c>
    </row>
    <row r="141" customFormat="false" ht="15" hidden="false" customHeight="true" outlineLevel="0" collapsed="false">
      <c r="A141" s="11" t="s">
        <v>227</v>
      </c>
      <c r="B141" s="11" t="s">
        <v>228</v>
      </c>
      <c r="C141" s="11" t="s">
        <v>159</v>
      </c>
      <c r="D141" s="11" t="s">
        <v>179</v>
      </c>
      <c r="F141" s="37" t="n">
        <f aca="false">COUNTIF('Sales Data'!$D$2:$D$1201,A141)</f>
        <v>7</v>
      </c>
      <c r="G141" s="38" t="n">
        <f aca="false">_xlfn.MAXIFS('Sales Data'!$B$2:$B$1201,'Sales Data'!$D$2:$D$1201,A141)</f>
        <v>46020</v>
      </c>
      <c r="H141" s="37" t="n">
        <f aca="false">$Q$4-G141</f>
        <v>2</v>
      </c>
      <c r="I141" s="33" t="n">
        <f aca="false">SUMIFS('Sales Data'!$P$2:$P$1201,'Sales Data'!$D$2:$D$1201,A141)</f>
        <v>31751</v>
      </c>
      <c r="J141" s="37" t="n">
        <f aca="false">INDEX($Q$7:$Q$9,MATCH(H141,$P$7:$P$9,1))</f>
        <v>3</v>
      </c>
      <c r="K141" s="37" t="n">
        <f aca="false">INDEX($Q$12:$Q$14,MATCH(F141,$P$12:$P$14,1))</f>
        <v>3</v>
      </c>
      <c r="L141" s="37" t="n">
        <f aca="false">INDEX($Q$17:$Q$19,MATCH(I141,$P$17:$P$19,1))</f>
        <v>2</v>
      </c>
      <c r="M141" s="37" t="n">
        <f aca="false">J141+K141+L141</f>
        <v>8</v>
      </c>
      <c r="N141" s="39" t="str">
        <f aca="false">INDEX($Q$22:$Q$25,MATCH(M141,$P$22:$P$25,1))</f>
        <v>Champion</v>
      </c>
    </row>
    <row r="142" customFormat="false" ht="15" hidden="false" customHeight="true" outlineLevel="0" collapsed="false">
      <c r="A142" s="11" t="s">
        <v>1361</v>
      </c>
      <c r="B142" s="11" t="s">
        <v>1362</v>
      </c>
      <c r="C142" s="11" t="s">
        <v>159</v>
      </c>
      <c r="D142" s="11" t="s">
        <v>269</v>
      </c>
      <c r="F142" s="37" t="n">
        <f aca="false">COUNTIF('Sales Data'!$D$2:$D$1201,A142)</f>
        <v>5</v>
      </c>
      <c r="G142" s="38" t="n">
        <f aca="false">_xlfn.MAXIFS('Sales Data'!$B$2:$B$1201,'Sales Data'!$D$2:$D$1201,A142)</f>
        <v>45980</v>
      </c>
      <c r="H142" s="37" t="n">
        <f aca="false">$Q$4-G142</f>
        <v>42</v>
      </c>
      <c r="I142" s="33" t="n">
        <f aca="false">SUMIFS('Sales Data'!$P$2:$P$1201,'Sales Data'!$D$2:$D$1201,A142)</f>
        <v>3117</v>
      </c>
      <c r="J142" s="37" t="n">
        <f aca="false">INDEX($Q$7:$Q$9,MATCH(H142,$P$7:$P$9,1))</f>
        <v>3</v>
      </c>
      <c r="K142" s="37" t="n">
        <f aca="false">INDEX($Q$12:$Q$14,MATCH(F142,$P$12:$P$14,1))</f>
        <v>2</v>
      </c>
      <c r="L142" s="37" t="n">
        <f aca="false">INDEX($Q$17:$Q$19,MATCH(I142,$P$17:$P$19,1))</f>
        <v>1</v>
      </c>
      <c r="M142" s="37" t="n">
        <f aca="false">J142+K142+L142</f>
        <v>6</v>
      </c>
      <c r="N142" s="39" t="str">
        <f aca="false">INDEX($Q$22:$Q$25,MATCH(M142,$P$22:$P$25,1))</f>
        <v>Loyal</v>
      </c>
    </row>
    <row r="143" customFormat="false" ht="15" hidden="false" customHeight="true" outlineLevel="0" collapsed="false">
      <c r="A143" s="11" t="s">
        <v>806</v>
      </c>
      <c r="B143" s="11" t="s">
        <v>807</v>
      </c>
      <c r="C143" s="11" t="s">
        <v>159</v>
      </c>
      <c r="D143" s="11" t="s">
        <v>161</v>
      </c>
      <c r="F143" s="37" t="n">
        <f aca="false">COUNTIF('Sales Data'!$D$2:$D$1201,A143)</f>
        <v>8</v>
      </c>
      <c r="G143" s="38" t="n">
        <f aca="false">_xlfn.MAXIFS('Sales Data'!$B$2:$B$1201,'Sales Data'!$D$2:$D$1201,A143)</f>
        <v>45991</v>
      </c>
      <c r="H143" s="37" t="n">
        <f aca="false">$Q$4-G143</f>
        <v>31</v>
      </c>
      <c r="I143" s="33" t="n">
        <f aca="false">SUMIFS('Sales Data'!$P$2:$P$1201,'Sales Data'!$D$2:$D$1201,A143)</f>
        <v>50449</v>
      </c>
      <c r="J143" s="37" t="n">
        <f aca="false">INDEX($Q$7:$Q$9,MATCH(H143,$P$7:$P$9,1))</f>
        <v>3</v>
      </c>
      <c r="K143" s="37" t="n">
        <f aca="false">INDEX($Q$12:$Q$14,MATCH(F143,$P$12:$P$14,1))</f>
        <v>3</v>
      </c>
      <c r="L143" s="37" t="n">
        <f aca="false">INDEX($Q$17:$Q$19,MATCH(I143,$P$17:$P$19,1))</f>
        <v>3</v>
      </c>
      <c r="M143" s="37" t="n">
        <f aca="false">J143+K143+L143</f>
        <v>9</v>
      </c>
      <c r="N143" s="39" t="str">
        <f aca="false">INDEX($Q$22:$Q$25,MATCH(M143,$P$22:$P$25,1))</f>
        <v>Champion</v>
      </c>
    </row>
    <row r="144" customFormat="false" ht="15" hidden="false" customHeight="true" outlineLevel="0" collapsed="false">
      <c r="A144" s="11" t="s">
        <v>662</v>
      </c>
      <c r="B144" s="11" t="s">
        <v>663</v>
      </c>
      <c r="C144" s="11" t="s">
        <v>159</v>
      </c>
      <c r="D144" s="11" t="s">
        <v>161</v>
      </c>
      <c r="F144" s="37" t="n">
        <f aca="false">COUNTIF('Sales Data'!$D$2:$D$1201,A144)</f>
        <v>2</v>
      </c>
      <c r="G144" s="38" t="n">
        <f aca="false">_xlfn.MAXIFS('Sales Data'!$B$2:$B$1201,'Sales Data'!$D$2:$D$1201,A144)</f>
        <v>45901</v>
      </c>
      <c r="H144" s="37" t="n">
        <f aca="false">$Q$4-G144</f>
        <v>121</v>
      </c>
      <c r="I144" s="33" t="n">
        <f aca="false">SUMIFS('Sales Data'!$P$2:$P$1201,'Sales Data'!$D$2:$D$1201,A144)</f>
        <v>9194</v>
      </c>
      <c r="J144" s="37" t="n">
        <f aca="false">INDEX($Q$7:$Q$9,MATCH(H144,$P$7:$P$9,1))</f>
        <v>2</v>
      </c>
      <c r="K144" s="37" t="n">
        <f aca="false">INDEX($Q$12:$Q$14,MATCH(F144,$P$12:$P$14,1))</f>
        <v>1</v>
      </c>
      <c r="L144" s="37" t="n">
        <f aca="false">INDEX($Q$17:$Q$19,MATCH(I144,$P$17:$P$19,1))</f>
        <v>1</v>
      </c>
      <c r="M144" s="37" t="n">
        <f aca="false">J144+K144+L144</f>
        <v>4</v>
      </c>
      <c r="N144" s="39" t="str">
        <f aca="false">INDEX($Q$22:$Q$25,MATCH(M144,$P$22:$P$25,1))</f>
        <v>At Risk</v>
      </c>
    </row>
    <row r="145" customFormat="false" ht="15" hidden="false" customHeight="true" outlineLevel="0" collapsed="false">
      <c r="A145" s="11" t="s">
        <v>689</v>
      </c>
      <c r="B145" s="11" t="s">
        <v>690</v>
      </c>
      <c r="C145" s="11" t="s">
        <v>219</v>
      </c>
      <c r="D145" s="11" t="s">
        <v>207</v>
      </c>
      <c r="F145" s="37" t="n">
        <f aca="false">COUNTIF('Sales Data'!$D$2:$D$1201,A145)</f>
        <v>4</v>
      </c>
      <c r="G145" s="38" t="n">
        <f aca="false">_xlfn.MAXIFS('Sales Data'!$B$2:$B$1201,'Sales Data'!$D$2:$D$1201,A145)</f>
        <v>45980</v>
      </c>
      <c r="H145" s="37" t="n">
        <f aca="false">$Q$4-G145</f>
        <v>42</v>
      </c>
      <c r="I145" s="33" t="n">
        <f aca="false">SUMIFS('Sales Data'!$P$2:$P$1201,'Sales Data'!$D$2:$D$1201,A145)</f>
        <v>8169</v>
      </c>
      <c r="J145" s="37" t="n">
        <f aca="false">INDEX($Q$7:$Q$9,MATCH(H145,$P$7:$P$9,1))</f>
        <v>3</v>
      </c>
      <c r="K145" s="37" t="n">
        <f aca="false">INDEX($Q$12:$Q$14,MATCH(F145,$P$12:$P$14,1))</f>
        <v>2</v>
      </c>
      <c r="L145" s="37" t="n">
        <f aca="false">INDEX($Q$17:$Q$19,MATCH(I145,$P$17:$P$19,1))</f>
        <v>1</v>
      </c>
      <c r="M145" s="37" t="n">
        <f aca="false">J145+K145+L145</f>
        <v>6</v>
      </c>
      <c r="N145" s="39" t="str">
        <f aca="false">INDEX($Q$22:$Q$25,MATCH(M145,$P$22:$P$25,1))</f>
        <v>Loyal</v>
      </c>
    </row>
    <row r="146" customFormat="false" ht="15" hidden="false" customHeight="true" outlineLevel="0" collapsed="false">
      <c r="A146" s="11" t="s">
        <v>456</v>
      </c>
      <c r="B146" s="11" t="s">
        <v>457</v>
      </c>
      <c r="C146" s="11" t="s">
        <v>159</v>
      </c>
      <c r="D146" s="11" t="s">
        <v>170</v>
      </c>
      <c r="F146" s="37" t="n">
        <f aca="false">COUNTIF('Sales Data'!$D$2:$D$1201,A146)</f>
        <v>10</v>
      </c>
      <c r="G146" s="38" t="n">
        <f aca="false">_xlfn.MAXIFS('Sales Data'!$B$2:$B$1201,'Sales Data'!$D$2:$D$1201,A146)</f>
        <v>46000</v>
      </c>
      <c r="H146" s="37" t="n">
        <f aca="false">$Q$4-G146</f>
        <v>22</v>
      </c>
      <c r="I146" s="33" t="n">
        <f aca="false">SUMIFS('Sales Data'!$P$2:$P$1201,'Sales Data'!$D$2:$D$1201,A146)</f>
        <v>44791</v>
      </c>
      <c r="J146" s="37" t="n">
        <f aca="false">INDEX($Q$7:$Q$9,MATCH(H146,$P$7:$P$9,1))</f>
        <v>3</v>
      </c>
      <c r="K146" s="37" t="n">
        <f aca="false">INDEX($Q$12:$Q$14,MATCH(F146,$P$12:$P$14,1))</f>
        <v>3</v>
      </c>
      <c r="L146" s="37" t="n">
        <f aca="false">INDEX($Q$17:$Q$19,MATCH(I146,$P$17:$P$19,1))</f>
        <v>2</v>
      </c>
      <c r="M146" s="37" t="n">
        <f aca="false">J146+K146+L146</f>
        <v>8</v>
      </c>
      <c r="N146" s="39" t="str">
        <f aca="false">INDEX($Q$22:$Q$25,MATCH(M146,$P$22:$P$25,1))</f>
        <v>Champion</v>
      </c>
    </row>
    <row r="147" customFormat="false" ht="15" hidden="false" customHeight="true" outlineLevel="0" collapsed="false">
      <c r="A147" s="11" t="s">
        <v>369</v>
      </c>
      <c r="B147" s="11" t="s">
        <v>370</v>
      </c>
      <c r="C147" s="11" t="s">
        <v>159</v>
      </c>
      <c r="D147" s="11" t="s">
        <v>191</v>
      </c>
      <c r="F147" s="37" t="n">
        <f aca="false">COUNTIF('Sales Data'!$D$2:$D$1201,A147)</f>
        <v>3</v>
      </c>
      <c r="G147" s="38" t="n">
        <f aca="false">_xlfn.MAXIFS('Sales Data'!$B$2:$B$1201,'Sales Data'!$D$2:$D$1201,A147)</f>
        <v>45955</v>
      </c>
      <c r="H147" s="37" t="n">
        <f aca="false">$Q$4-G147</f>
        <v>67</v>
      </c>
      <c r="I147" s="33" t="n">
        <f aca="false">SUMIFS('Sales Data'!$P$2:$P$1201,'Sales Data'!$D$2:$D$1201,A147)</f>
        <v>25292</v>
      </c>
      <c r="J147" s="37" t="n">
        <f aca="false">INDEX($Q$7:$Q$9,MATCH(H147,$P$7:$P$9,1))</f>
        <v>2</v>
      </c>
      <c r="K147" s="37" t="n">
        <f aca="false">INDEX($Q$12:$Q$14,MATCH(F147,$P$12:$P$14,1))</f>
        <v>2</v>
      </c>
      <c r="L147" s="37" t="n">
        <f aca="false">INDEX($Q$17:$Q$19,MATCH(I147,$P$17:$P$19,1))</f>
        <v>2</v>
      </c>
      <c r="M147" s="37" t="n">
        <f aca="false">J147+K147+L147</f>
        <v>6</v>
      </c>
      <c r="N147" s="39" t="str">
        <f aca="false">INDEX($Q$22:$Q$25,MATCH(M147,$P$22:$P$25,1))</f>
        <v>Loyal</v>
      </c>
    </row>
    <row r="148" customFormat="false" ht="15" hidden="false" customHeight="true" outlineLevel="0" collapsed="false">
      <c r="A148" s="11" t="s">
        <v>1592</v>
      </c>
      <c r="B148" s="11" t="s">
        <v>1593</v>
      </c>
      <c r="C148" s="11" t="s">
        <v>159</v>
      </c>
      <c r="D148" s="11" t="s">
        <v>324</v>
      </c>
      <c r="F148" s="37" t="n">
        <f aca="false">COUNTIF('Sales Data'!$D$2:$D$1201,A148)</f>
        <v>1</v>
      </c>
      <c r="G148" s="38" t="n">
        <f aca="false">_xlfn.MAXIFS('Sales Data'!$B$2:$B$1201,'Sales Data'!$D$2:$D$1201,A148)</f>
        <v>45956</v>
      </c>
      <c r="H148" s="37" t="n">
        <f aca="false">$Q$4-G148</f>
        <v>66</v>
      </c>
      <c r="I148" s="33" t="n">
        <f aca="false">SUMIFS('Sales Data'!$P$2:$P$1201,'Sales Data'!$D$2:$D$1201,A148)</f>
        <v>1039</v>
      </c>
      <c r="J148" s="37" t="n">
        <f aca="false">INDEX($Q$7:$Q$9,MATCH(H148,$P$7:$P$9,1))</f>
        <v>2</v>
      </c>
      <c r="K148" s="37" t="n">
        <f aca="false">INDEX($Q$12:$Q$14,MATCH(F148,$P$12:$P$14,1))</f>
        <v>1</v>
      </c>
      <c r="L148" s="37" t="n">
        <f aca="false">INDEX($Q$17:$Q$19,MATCH(I148,$P$17:$P$19,1))</f>
        <v>1</v>
      </c>
      <c r="M148" s="37" t="n">
        <f aca="false">J148+K148+L148</f>
        <v>4</v>
      </c>
      <c r="N148" s="39" t="str">
        <f aca="false">INDEX($Q$22:$Q$25,MATCH(M148,$P$22:$P$25,1))</f>
        <v>At Risk</v>
      </c>
    </row>
    <row r="149" customFormat="false" ht="15" hidden="false" customHeight="true" outlineLevel="0" collapsed="false">
      <c r="A149" s="11" t="s">
        <v>792</v>
      </c>
      <c r="B149" s="11" t="s">
        <v>793</v>
      </c>
      <c r="C149" s="11" t="s">
        <v>219</v>
      </c>
      <c r="D149" s="11" t="s">
        <v>161</v>
      </c>
      <c r="F149" s="37" t="n">
        <f aca="false">COUNTIF('Sales Data'!$D$2:$D$1201,A149)</f>
        <v>10</v>
      </c>
      <c r="G149" s="38" t="n">
        <f aca="false">_xlfn.MAXIFS('Sales Data'!$B$2:$B$1201,'Sales Data'!$D$2:$D$1201,A149)</f>
        <v>46022</v>
      </c>
      <c r="H149" s="37" t="n">
        <f aca="false">$Q$4-G149</f>
        <v>0</v>
      </c>
      <c r="I149" s="33" t="n">
        <f aca="false">SUMIFS('Sales Data'!$P$2:$P$1201,'Sales Data'!$D$2:$D$1201,A149)</f>
        <v>67215</v>
      </c>
      <c r="J149" s="37" t="n">
        <f aca="false">INDEX($Q$7:$Q$9,MATCH(H149,$P$7:$P$9,1))</f>
        <v>3</v>
      </c>
      <c r="K149" s="37" t="n">
        <f aca="false">INDEX($Q$12:$Q$14,MATCH(F149,$P$12:$P$14,1))</f>
        <v>3</v>
      </c>
      <c r="L149" s="37" t="n">
        <f aca="false">INDEX($Q$17:$Q$19,MATCH(I149,$P$17:$P$19,1))</f>
        <v>3</v>
      </c>
      <c r="M149" s="37" t="n">
        <f aca="false">J149+K149+L149</f>
        <v>9</v>
      </c>
      <c r="N149" s="39" t="str">
        <f aca="false">INDEX($Q$22:$Q$25,MATCH(M149,$P$22:$P$25,1))</f>
        <v>Champion</v>
      </c>
    </row>
    <row r="150" customFormat="false" ht="15" hidden="false" customHeight="true" outlineLevel="0" collapsed="false">
      <c r="A150" s="11" t="s">
        <v>789</v>
      </c>
      <c r="B150" s="11" t="s">
        <v>790</v>
      </c>
      <c r="C150" s="11" t="s">
        <v>159</v>
      </c>
      <c r="D150" s="11" t="s">
        <v>161</v>
      </c>
      <c r="F150" s="37" t="n">
        <f aca="false">COUNTIF('Sales Data'!$D$2:$D$1201,A150)</f>
        <v>9</v>
      </c>
      <c r="G150" s="38" t="n">
        <f aca="false">_xlfn.MAXIFS('Sales Data'!$B$2:$B$1201,'Sales Data'!$D$2:$D$1201,A150)</f>
        <v>46000</v>
      </c>
      <c r="H150" s="37" t="n">
        <f aca="false">$Q$4-G150</f>
        <v>22</v>
      </c>
      <c r="I150" s="33" t="n">
        <f aca="false">SUMIFS('Sales Data'!$P$2:$P$1201,'Sales Data'!$D$2:$D$1201,A150)</f>
        <v>43267</v>
      </c>
      <c r="J150" s="37" t="n">
        <f aca="false">INDEX($Q$7:$Q$9,MATCH(H150,$P$7:$P$9,1))</f>
        <v>3</v>
      </c>
      <c r="K150" s="37" t="n">
        <f aca="false">INDEX($Q$12:$Q$14,MATCH(F150,$P$12:$P$14,1))</f>
        <v>3</v>
      </c>
      <c r="L150" s="37" t="n">
        <f aca="false">INDEX($Q$17:$Q$19,MATCH(I150,$P$17:$P$19,1))</f>
        <v>2</v>
      </c>
      <c r="M150" s="37" t="n">
        <f aca="false">J150+K150+L150</f>
        <v>8</v>
      </c>
      <c r="N150" s="39" t="str">
        <f aca="false">INDEX($Q$22:$Q$25,MATCH(M150,$P$22:$P$25,1))</f>
        <v>Champion</v>
      </c>
    </row>
    <row r="151" customFormat="false" ht="15" hidden="false" customHeight="true" outlineLevel="0" collapsed="false">
      <c r="A151" s="11" t="s">
        <v>815</v>
      </c>
      <c r="B151" s="11" t="s">
        <v>816</v>
      </c>
      <c r="C151" s="11" t="s">
        <v>219</v>
      </c>
      <c r="D151" s="11" t="s">
        <v>269</v>
      </c>
      <c r="F151" s="37" t="n">
        <f aca="false">COUNTIF('Sales Data'!$D$2:$D$1201,A151)</f>
        <v>4</v>
      </c>
      <c r="G151" s="38" t="n">
        <f aca="false">_xlfn.MAXIFS('Sales Data'!$B$2:$B$1201,'Sales Data'!$D$2:$D$1201,A151)</f>
        <v>45967</v>
      </c>
      <c r="H151" s="37" t="n">
        <f aca="false">$Q$4-G151</f>
        <v>55</v>
      </c>
      <c r="I151" s="33" t="n">
        <f aca="false">SUMIFS('Sales Data'!$P$2:$P$1201,'Sales Data'!$D$2:$D$1201,A151)</f>
        <v>37400</v>
      </c>
      <c r="J151" s="37" t="n">
        <f aca="false">INDEX($Q$7:$Q$9,MATCH(H151,$P$7:$P$9,1))</f>
        <v>2</v>
      </c>
      <c r="K151" s="37" t="n">
        <f aca="false">INDEX($Q$12:$Q$14,MATCH(F151,$P$12:$P$14,1))</f>
        <v>2</v>
      </c>
      <c r="L151" s="37" t="n">
        <f aca="false">INDEX($Q$17:$Q$19,MATCH(I151,$P$17:$P$19,1))</f>
        <v>2</v>
      </c>
      <c r="M151" s="37" t="n">
        <f aca="false">J151+K151+L151</f>
        <v>6</v>
      </c>
      <c r="N151" s="39" t="str">
        <f aca="false">INDEX($Q$22:$Q$25,MATCH(M151,$P$22:$P$25,1))</f>
        <v>Loyal</v>
      </c>
    </row>
    <row r="152" customFormat="false" ht="15" hidden="false" customHeight="true" outlineLevel="0" collapsed="false">
      <c r="A152" s="11" t="s">
        <v>183</v>
      </c>
      <c r="B152" s="11" t="s">
        <v>184</v>
      </c>
      <c r="C152" s="11" t="s">
        <v>178</v>
      </c>
      <c r="D152" s="11" t="s">
        <v>161</v>
      </c>
      <c r="F152" s="37" t="n">
        <f aca="false">COUNTIF('Sales Data'!$D$2:$D$1201,A152)</f>
        <v>3</v>
      </c>
      <c r="G152" s="38" t="n">
        <f aca="false">_xlfn.MAXIFS('Sales Data'!$B$2:$B$1201,'Sales Data'!$D$2:$D$1201,A152)</f>
        <v>45967</v>
      </c>
      <c r="H152" s="37" t="n">
        <f aca="false">$Q$4-G152</f>
        <v>55</v>
      </c>
      <c r="I152" s="33" t="n">
        <f aca="false">SUMIFS('Sales Data'!$P$2:$P$1201,'Sales Data'!$D$2:$D$1201,A152)</f>
        <v>8364</v>
      </c>
      <c r="J152" s="37" t="n">
        <f aca="false">INDEX($Q$7:$Q$9,MATCH(H152,$P$7:$P$9,1))</f>
        <v>2</v>
      </c>
      <c r="K152" s="37" t="n">
        <f aca="false">INDEX($Q$12:$Q$14,MATCH(F152,$P$12:$P$14,1))</f>
        <v>2</v>
      </c>
      <c r="L152" s="37" t="n">
        <f aca="false">INDEX($Q$17:$Q$19,MATCH(I152,$P$17:$P$19,1))</f>
        <v>1</v>
      </c>
      <c r="M152" s="37" t="n">
        <f aca="false">J152+K152+L152</f>
        <v>5</v>
      </c>
      <c r="N152" s="39" t="str">
        <f aca="false">INDEX($Q$22:$Q$25,MATCH(M152,$P$22:$P$25,1))</f>
        <v>At Risk</v>
      </c>
    </row>
    <row r="153" customFormat="false" ht="15" hidden="false" customHeight="true" outlineLevel="0" collapsed="false">
      <c r="A153" s="11" t="s">
        <v>588</v>
      </c>
      <c r="B153" s="11" t="s">
        <v>589</v>
      </c>
      <c r="C153" s="11" t="s">
        <v>219</v>
      </c>
      <c r="D153" s="11" t="s">
        <v>207</v>
      </c>
      <c r="F153" s="37" t="n">
        <f aca="false">COUNTIF('Sales Data'!$D$2:$D$1201,A153)</f>
        <v>2</v>
      </c>
      <c r="G153" s="38" t="n">
        <f aca="false">_xlfn.MAXIFS('Sales Data'!$B$2:$B$1201,'Sales Data'!$D$2:$D$1201,A153)</f>
        <v>45856</v>
      </c>
      <c r="H153" s="37" t="n">
        <f aca="false">$Q$4-G153</f>
        <v>166</v>
      </c>
      <c r="I153" s="33" t="n">
        <f aca="false">SUMIFS('Sales Data'!$P$2:$P$1201,'Sales Data'!$D$2:$D$1201,A153)</f>
        <v>7036</v>
      </c>
      <c r="J153" s="37" t="n">
        <f aca="false">INDEX($Q$7:$Q$9,MATCH(H153,$P$7:$P$9,1))</f>
        <v>1</v>
      </c>
      <c r="K153" s="37" t="n">
        <f aca="false">INDEX($Q$12:$Q$14,MATCH(F153,$P$12:$P$14,1))</f>
        <v>1</v>
      </c>
      <c r="L153" s="37" t="n">
        <f aca="false">INDEX($Q$17:$Q$19,MATCH(I153,$P$17:$P$19,1))</f>
        <v>1</v>
      </c>
      <c r="M153" s="37" t="n">
        <f aca="false">J153+K153+L153</f>
        <v>3</v>
      </c>
      <c r="N153" s="39" t="str">
        <f aca="false">INDEX($Q$22:$Q$25,MATCH(M153,$P$22:$P$25,1))</f>
        <v>Lost</v>
      </c>
    </row>
    <row r="154" customFormat="false" ht="15" hidden="false" customHeight="true" outlineLevel="0" collapsed="false">
      <c r="A154" s="11" t="s">
        <v>1288</v>
      </c>
      <c r="B154" s="11" t="s">
        <v>1289</v>
      </c>
      <c r="C154" s="11" t="s">
        <v>178</v>
      </c>
      <c r="D154" s="11" t="s">
        <v>269</v>
      </c>
      <c r="F154" s="37" t="n">
        <f aca="false">COUNTIF('Sales Data'!$D$2:$D$1201,A154)</f>
        <v>3</v>
      </c>
      <c r="G154" s="38" t="n">
        <f aca="false">_xlfn.MAXIFS('Sales Data'!$B$2:$B$1201,'Sales Data'!$D$2:$D$1201,A154)</f>
        <v>45942</v>
      </c>
      <c r="H154" s="37" t="n">
        <f aca="false">$Q$4-G154</f>
        <v>80</v>
      </c>
      <c r="I154" s="33" t="n">
        <f aca="false">SUMIFS('Sales Data'!$P$2:$P$1201,'Sales Data'!$D$2:$D$1201,A154)</f>
        <v>13957</v>
      </c>
      <c r="J154" s="37" t="n">
        <f aca="false">INDEX($Q$7:$Q$9,MATCH(H154,$P$7:$P$9,1))</f>
        <v>2</v>
      </c>
      <c r="K154" s="37" t="n">
        <f aca="false">INDEX($Q$12:$Q$14,MATCH(F154,$P$12:$P$14,1))</f>
        <v>2</v>
      </c>
      <c r="L154" s="37" t="n">
        <f aca="false">INDEX($Q$17:$Q$19,MATCH(I154,$P$17:$P$19,1))</f>
        <v>2</v>
      </c>
      <c r="M154" s="37" t="n">
        <f aca="false">J154+K154+L154</f>
        <v>6</v>
      </c>
      <c r="N154" s="39" t="str">
        <f aca="false">INDEX($Q$22:$Q$25,MATCH(M154,$P$22:$P$25,1))</f>
        <v>Loyal</v>
      </c>
    </row>
    <row r="155" customFormat="false" ht="15" hidden="false" customHeight="true" outlineLevel="0" collapsed="false">
      <c r="A155" s="11" t="s">
        <v>1173</v>
      </c>
      <c r="B155" s="11" t="s">
        <v>1174</v>
      </c>
      <c r="C155" s="11" t="s">
        <v>159</v>
      </c>
      <c r="D155" s="11" t="s">
        <v>269</v>
      </c>
      <c r="F155" s="37" t="n">
        <f aca="false">COUNTIF('Sales Data'!$D$2:$D$1201,A155)</f>
        <v>1</v>
      </c>
      <c r="G155" s="38" t="n">
        <f aca="false">_xlfn.MAXIFS('Sales Data'!$B$2:$B$1201,'Sales Data'!$D$2:$D$1201,A155)</f>
        <v>45850</v>
      </c>
      <c r="H155" s="37" t="n">
        <f aca="false">$Q$4-G155</f>
        <v>172</v>
      </c>
      <c r="I155" s="33" t="n">
        <f aca="false">SUMIFS('Sales Data'!$P$2:$P$1201,'Sales Data'!$D$2:$D$1201,A155)</f>
        <v>4199</v>
      </c>
      <c r="J155" s="37" t="n">
        <f aca="false">INDEX($Q$7:$Q$9,MATCH(H155,$P$7:$P$9,1))</f>
        <v>1</v>
      </c>
      <c r="K155" s="37" t="n">
        <f aca="false">INDEX($Q$12:$Q$14,MATCH(F155,$P$12:$P$14,1))</f>
        <v>1</v>
      </c>
      <c r="L155" s="37" t="n">
        <f aca="false">INDEX($Q$17:$Q$19,MATCH(I155,$P$17:$P$19,1))</f>
        <v>1</v>
      </c>
      <c r="M155" s="37" t="n">
        <f aca="false">J155+K155+L155</f>
        <v>3</v>
      </c>
      <c r="N155" s="39" t="str">
        <f aca="false">INDEX($Q$22:$Q$25,MATCH(M155,$P$22:$P$25,1))</f>
        <v>Lost</v>
      </c>
    </row>
    <row r="156" customFormat="false" ht="15" hidden="false" customHeight="true" outlineLevel="0" collapsed="false">
      <c r="A156" s="11" t="s">
        <v>1247</v>
      </c>
      <c r="B156" s="11" t="s">
        <v>1248</v>
      </c>
      <c r="C156" s="11" t="s">
        <v>159</v>
      </c>
      <c r="D156" s="11" t="s">
        <v>161</v>
      </c>
      <c r="F156" s="37" t="n">
        <f aca="false">COUNTIF('Sales Data'!$D$2:$D$1201,A156)</f>
        <v>1</v>
      </c>
      <c r="G156" s="38" t="n">
        <f aca="false">_xlfn.MAXIFS('Sales Data'!$B$2:$B$1201,'Sales Data'!$D$2:$D$1201,A156)</f>
        <v>45871</v>
      </c>
      <c r="H156" s="37" t="n">
        <f aca="false">$Q$4-G156</f>
        <v>151</v>
      </c>
      <c r="I156" s="33" t="n">
        <f aca="false">SUMIFS('Sales Data'!$P$2:$P$1201,'Sales Data'!$D$2:$D$1201,A156)</f>
        <v>7998</v>
      </c>
      <c r="J156" s="37" t="n">
        <f aca="false">INDEX($Q$7:$Q$9,MATCH(H156,$P$7:$P$9,1))</f>
        <v>1</v>
      </c>
      <c r="K156" s="37" t="n">
        <f aca="false">INDEX($Q$12:$Q$14,MATCH(F156,$P$12:$P$14,1))</f>
        <v>1</v>
      </c>
      <c r="L156" s="37" t="n">
        <f aca="false">INDEX($Q$17:$Q$19,MATCH(I156,$P$17:$P$19,1))</f>
        <v>1</v>
      </c>
      <c r="M156" s="37" t="n">
        <f aca="false">J156+K156+L156</f>
        <v>3</v>
      </c>
      <c r="N156" s="39" t="str">
        <f aca="false">INDEX($Q$22:$Q$25,MATCH(M156,$P$22:$P$25,1))</f>
        <v>Lost</v>
      </c>
    </row>
    <row r="157" customFormat="false" ht="15" hidden="false" customHeight="true" outlineLevel="0" collapsed="false">
      <c r="A157" s="11" t="s">
        <v>241</v>
      </c>
      <c r="B157" s="11" t="s">
        <v>242</v>
      </c>
      <c r="C157" s="11" t="s">
        <v>159</v>
      </c>
      <c r="D157" s="11" t="s">
        <v>207</v>
      </c>
      <c r="F157" s="37" t="n">
        <f aca="false">COUNTIF('Sales Data'!$D$2:$D$1201,A157)</f>
        <v>16</v>
      </c>
      <c r="G157" s="38" t="n">
        <f aca="false">_xlfn.MAXIFS('Sales Data'!$B$2:$B$1201,'Sales Data'!$D$2:$D$1201,A157)</f>
        <v>46012</v>
      </c>
      <c r="H157" s="37" t="n">
        <f aca="false">$Q$4-G157</f>
        <v>10</v>
      </c>
      <c r="I157" s="33" t="n">
        <f aca="false">SUMIFS('Sales Data'!$P$2:$P$1201,'Sales Data'!$D$2:$D$1201,A157)</f>
        <v>68194</v>
      </c>
      <c r="J157" s="37" t="n">
        <f aca="false">INDEX($Q$7:$Q$9,MATCH(H157,$P$7:$P$9,1))</f>
        <v>3</v>
      </c>
      <c r="K157" s="37" t="n">
        <f aca="false">INDEX($Q$12:$Q$14,MATCH(F157,$P$12:$P$14,1))</f>
        <v>3</v>
      </c>
      <c r="L157" s="37" t="n">
        <f aca="false">INDEX($Q$17:$Q$19,MATCH(I157,$P$17:$P$19,1))</f>
        <v>3</v>
      </c>
      <c r="M157" s="37" t="n">
        <f aca="false">J157+K157+L157</f>
        <v>9</v>
      </c>
      <c r="N157" s="39" t="str">
        <f aca="false">INDEX($Q$22:$Q$25,MATCH(M157,$P$22:$P$25,1))</f>
        <v>Champion</v>
      </c>
    </row>
    <row r="158" customFormat="false" ht="15" hidden="false" customHeight="true" outlineLevel="0" collapsed="false">
      <c r="A158" s="11" t="s">
        <v>432</v>
      </c>
      <c r="B158" s="11" t="s">
        <v>433</v>
      </c>
      <c r="C158" s="11" t="s">
        <v>219</v>
      </c>
      <c r="D158" s="11" t="s">
        <v>170</v>
      </c>
      <c r="F158" s="37" t="n">
        <f aca="false">COUNTIF('Sales Data'!$D$2:$D$1201,A158)</f>
        <v>4</v>
      </c>
      <c r="G158" s="38" t="n">
        <f aca="false">_xlfn.MAXIFS('Sales Data'!$B$2:$B$1201,'Sales Data'!$D$2:$D$1201,A158)</f>
        <v>45916</v>
      </c>
      <c r="H158" s="37" t="n">
        <f aca="false">$Q$4-G158</f>
        <v>106</v>
      </c>
      <c r="I158" s="33" t="n">
        <f aca="false">SUMIFS('Sales Data'!$P$2:$P$1201,'Sales Data'!$D$2:$D$1201,A158)</f>
        <v>2502</v>
      </c>
      <c r="J158" s="37" t="n">
        <f aca="false">INDEX($Q$7:$Q$9,MATCH(H158,$P$7:$P$9,1))</f>
        <v>2</v>
      </c>
      <c r="K158" s="37" t="n">
        <f aca="false">INDEX($Q$12:$Q$14,MATCH(F158,$P$12:$P$14,1))</f>
        <v>2</v>
      </c>
      <c r="L158" s="37" t="n">
        <f aca="false">INDEX($Q$17:$Q$19,MATCH(I158,$P$17:$P$19,1))</f>
        <v>1</v>
      </c>
      <c r="M158" s="37" t="n">
        <f aca="false">J158+K158+L158</f>
        <v>5</v>
      </c>
      <c r="N158" s="39" t="str">
        <f aca="false">INDEX($Q$22:$Q$25,MATCH(M158,$P$22:$P$25,1))</f>
        <v>At Risk</v>
      </c>
    </row>
    <row r="159" customFormat="false" ht="15" hidden="false" customHeight="true" outlineLevel="0" collapsed="false">
      <c r="A159" s="11" t="s">
        <v>425</v>
      </c>
      <c r="B159" s="11" t="s">
        <v>426</v>
      </c>
      <c r="C159" s="11" t="s">
        <v>159</v>
      </c>
      <c r="D159" s="11" t="s">
        <v>207</v>
      </c>
      <c r="F159" s="37" t="n">
        <f aca="false">COUNTIF('Sales Data'!$D$2:$D$1201,A159)</f>
        <v>5</v>
      </c>
      <c r="G159" s="38" t="n">
        <f aca="false">_xlfn.MAXIFS('Sales Data'!$B$2:$B$1201,'Sales Data'!$D$2:$D$1201,A159)</f>
        <v>46012</v>
      </c>
      <c r="H159" s="37" t="n">
        <f aca="false">$Q$4-G159</f>
        <v>10</v>
      </c>
      <c r="I159" s="33" t="n">
        <f aca="false">SUMIFS('Sales Data'!$P$2:$P$1201,'Sales Data'!$D$2:$D$1201,A159)</f>
        <v>14824</v>
      </c>
      <c r="J159" s="37" t="n">
        <f aca="false">INDEX($Q$7:$Q$9,MATCH(H159,$P$7:$P$9,1))</f>
        <v>3</v>
      </c>
      <c r="K159" s="37" t="n">
        <f aca="false">INDEX($Q$12:$Q$14,MATCH(F159,$P$12:$P$14,1))</f>
        <v>2</v>
      </c>
      <c r="L159" s="37" t="n">
        <f aca="false">INDEX($Q$17:$Q$19,MATCH(I159,$P$17:$P$19,1))</f>
        <v>2</v>
      </c>
      <c r="M159" s="37" t="n">
        <f aca="false">J159+K159+L159</f>
        <v>7</v>
      </c>
      <c r="N159" s="39" t="str">
        <f aca="false">INDEX($Q$22:$Q$25,MATCH(M159,$P$22:$P$25,1))</f>
        <v>Loyal</v>
      </c>
    </row>
    <row r="160" customFormat="false" ht="15" hidden="false" customHeight="true" outlineLevel="0" collapsed="false">
      <c r="A160" s="11" t="s">
        <v>1047</v>
      </c>
      <c r="B160" s="11" t="s">
        <v>1048</v>
      </c>
      <c r="C160" s="11" t="s">
        <v>159</v>
      </c>
      <c r="D160" s="11" t="s">
        <v>207</v>
      </c>
      <c r="F160" s="37" t="n">
        <f aca="false">COUNTIF('Sales Data'!$D$2:$D$1201,A160)</f>
        <v>1</v>
      </c>
      <c r="G160" s="38" t="n">
        <f aca="false">_xlfn.MAXIFS('Sales Data'!$B$2:$B$1201,'Sales Data'!$D$2:$D$1201,A160)</f>
        <v>45815</v>
      </c>
      <c r="H160" s="37" t="n">
        <f aca="false">$Q$4-G160</f>
        <v>207</v>
      </c>
      <c r="I160" s="33" t="n">
        <f aca="false">SUMIFS('Sales Data'!$P$2:$P$1201,'Sales Data'!$D$2:$D$1201,A160)</f>
        <v>5999</v>
      </c>
      <c r="J160" s="37" t="n">
        <f aca="false">INDEX($Q$7:$Q$9,MATCH(H160,$P$7:$P$9,1))</f>
        <v>1</v>
      </c>
      <c r="K160" s="37" t="n">
        <f aca="false">INDEX($Q$12:$Q$14,MATCH(F160,$P$12:$P$14,1))</f>
        <v>1</v>
      </c>
      <c r="L160" s="37" t="n">
        <f aca="false">INDEX($Q$17:$Q$19,MATCH(I160,$P$17:$P$19,1))</f>
        <v>1</v>
      </c>
      <c r="M160" s="37" t="n">
        <f aca="false">J160+K160+L160</f>
        <v>3</v>
      </c>
      <c r="N160" s="39" t="str">
        <f aca="false">INDEX($Q$22:$Q$25,MATCH(M160,$P$22:$P$25,1))</f>
        <v>Lost</v>
      </c>
    </row>
    <row r="161" customFormat="false" ht="15" hidden="false" customHeight="true" outlineLevel="0" collapsed="false">
      <c r="A161" s="11" t="s">
        <v>545</v>
      </c>
      <c r="B161" s="11" t="s">
        <v>546</v>
      </c>
      <c r="C161" s="11" t="s">
        <v>219</v>
      </c>
      <c r="D161" s="11" t="s">
        <v>179</v>
      </c>
      <c r="F161" s="37" t="n">
        <f aca="false">COUNTIF('Sales Data'!$D$2:$D$1201,A161)</f>
        <v>11</v>
      </c>
      <c r="G161" s="38" t="n">
        <f aca="false">_xlfn.MAXIFS('Sales Data'!$B$2:$B$1201,'Sales Data'!$D$2:$D$1201,A161)</f>
        <v>45993</v>
      </c>
      <c r="H161" s="37" t="n">
        <f aca="false">$Q$4-G161</f>
        <v>29</v>
      </c>
      <c r="I161" s="33" t="n">
        <f aca="false">SUMIFS('Sales Data'!$P$2:$P$1201,'Sales Data'!$D$2:$D$1201,A161)</f>
        <v>26935</v>
      </c>
      <c r="J161" s="37" t="n">
        <f aca="false">INDEX($Q$7:$Q$9,MATCH(H161,$P$7:$P$9,1))</f>
        <v>3</v>
      </c>
      <c r="K161" s="37" t="n">
        <f aca="false">INDEX($Q$12:$Q$14,MATCH(F161,$P$12:$P$14,1))</f>
        <v>3</v>
      </c>
      <c r="L161" s="37" t="n">
        <f aca="false">INDEX($Q$17:$Q$19,MATCH(I161,$P$17:$P$19,1))</f>
        <v>2</v>
      </c>
      <c r="M161" s="37" t="n">
        <f aca="false">J161+K161+L161</f>
        <v>8</v>
      </c>
      <c r="N161" s="39" t="str">
        <f aca="false">INDEX($Q$22:$Q$25,MATCH(M161,$P$22:$P$25,1))</f>
        <v>Champion</v>
      </c>
    </row>
    <row r="162" customFormat="false" ht="15" hidden="false" customHeight="true" outlineLevel="0" collapsed="false">
      <c r="A162" s="11" t="s">
        <v>530</v>
      </c>
      <c r="B162" s="11" t="s">
        <v>531</v>
      </c>
      <c r="C162" s="11" t="s">
        <v>159</v>
      </c>
      <c r="D162" s="11" t="s">
        <v>179</v>
      </c>
      <c r="F162" s="37" t="n">
        <f aca="false">COUNTIF('Sales Data'!$D$2:$D$1201,A162)</f>
        <v>3</v>
      </c>
      <c r="G162" s="38" t="n">
        <f aca="false">_xlfn.MAXIFS('Sales Data'!$B$2:$B$1201,'Sales Data'!$D$2:$D$1201,A162)</f>
        <v>45806</v>
      </c>
      <c r="H162" s="37" t="n">
        <f aca="false">$Q$4-G162</f>
        <v>216</v>
      </c>
      <c r="I162" s="33" t="n">
        <f aca="false">SUMIFS('Sales Data'!$P$2:$P$1201,'Sales Data'!$D$2:$D$1201,A162)</f>
        <v>3497</v>
      </c>
      <c r="J162" s="37" t="n">
        <f aca="false">INDEX($Q$7:$Q$9,MATCH(H162,$P$7:$P$9,1))</f>
        <v>1</v>
      </c>
      <c r="K162" s="37" t="n">
        <f aca="false">INDEX($Q$12:$Q$14,MATCH(F162,$P$12:$P$14,1))</f>
        <v>2</v>
      </c>
      <c r="L162" s="37" t="n">
        <f aca="false">INDEX($Q$17:$Q$19,MATCH(I162,$P$17:$P$19,1))</f>
        <v>1</v>
      </c>
      <c r="M162" s="37" t="n">
        <f aca="false">J162+K162+L162</f>
        <v>4</v>
      </c>
      <c r="N162" s="39" t="str">
        <f aca="false">INDEX($Q$22:$Q$25,MATCH(M162,$P$22:$P$25,1))</f>
        <v>At Risk</v>
      </c>
    </row>
    <row r="163" customFormat="false" ht="15" hidden="false" customHeight="true" outlineLevel="0" collapsed="false">
      <c r="A163" s="11" t="s">
        <v>753</v>
      </c>
      <c r="B163" s="11" t="s">
        <v>754</v>
      </c>
      <c r="C163" s="11" t="s">
        <v>159</v>
      </c>
      <c r="D163" s="11" t="s">
        <v>191</v>
      </c>
      <c r="F163" s="37" t="n">
        <f aca="false">COUNTIF('Sales Data'!$D$2:$D$1201,A163)</f>
        <v>2</v>
      </c>
      <c r="G163" s="38" t="n">
        <f aca="false">_xlfn.MAXIFS('Sales Data'!$B$2:$B$1201,'Sales Data'!$D$2:$D$1201,A163)</f>
        <v>45963</v>
      </c>
      <c r="H163" s="37" t="n">
        <f aca="false">$Q$4-G163</f>
        <v>59</v>
      </c>
      <c r="I163" s="33" t="n">
        <f aca="false">SUMIFS('Sales Data'!$P$2:$P$1201,'Sales Data'!$D$2:$D$1201,A163)</f>
        <v>1448</v>
      </c>
      <c r="J163" s="37" t="n">
        <f aca="false">INDEX($Q$7:$Q$9,MATCH(H163,$P$7:$P$9,1))</f>
        <v>2</v>
      </c>
      <c r="K163" s="37" t="n">
        <f aca="false">INDEX($Q$12:$Q$14,MATCH(F163,$P$12:$P$14,1))</f>
        <v>1</v>
      </c>
      <c r="L163" s="37" t="n">
        <f aca="false">INDEX($Q$17:$Q$19,MATCH(I163,$P$17:$P$19,1))</f>
        <v>1</v>
      </c>
      <c r="M163" s="37" t="n">
        <f aca="false">J163+K163+L163</f>
        <v>4</v>
      </c>
      <c r="N163" s="39" t="str">
        <f aca="false">INDEX($Q$22:$Q$25,MATCH(M163,$P$22:$P$25,1))</f>
        <v>At Risk</v>
      </c>
    </row>
    <row r="164" customFormat="false" ht="15" hidden="false" customHeight="true" outlineLevel="0" collapsed="false">
      <c r="A164" s="11" t="s">
        <v>935</v>
      </c>
      <c r="B164" s="11" t="s">
        <v>936</v>
      </c>
      <c r="C164" s="11" t="s">
        <v>159</v>
      </c>
      <c r="D164" s="11" t="s">
        <v>170</v>
      </c>
      <c r="F164" s="37" t="n">
        <f aca="false">COUNTIF('Sales Data'!$D$2:$D$1201,A164)</f>
        <v>2</v>
      </c>
      <c r="G164" s="38" t="n">
        <f aca="false">_xlfn.MAXIFS('Sales Data'!$B$2:$B$1201,'Sales Data'!$D$2:$D$1201,A164)</f>
        <v>46017</v>
      </c>
      <c r="H164" s="37" t="n">
        <f aca="false">$Q$4-G164</f>
        <v>5</v>
      </c>
      <c r="I164" s="33" t="n">
        <f aca="false">SUMIFS('Sales Data'!$P$2:$P$1201,'Sales Data'!$D$2:$D$1201,A164)</f>
        <v>6268</v>
      </c>
      <c r="J164" s="37" t="n">
        <f aca="false">INDEX($Q$7:$Q$9,MATCH(H164,$P$7:$P$9,1))</f>
        <v>3</v>
      </c>
      <c r="K164" s="37" t="n">
        <f aca="false">INDEX($Q$12:$Q$14,MATCH(F164,$P$12:$P$14,1))</f>
        <v>1</v>
      </c>
      <c r="L164" s="37" t="n">
        <f aca="false">INDEX($Q$17:$Q$19,MATCH(I164,$P$17:$P$19,1))</f>
        <v>1</v>
      </c>
      <c r="M164" s="37" t="n">
        <f aca="false">J164+K164+L164</f>
        <v>5</v>
      </c>
      <c r="N164" s="39" t="str">
        <f aca="false">INDEX($Q$22:$Q$25,MATCH(M164,$P$22:$P$25,1))</f>
        <v>At Risk</v>
      </c>
    </row>
    <row r="165" customFormat="false" ht="15" hidden="false" customHeight="true" outlineLevel="0" collapsed="false">
      <c r="A165" s="11" t="s">
        <v>1884</v>
      </c>
      <c r="B165" s="11" t="s">
        <v>1885</v>
      </c>
      <c r="C165" s="11" t="s">
        <v>159</v>
      </c>
      <c r="D165" s="11" t="s">
        <v>170</v>
      </c>
      <c r="F165" s="37" t="n">
        <f aca="false">COUNTIF('Sales Data'!$D$2:$D$1201,A165)</f>
        <v>1</v>
      </c>
      <c r="G165" s="38" t="n">
        <f aca="false">_xlfn.MAXIFS('Sales Data'!$B$2:$B$1201,'Sales Data'!$D$2:$D$1201,A165)</f>
        <v>46013</v>
      </c>
      <c r="H165" s="37" t="n">
        <f aca="false">$Q$4-G165</f>
        <v>9</v>
      </c>
      <c r="I165" s="33" t="n">
        <f aca="false">SUMIFS('Sales Data'!$P$2:$P$1201,'Sales Data'!$D$2:$D$1201,A165)</f>
        <v>2697</v>
      </c>
      <c r="J165" s="37" t="n">
        <f aca="false">INDEX($Q$7:$Q$9,MATCH(H165,$P$7:$P$9,1))</f>
        <v>3</v>
      </c>
      <c r="K165" s="37" t="n">
        <f aca="false">INDEX($Q$12:$Q$14,MATCH(F165,$P$12:$P$14,1))</f>
        <v>1</v>
      </c>
      <c r="L165" s="37" t="n">
        <f aca="false">INDEX($Q$17:$Q$19,MATCH(I165,$P$17:$P$19,1))</f>
        <v>1</v>
      </c>
      <c r="M165" s="37" t="n">
        <f aca="false">J165+K165+L165</f>
        <v>5</v>
      </c>
      <c r="N165" s="39" t="str">
        <f aca="false">INDEX($Q$22:$Q$25,MATCH(M165,$P$22:$P$25,1))</f>
        <v>At Risk</v>
      </c>
    </row>
    <row r="166" customFormat="false" ht="15" hidden="false" customHeight="true" outlineLevel="0" collapsed="false">
      <c r="A166" s="11" t="s">
        <v>267</v>
      </c>
      <c r="B166" s="11" t="s">
        <v>268</v>
      </c>
      <c r="C166" s="11" t="s">
        <v>159</v>
      </c>
      <c r="D166" s="11" t="s">
        <v>269</v>
      </c>
      <c r="F166" s="37" t="n">
        <f aca="false">COUNTIF('Sales Data'!$D$2:$D$1201,A166)</f>
        <v>17</v>
      </c>
      <c r="G166" s="38" t="n">
        <f aca="false">_xlfn.MAXIFS('Sales Data'!$B$2:$B$1201,'Sales Data'!$D$2:$D$1201,A166)</f>
        <v>46019</v>
      </c>
      <c r="H166" s="37" t="n">
        <f aca="false">$Q$4-G166</f>
        <v>3</v>
      </c>
      <c r="I166" s="33" t="n">
        <f aca="false">SUMIFS('Sales Data'!$P$2:$P$1201,'Sales Data'!$D$2:$D$1201,A166)</f>
        <v>80129</v>
      </c>
      <c r="J166" s="37" t="n">
        <f aca="false">INDEX($Q$7:$Q$9,MATCH(H166,$P$7:$P$9,1))</f>
        <v>3</v>
      </c>
      <c r="K166" s="37" t="n">
        <f aca="false">INDEX($Q$12:$Q$14,MATCH(F166,$P$12:$P$14,1))</f>
        <v>3</v>
      </c>
      <c r="L166" s="37" t="n">
        <f aca="false">INDEX($Q$17:$Q$19,MATCH(I166,$P$17:$P$19,1))</f>
        <v>3</v>
      </c>
      <c r="M166" s="37" t="n">
        <f aca="false">J166+K166+L166</f>
        <v>9</v>
      </c>
      <c r="N166" s="39" t="str">
        <f aca="false">INDEX($Q$22:$Q$25,MATCH(M166,$P$22:$P$25,1))</f>
        <v>Champion</v>
      </c>
    </row>
    <row r="167" customFormat="false" ht="15" hidden="false" customHeight="true" outlineLevel="0" collapsed="false">
      <c r="A167" s="11" t="s">
        <v>221</v>
      </c>
      <c r="B167" s="11" t="s">
        <v>222</v>
      </c>
      <c r="C167" s="11" t="s">
        <v>219</v>
      </c>
      <c r="D167" s="11" t="s">
        <v>161</v>
      </c>
      <c r="F167" s="37" t="n">
        <f aca="false">COUNTIF('Sales Data'!$D$2:$D$1201,A167)</f>
        <v>9</v>
      </c>
      <c r="G167" s="38" t="n">
        <f aca="false">_xlfn.MAXIFS('Sales Data'!$B$2:$B$1201,'Sales Data'!$D$2:$D$1201,A167)</f>
        <v>45985</v>
      </c>
      <c r="H167" s="37" t="n">
        <f aca="false">$Q$4-G167</f>
        <v>37</v>
      </c>
      <c r="I167" s="33" t="n">
        <f aca="false">SUMIFS('Sales Data'!$P$2:$P$1201,'Sales Data'!$D$2:$D$1201,A167)</f>
        <v>17787</v>
      </c>
      <c r="J167" s="37" t="n">
        <f aca="false">INDEX($Q$7:$Q$9,MATCH(H167,$P$7:$P$9,1))</f>
        <v>3</v>
      </c>
      <c r="K167" s="37" t="n">
        <f aca="false">INDEX($Q$12:$Q$14,MATCH(F167,$P$12:$P$14,1))</f>
        <v>3</v>
      </c>
      <c r="L167" s="37" t="n">
        <f aca="false">INDEX($Q$17:$Q$19,MATCH(I167,$P$17:$P$19,1))</f>
        <v>2</v>
      </c>
      <c r="M167" s="37" t="n">
        <f aca="false">J167+K167+L167</f>
        <v>8</v>
      </c>
      <c r="N167" s="39" t="str">
        <f aca="false">INDEX($Q$22:$Q$25,MATCH(M167,$P$22:$P$25,1))</f>
        <v>Champion</v>
      </c>
    </row>
    <row r="168" customFormat="false" ht="15" hidden="false" customHeight="true" outlineLevel="0" collapsed="false">
      <c r="A168" s="11" t="s">
        <v>1153</v>
      </c>
      <c r="B168" s="11" t="s">
        <v>1154</v>
      </c>
      <c r="C168" s="11" t="s">
        <v>159</v>
      </c>
      <c r="D168" s="11" t="s">
        <v>161</v>
      </c>
      <c r="F168" s="37" t="n">
        <f aca="false">COUNTIF('Sales Data'!$D$2:$D$1201,A168)</f>
        <v>4</v>
      </c>
      <c r="G168" s="38" t="n">
        <f aca="false">_xlfn.MAXIFS('Sales Data'!$B$2:$B$1201,'Sales Data'!$D$2:$D$1201,A168)</f>
        <v>45992</v>
      </c>
      <c r="H168" s="37" t="n">
        <f aca="false">$Q$4-G168</f>
        <v>30</v>
      </c>
      <c r="I168" s="33" t="n">
        <f aca="false">SUMIFS('Sales Data'!$P$2:$P$1201,'Sales Data'!$D$2:$D$1201,A168)</f>
        <v>12162</v>
      </c>
      <c r="J168" s="37" t="n">
        <f aca="false">INDEX($Q$7:$Q$9,MATCH(H168,$P$7:$P$9,1))</f>
        <v>3</v>
      </c>
      <c r="K168" s="37" t="n">
        <f aca="false">INDEX($Q$12:$Q$14,MATCH(F168,$P$12:$P$14,1))</f>
        <v>2</v>
      </c>
      <c r="L168" s="37" t="n">
        <f aca="false">INDEX($Q$17:$Q$19,MATCH(I168,$P$17:$P$19,1))</f>
        <v>2</v>
      </c>
      <c r="M168" s="37" t="n">
        <f aca="false">J168+K168+L168</f>
        <v>7</v>
      </c>
      <c r="N168" s="39" t="str">
        <f aca="false">INDEX($Q$22:$Q$25,MATCH(M168,$P$22:$P$25,1))</f>
        <v>Loyal</v>
      </c>
    </row>
    <row r="169" customFormat="false" ht="15" hidden="false" customHeight="true" outlineLevel="0" collapsed="false">
      <c r="A169" s="11" t="s">
        <v>1492</v>
      </c>
      <c r="B169" s="11" t="s">
        <v>1493</v>
      </c>
      <c r="C169" s="11" t="s">
        <v>219</v>
      </c>
      <c r="D169" s="11" t="s">
        <v>170</v>
      </c>
      <c r="F169" s="37" t="n">
        <f aca="false">COUNTIF('Sales Data'!$D$2:$D$1201,A169)</f>
        <v>3</v>
      </c>
      <c r="G169" s="38" t="n">
        <f aca="false">_xlfn.MAXIFS('Sales Data'!$B$2:$B$1201,'Sales Data'!$D$2:$D$1201,A169)</f>
        <v>45964</v>
      </c>
      <c r="H169" s="37" t="n">
        <f aca="false">$Q$4-G169</f>
        <v>58</v>
      </c>
      <c r="I169" s="33" t="n">
        <f aca="false">SUMIFS('Sales Data'!$P$2:$P$1201,'Sales Data'!$D$2:$D$1201,A169)</f>
        <v>2071</v>
      </c>
      <c r="J169" s="37" t="n">
        <f aca="false">INDEX($Q$7:$Q$9,MATCH(H169,$P$7:$P$9,1))</f>
        <v>2</v>
      </c>
      <c r="K169" s="37" t="n">
        <f aca="false">INDEX($Q$12:$Q$14,MATCH(F169,$P$12:$P$14,1))</f>
        <v>2</v>
      </c>
      <c r="L169" s="37" t="n">
        <f aca="false">INDEX($Q$17:$Q$19,MATCH(I169,$P$17:$P$19,1))</f>
        <v>1</v>
      </c>
      <c r="M169" s="37" t="n">
        <f aca="false">J169+K169+L169</f>
        <v>5</v>
      </c>
      <c r="N169" s="39" t="str">
        <f aca="false">INDEX($Q$22:$Q$25,MATCH(M169,$P$22:$P$25,1))</f>
        <v>At Risk</v>
      </c>
    </row>
    <row r="170" customFormat="false" ht="15" hidden="false" customHeight="true" outlineLevel="0" collapsed="false">
      <c r="A170" s="11" t="s">
        <v>244</v>
      </c>
      <c r="B170" s="11" t="s">
        <v>245</v>
      </c>
      <c r="C170" s="11" t="s">
        <v>178</v>
      </c>
      <c r="D170" s="11" t="s">
        <v>207</v>
      </c>
      <c r="F170" s="37" t="n">
        <f aca="false">COUNTIF('Sales Data'!$D$2:$D$1201,A170)</f>
        <v>16</v>
      </c>
      <c r="G170" s="38" t="n">
        <f aca="false">_xlfn.MAXIFS('Sales Data'!$B$2:$B$1201,'Sales Data'!$D$2:$D$1201,A170)</f>
        <v>45983</v>
      </c>
      <c r="H170" s="37" t="n">
        <f aca="false">$Q$4-G170</f>
        <v>39</v>
      </c>
      <c r="I170" s="33" t="n">
        <f aca="false">SUMIFS('Sales Data'!$P$2:$P$1201,'Sales Data'!$D$2:$D$1201,A170)</f>
        <v>112929</v>
      </c>
      <c r="J170" s="37" t="n">
        <f aca="false">INDEX($Q$7:$Q$9,MATCH(H170,$P$7:$P$9,1))</f>
        <v>3</v>
      </c>
      <c r="K170" s="37" t="n">
        <f aca="false">INDEX($Q$12:$Q$14,MATCH(F170,$P$12:$P$14,1))</f>
        <v>3</v>
      </c>
      <c r="L170" s="37" t="n">
        <f aca="false">INDEX($Q$17:$Q$19,MATCH(I170,$P$17:$P$19,1))</f>
        <v>3</v>
      </c>
      <c r="M170" s="37" t="n">
        <f aca="false">J170+K170+L170</f>
        <v>9</v>
      </c>
      <c r="N170" s="39" t="str">
        <f aca="false">INDEX($Q$22:$Q$25,MATCH(M170,$P$22:$P$25,1))</f>
        <v>Champion</v>
      </c>
    </row>
    <row r="171" customFormat="false" ht="15" hidden="false" customHeight="true" outlineLevel="0" collapsed="false">
      <c r="A171" s="11" t="s">
        <v>697</v>
      </c>
      <c r="B171" s="11" t="s">
        <v>698</v>
      </c>
      <c r="C171" s="11" t="s">
        <v>219</v>
      </c>
      <c r="D171" s="11" t="s">
        <v>269</v>
      </c>
      <c r="F171" s="37" t="n">
        <f aca="false">COUNTIF('Sales Data'!$D$2:$D$1201,A171)</f>
        <v>7</v>
      </c>
      <c r="G171" s="38" t="n">
        <f aca="false">_xlfn.MAXIFS('Sales Data'!$B$2:$B$1201,'Sales Data'!$D$2:$D$1201,A171)</f>
        <v>45961</v>
      </c>
      <c r="H171" s="37" t="n">
        <f aca="false">$Q$4-G171</f>
        <v>61</v>
      </c>
      <c r="I171" s="33" t="n">
        <f aca="false">SUMIFS('Sales Data'!$P$2:$P$1201,'Sales Data'!$D$2:$D$1201,A171)</f>
        <v>40709</v>
      </c>
      <c r="J171" s="37" t="n">
        <f aca="false">INDEX($Q$7:$Q$9,MATCH(H171,$P$7:$P$9,1))</f>
        <v>2</v>
      </c>
      <c r="K171" s="37" t="n">
        <f aca="false">INDEX($Q$12:$Q$14,MATCH(F171,$P$12:$P$14,1))</f>
        <v>3</v>
      </c>
      <c r="L171" s="37" t="n">
        <f aca="false">INDEX($Q$17:$Q$19,MATCH(I171,$P$17:$P$19,1))</f>
        <v>2</v>
      </c>
      <c r="M171" s="37" t="n">
        <f aca="false">J171+K171+L171</f>
        <v>7</v>
      </c>
      <c r="N171" s="39" t="str">
        <f aca="false">INDEX($Q$22:$Q$25,MATCH(M171,$P$22:$P$25,1))</f>
        <v>Loyal</v>
      </c>
    </row>
    <row r="172" customFormat="false" ht="15" hidden="false" customHeight="true" outlineLevel="0" collapsed="false">
      <c r="A172" s="11" t="s">
        <v>274</v>
      </c>
      <c r="B172" s="11" t="s">
        <v>275</v>
      </c>
      <c r="C172" s="11" t="s">
        <v>159</v>
      </c>
      <c r="D172" s="11" t="s">
        <v>207</v>
      </c>
      <c r="F172" s="37" t="n">
        <f aca="false">COUNTIF('Sales Data'!$D$2:$D$1201,A172)</f>
        <v>3</v>
      </c>
      <c r="G172" s="38" t="n">
        <f aca="false">_xlfn.MAXIFS('Sales Data'!$B$2:$B$1201,'Sales Data'!$D$2:$D$1201,A172)</f>
        <v>45738</v>
      </c>
      <c r="H172" s="37" t="n">
        <f aca="false">$Q$4-G172</f>
        <v>284</v>
      </c>
      <c r="I172" s="33" t="n">
        <f aca="false">SUMIFS('Sales Data'!$P$2:$P$1201,'Sales Data'!$D$2:$D$1201,A172)</f>
        <v>12474</v>
      </c>
      <c r="J172" s="37" t="n">
        <f aca="false">INDEX($Q$7:$Q$9,MATCH(H172,$P$7:$P$9,1))</f>
        <v>1</v>
      </c>
      <c r="K172" s="37" t="n">
        <f aca="false">INDEX($Q$12:$Q$14,MATCH(F172,$P$12:$P$14,1))</f>
        <v>2</v>
      </c>
      <c r="L172" s="37" t="n">
        <f aca="false">INDEX($Q$17:$Q$19,MATCH(I172,$P$17:$P$19,1))</f>
        <v>2</v>
      </c>
      <c r="M172" s="37" t="n">
        <f aca="false">J172+K172+L172</f>
        <v>5</v>
      </c>
      <c r="N172" s="39" t="str">
        <f aca="false">INDEX($Q$22:$Q$25,MATCH(M172,$P$22:$P$25,1))</f>
        <v>At Risk</v>
      </c>
    </row>
    <row r="173" customFormat="false" ht="15" hidden="false" customHeight="true" outlineLevel="0" collapsed="false">
      <c r="A173" s="11" t="s">
        <v>396</v>
      </c>
      <c r="B173" s="11" t="s">
        <v>397</v>
      </c>
      <c r="C173" s="11" t="s">
        <v>178</v>
      </c>
      <c r="D173" s="11" t="s">
        <v>269</v>
      </c>
      <c r="F173" s="37" t="n">
        <f aca="false">COUNTIF('Sales Data'!$D$2:$D$1201,A173)</f>
        <v>10</v>
      </c>
      <c r="G173" s="38" t="n">
        <f aca="false">_xlfn.MAXIFS('Sales Data'!$B$2:$B$1201,'Sales Data'!$D$2:$D$1201,A173)</f>
        <v>45930</v>
      </c>
      <c r="H173" s="37" t="n">
        <f aca="false">$Q$4-G173</f>
        <v>92</v>
      </c>
      <c r="I173" s="33" t="n">
        <f aca="false">SUMIFS('Sales Data'!$P$2:$P$1201,'Sales Data'!$D$2:$D$1201,A173)</f>
        <v>35016</v>
      </c>
      <c r="J173" s="37" t="n">
        <f aca="false">INDEX($Q$7:$Q$9,MATCH(H173,$P$7:$P$9,1))</f>
        <v>2</v>
      </c>
      <c r="K173" s="37" t="n">
        <f aca="false">INDEX($Q$12:$Q$14,MATCH(F173,$P$12:$P$14,1))</f>
        <v>3</v>
      </c>
      <c r="L173" s="37" t="n">
        <f aca="false">INDEX($Q$17:$Q$19,MATCH(I173,$P$17:$P$19,1))</f>
        <v>2</v>
      </c>
      <c r="M173" s="37" t="n">
        <f aca="false">J173+K173+L173</f>
        <v>7</v>
      </c>
      <c r="N173" s="39" t="str">
        <f aca="false">INDEX($Q$22:$Q$25,MATCH(M173,$P$22:$P$25,1))</f>
        <v>Loyal</v>
      </c>
    </row>
    <row r="174" customFormat="false" ht="15" hidden="false" customHeight="true" outlineLevel="0" collapsed="false">
      <c r="A174" s="11" t="s">
        <v>363</v>
      </c>
      <c r="B174" s="11" t="s">
        <v>364</v>
      </c>
      <c r="C174" s="11" t="s">
        <v>159</v>
      </c>
      <c r="D174" s="11" t="s">
        <v>170</v>
      </c>
      <c r="F174" s="37" t="n">
        <f aca="false">COUNTIF('Sales Data'!$D$2:$D$1201,A174)</f>
        <v>4</v>
      </c>
      <c r="G174" s="38" t="n">
        <f aca="false">_xlfn.MAXIFS('Sales Data'!$B$2:$B$1201,'Sales Data'!$D$2:$D$1201,A174)</f>
        <v>46000</v>
      </c>
      <c r="H174" s="37" t="n">
        <f aca="false">$Q$4-G174</f>
        <v>22</v>
      </c>
      <c r="I174" s="33" t="n">
        <f aca="false">SUMIFS('Sales Data'!$P$2:$P$1201,'Sales Data'!$D$2:$D$1201,A174)</f>
        <v>22577</v>
      </c>
      <c r="J174" s="37" t="n">
        <f aca="false">INDEX($Q$7:$Q$9,MATCH(H174,$P$7:$P$9,1))</f>
        <v>3</v>
      </c>
      <c r="K174" s="37" t="n">
        <f aca="false">INDEX($Q$12:$Q$14,MATCH(F174,$P$12:$P$14,1))</f>
        <v>2</v>
      </c>
      <c r="L174" s="37" t="n">
        <f aca="false">INDEX($Q$17:$Q$19,MATCH(I174,$P$17:$P$19,1))</f>
        <v>2</v>
      </c>
      <c r="M174" s="37" t="n">
        <f aca="false">J174+K174+L174</f>
        <v>7</v>
      </c>
      <c r="N174" s="39" t="str">
        <f aca="false">INDEX($Q$22:$Q$25,MATCH(M174,$P$22:$P$25,1))</f>
        <v>Loyal</v>
      </c>
    </row>
    <row r="175" customFormat="false" ht="15" hidden="false" customHeight="true" outlineLevel="0" collapsed="false">
      <c r="A175" s="11" t="s">
        <v>982</v>
      </c>
      <c r="B175" s="11" t="s">
        <v>983</v>
      </c>
      <c r="C175" s="11" t="s">
        <v>219</v>
      </c>
      <c r="D175" s="11" t="s">
        <v>170</v>
      </c>
      <c r="F175" s="37" t="n">
        <f aca="false">COUNTIF('Sales Data'!$D$2:$D$1201,A175)</f>
        <v>2</v>
      </c>
      <c r="G175" s="38" t="n">
        <f aca="false">_xlfn.MAXIFS('Sales Data'!$B$2:$B$1201,'Sales Data'!$D$2:$D$1201,A175)</f>
        <v>45920</v>
      </c>
      <c r="H175" s="37" t="n">
        <f aca="false">$Q$4-G175</f>
        <v>102</v>
      </c>
      <c r="I175" s="33" t="n">
        <f aca="false">SUMIFS('Sales Data'!$P$2:$P$1201,'Sales Data'!$D$2:$D$1201,A175)</f>
        <v>21495</v>
      </c>
      <c r="J175" s="37" t="n">
        <f aca="false">INDEX($Q$7:$Q$9,MATCH(H175,$P$7:$P$9,1))</f>
        <v>2</v>
      </c>
      <c r="K175" s="37" t="n">
        <f aca="false">INDEX($Q$12:$Q$14,MATCH(F175,$P$12:$P$14,1))</f>
        <v>1</v>
      </c>
      <c r="L175" s="37" t="n">
        <f aca="false">INDEX($Q$17:$Q$19,MATCH(I175,$P$17:$P$19,1))</f>
        <v>2</v>
      </c>
      <c r="M175" s="37" t="n">
        <f aca="false">J175+K175+L175</f>
        <v>5</v>
      </c>
      <c r="N175" s="39" t="str">
        <f aca="false">INDEX($Q$22:$Q$25,MATCH(M175,$P$22:$P$25,1))</f>
        <v>At Risk</v>
      </c>
    </row>
    <row r="176" customFormat="false" ht="15" hidden="false" customHeight="true" outlineLevel="0" collapsed="false">
      <c r="A176" s="11" t="s">
        <v>176</v>
      </c>
      <c r="B176" s="11" t="s">
        <v>177</v>
      </c>
      <c r="C176" s="11" t="s">
        <v>178</v>
      </c>
      <c r="D176" s="11" t="s">
        <v>179</v>
      </c>
      <c r="F176" s="37" t="n">
        <f aca="false">COUNTIF('Sales Data'!$D$2:$D$1201,A176)</f>
        <v>5</v>
      </c>
      <c r="G176" s="38" t="n">
        <f aca="false">_xlfn.MAXIFS('Sales Data'!$B$2:$B$1201,'Sales Data'!$D$2:$D$1201,A176)</f>
        <v>45998</v>
      </c>
      <c r="H176" s="37" t="n">
        <f aca="false">$Q$4-G176</f>
        <v>24</v>
      </c>
      <c r="I176" s="33" t="n">
        <f aca="false">SUMIFS('Sales Data'!$P$2:$P$1201,'Sales Data'!$D$2:$D$1201,A176)</f>
        <v>7763</v>
      </c>
      <c r="J176" s="37" t="n">
        <f aca="false">INDEX($Q$7:$Q$9,MATCH(H176,$P$7:$P$9,1))</f>
        <v>3</v>
      </c>
      <c r="K176" s="37" t="n">
        <f aca="false">INDEX($Q$12:$Q$14,MATCH(F176,$P$12:$P$14,1))</f>
        <v>2</v>
      </c>
      <c r="L176" s="37" t="n">
        <f aca="false">INDEX($Q$17:$Q$19,MATCH(I176,$P$17:$P$19,1))</f>
        <v>1</v>
      </c>
      <c r="M176" s="37" t="n">
        <f aca="false">J176+K176+L176</f>
        <v>6</v>
      </c>
      <c r="N176" s="39" t="str">
        <f aca="false">INDEX($Q$22:$Q$25,MATCH(M176,$P$22:$P$25,1))</f>
        <v>Loyal</v>
      </c>
    </row>
    <row r="177" customFormat="false" ht="15" hidden="false" customHeight="true" outlineLevel="0" collapsed="false">
      <c r="A177" s="11" t="s">
        <v>348</v>
      </c>
      <c r="B177" s="11" t="s">
        <v>349</v>
      </c>
      <c r="C177" s="11" t="s">
        <v>159</v>
      </c>
      <c r="D177" s="11" t="s">
        <v>191</v>
      </c>
      <c r="F177" s="37" t="n">
        <f aca="false">COUNTIF('Sales Data'!$D$2:$D$1201,A177)</f>
        <v>3</v>
      </c>
      <c r="G177" s="38" t="n">
        <f aca="false">_xlfn.MAXIFS('Sales Data'!$B$2:$B$1201,'Sales Data'!$D$2:$D$1201,A177)</f>
        <v>45934</v>
      </c>
      <c r="H177" s="37" t="n">
        <f aca="false">$Q$4-G177</f>
        <v>88</v>
      </c>
      <c r="I177" s="33" t="n">
        <f aca="false">SUMIFS('Sales Data'!$P$2:$P$1201,'Sales Data'!$D$2:$D$1201,A177)</f>
        <v>7146</v>
      </c>
      <c r="J177" s="37" t="n">
        <f aca="false">INDEX($Q$7:$Q$9,MATCH(H177,$P$7:$P$9,1))</f>
        <v>2</v>
      </c>
      <c r="K177" s="37" t="n">
        <f aca="false">INDEX($Q$12:$Q$14,MATCH(F177,$P$12:$P$14,1))</f>
        <v>2</v>
      </c>
      <c r="L177" s="37" t="n">
        <f aca="false">INDEX($Q$17:$Q$19,MATCH(I177,$P$17:$P$19,1))</f>
        <v>1</v>
      </c>
      <c r="M177" s="37" t="n">
        <f aca="false">J177+K177+L177</f>
        <v>5</v>
      </c>
      <c r="N177" s="39" t="str">
        <f aca="false">INDEX($Q$22:$Q$25,MATCH(M177,$P$22:$P$25,1))</f>
        <v>At Risk</v>
      </c>
    </row>
    <row r="178" customFormat="false" ht="15" hidden="false" customHeight="true" outlineLevel="0" collapsed="false">
      <c r="A178" s="11" t="s">
        <v>318</v>
      </c>
      <c r="B178" s="11" t="s">
        <v>319</v>
      </c>
      <c r="C178" s="11" t="s">
        <v>219</v>
      </c>
      <c r="D178" s="11" t="s">
        <v>263</v>
      </c>
      <c r="F178" s="37" t="n">
        <f aca="false">COUNTIF('Sales Data'!$D$2:$D$1201,A178)</f>
        <v>10</v>
      </c>
      <c r="G178" s="38" t="n">
        <f aca="false">_xlfn.MAXIFS('Sales Data'!$B$2:$B$1201,'Sales Data'!$D$2:$D$1201,A178)</f>
        <v>46020</v>
      </c>
      <c r="H178" s="37" t="n">
        <f aca="false">$Q$4-G178</f>
        <v>2</v>
      </c>
      <c r="I178" s="33" t="n">
        <f aca="false">SUMIFS('Sales Data'!$P$2:$P$1201,'Sales Data'!$D$2:$D$1201,A178)</f>
        <v>47453</v>
      </c>
      <c r="J178" s="37" t="n">
        <f aca="false">INDEX($Q$7:$Q$9,MATCH(H178,$P$7:$P$9,1))</f>
        <v>3</v>
      </c>
      <c r="K178" s="37" t="n">
        <f aca="false">INDEX($Q$12:$Q$14,MATCH(F178,$P$12:$P$14,1))</f>
        <v>3</v>
      </c>
      <c r="L178" s="37" t="n">
        <f aca="false">INDEX($Q$17:$Q$19,MATCH(I178,$P$17:$P$19,1))</f>
        <v>3</v>
      </c>
      <c r="M178" s="37" t="n">
        <f aca="false">J178+K178+L178</f>
        <v>9</v>
      </c>
      <c r="N178" s="39" t="str">
        <f aca="false">INDEX($Q$22:$Q$25,MATCH(M178,$P$22:$P$25,1))</f>
        <v>Champion</v>
      </c>
    </row>
    <row r="179" customFormat="false" ht="15" hidden="false" customHeight="true" outlineLevel="0" collapsed="false">
      <c r="A179" s="11" t="s">
        <v>416</v>
      </c>
      <c r="B179" s="11" t="s">
        <v>417</v>
      </c>
      <c r="C179" s="11" t="s">
        <v>159</v>
      </c>
      <c r="D179" s="11" t="s">
        <v>269</v>
      </c>
      <c r="F179" s="37" t="n">
        <f aca="false">COUNTIF('Sales Data'!$D$2:$D$1201,A179)</f>
        <v>9</v>
      </c>
      <c r="G179" s="38" t="n">
        <f aca="false">_xlfn.MAXIFS('Sales Data'!$B$2:$B$1201,'Sales Data'!$D$2:$D$1201,A179)</f>
        <v>46003</v>
      </c>
      <c r="H179" s="37" t="n">
        <f aca="false">$Q$4-G179</f>
        <v>19</v>
      </c>
      <c r="I179" s="33" t="n">
        <f aca="false">SUMIFS('Sales Data'!$P$2:$P$1201,'Sales Data'!$D$2:$D$1201,A179)</f>
        <v>16024</v>
      </c>
      <c r="J179" s="37" t="n">
        <f aca="false">INDEX($Q$7:$Q$9,MATCH(H179,$P$7:$P$9,1))</f>
        <v>3</v>
      </c>
      <c r="K179" s="37" t="n">
        <f aca="false">INDEX($Q$12:$Q$14,MATCH(F179,$P$12:$P$14,1))</f>
        <v>3</v>
      </c>
      <c r="L179" s="37" t="n">
        <f aca="false">INDEX($Q$17:$Q$19,MATCH(I179,$P$17:$P$19,1))</f>
        <v>2</v>
      </c>
      <c r="M179" s="37" t="n">
        <f aca="false">J179+K179+L179</f>
        <v>8</v>
      </c>
      <c r="N179" s="39" t="str">
        <f aca="false">INDEX($Q$22:$Q$25,MATCH(M179,$P$22:$P$25,1))</f>
        <v>Champion</v>
      </c>
    </row>
    <row r="180" customFormat="false" ht="15" hidden="false" customHeight="true" outlineLevel="0" collapsed="false">
      <c r="A180" s="11" t="s">
        <v>366</v>
      </c>
      <c r="B180" s="11" t="s">
        <v>367</v>
      </c>
      <c r="C180" s="11" t="s">
        <v>159</v>
      </c>
      <c r="D180" s="11" t="s">
        <v>170</v>
      </c>
      <c r="F180" s="37" t="n">
        <f aca="false">COUNTIF('Sales Data'!$D$2:$D$1201,A180)</f>
        <v>1</v>
      </c>
      <c r="G180" s="38" t="n">
        <f aca="false">_xlfn.MAXIFS('Sales Data'!$B$2:$B$1201,'Sales Data'!$D$2:$D$1201,A180)</f>
        <v>45676</v>
      </c>
      <c r="H180" s="37" t="n">
        <f aca="false">$Q$4-G180</f>
        <v>346</v>
      </c>
      <c r="I180" s="33" t="n">
        <f aca="false">SUMIFS('Sales Data'!$P$2:$P$1201,'Sales Data'!$D$2:$D$1201,A180)</f>
        <v>509</v>
      </c>
      <c r="J180" s="37" t="n">
        <f aca="false">INDEX($Q$7:$Q$9,MATCH(H180,$P$7:$P$9,1))</f>
        <v>1</v>
      </c>
      <c r="K180" s="37" t="n">
        <f aca="false">INDEX($Q$12:$Q$14,MATCH(F180,$P$12:$P$14,1))</f>
        <v>1</v>
      </c>
      <c r="L180" s="37" t="n">
        <f aca="false">INDEX($Q$17:$Q$19,MATCH(I180,$P$17:$P$19,1))</f>
        <v>1</v>
      </c>
      <c r="M180" s="37" t="n">
        <f aca="false">J180+K180+L180</f>
        <v>3</v>
      </c>
      <c r="N180" s="39" t="str">
        <f aca="false">INDEX($Q$22:$Q$25,MATCH(M180,$P$22:$P$25,1))</f>
        <v>Lost</v>
      </c>
    </row>
    <row r="181" customFormat="false" ht="15" hidden="false" customHeight="true" outlineLevel="0" collapsed="false">
      <c r="A181" s="11" t="s">
        <v>604</v>
      </c>
      <c r="B181" s="11" t="s">
        <v>605</v>
      </c>
      <c r="C181" s="11" t="s">
        <v>159</v>
      </c>
      <c r="D181" s="11" t="s">
        <v>207</v>
      </c>
      <c r="F181" s="37" t="n">
        <f aca="false">COUNTIF('Sales Data'!$D$2:$D$1201,A181)</f>
        <v>2</v>
      </c>
      <c r="G181" s="38" t="n">
        <f aca="false">_xlfn.MAXIFS('Sales Data'!$B$2:$B$1201,'Sales Data'!$D$2:$D$1201,A181)</f>
        <v>45984</v>
      </c>
      <c r="H181" s="37" t="n">
        <f aca="false">$Q$4-G181</f>
        <v>38</v>
      </c>
      <c r="I181" s="33" t="n">
        <f aca="false">SUMIFS('Sales Data'!$P$2:$P$1201,'Sales Data'!$D$2:$D$1201,A181)</f>
        <v>6140</v>
      </c>
      <c r="J181" s="37" t="n">
        <f aca="false">INDEX($Q$7:$Q$9,MATCH(H181,$P$7:$P$9,1))</f>
        <v>3</v>
      </c>
      <c r="K181" s="37" t="n">
        <f aca="false">INDEX($Q$12:$Q$14,MATCH(F181,$P$12:$P$14,1))</f>
        <v>1</v>
      </c>
      <c r="L181" s="37" t="n">
        <f aca="false">INDEX($Q$17:$Q$19,MATCH(I181,$P$17:$P$19,1))</f>
        <v>1</v>
      </c>
      <c r="M181" s="37" t="n">
        <f aca="false">J181+K181+L181</f>
        <v>5</v>
      </c>
      <c r="N181" s="39" t="str">
        <f aca="false">INDEX($Q$22:$Q$25,MATCH(M181,$P$22:$P$25,1))</f>
        <v>At Risk</v>
      </c>
    </row>
    <row r="182" customFormat="false" ht="15" hidden="false" customHeight="true" outlineLevel="0" collapsed="false">
      <c r="A182" s="11" t="s">
        <v>296</v>
      </c>
      <c r="B182" s="11" t="s">
        <v>297</v>
      </c>
      <c r="C182" s="11" t="s">
        <v>178</v>
      </c>
      <c r="D182" s="11" t="s">
        <v>179</v>
      </c>
      <c r="F182" s="37" t="n">
        <f aca="false">COUNTIF('Sales Data'!$D$2:$D$1201,A182)</f>
        <v>8</v>
      </c>
      <c r="G182" s="38" t="n">
        <f aca="false">_xlfn.MAXIFS('Sales Data'!$B$2:$B$1201,'Sales Data'!$D$2:$D$1201,A182)</f>
        <v>45993</v>
      </c>
      <c r="H182" s="37" t="n">
        <f aca="false">$Q$4-G182</f>
        <v>29</v>
      </c>
      <c r="I182" s="33" t="n">
        <f aca="false">SUMIFS('Sales Data'!$P$2:$P$1201,'Sales Data'!$D$2:$D$1201,A182)</f>
        <v>40682</v>
      </c>
      <c r="J182" s="37" t="n">
        <f aca="false">INDEX($Q$7:$Q$9,MATCH(H182,$P$7:$P$9,1))</f>
        <v>3</v>
      </c>
      <c r="K182" s="37" t="n">
        <f aca="false">INDEX($Q$12:$Q$14,MATCH(F182,$P$12:$P$14,1))</f>
        <v>3</v>
      </c>
      <c r="L182" s="37" t="n">
        <f aca="false">INDEX($Q$17:$Q$19,MATCH(I182,$P$17:$P$19,1))</f>
        <v>2</v>
      </c>
      <c r="M182" s="37" t="n">
        <f aca="false">J182+K182+L182</f>
        <v>8</v>
      </c>
      <c r="N182" s="39" t="str">
        <f aca="false">INDEX($Q$22:$Q$25,MATCH(M182,$P$22:$P$25,1))</f>
        <v>Champion</v>
      </c>
    </row>
    <row r="183" customFormat="false" ht="15" hidden="false" customHeight="true" outlineLevel="0" collapsed="false">
      <c r="A183" s="11" t="s">
        <v>287</v>
      </c>
      <c r="B183" s="11" t="s">
        <v>288</v>
      </c>
      <c r="C183" s="11" t="s">
        <v>219</v>
      </c>
      <c r="D183" s="11" t="s">
        <v>170</v>
      </c>
      <c r="F183" s="37" t="n">
        <f aca="false">COUNTIF('Sales Data'!$D$2:$D$1201,A183)</f>
        <v>1</v>
      </c>
      <c r="G183" s="38" t="n">
        <f aca="false">_xlfn.MAXIFS('Sales Data'!$B$2:$B$1201,'Sales Data'!$D$2:$D$1201,A183)</f>
        <v>45670</v>
      </c>
      <c r="H183" s="37" t="n">
        <f aca="false">$Q$4-G183</f>
        <v>352</v>
      </c>
      <c r="I183" s="33" t="n">
        <f aca="false">SUMIFS('Sales Data'!$P$2:$P$1201,'Sales Data'!$D$2:$D$1201,A183)</f>
        <v>3198</v>
      </c>
      <c r="J183" s="37" t="n">
        <f aca="false">INDEX($Q$7:$Q$9,MATCH(H183,$P$7:$P$9,1))</f>
        <v>1</v>
      </c>
      <c r="K183" s="37" t="n">
        <f aca="false">INDEX($Q$12:$Q$14,MATCH(F183,$P$12:$P$14,1))</f>
        <v>1</v>
      </c>
      <c r="L183" s="37" t="n">
        <f aca="false">INDEX($Q$17:$Q$19,MATCH(I183,$P$17:$P$19,1))</f>
        <v>1</v>
      </c>
      <c r="M183" s="37" t="n">
        <f aca="false">J183+K183+L183</f>
        <v>3</v>
      </c>
      <c r="N183" s="39" t="str">
        <f aca="false">INDEX($Q$22:$Q$25,MATCH(M183,$P$22:$P$25,1))</f>
        <v>Lost</v>
      </c>
    </row>
    <row r="184" customFormat="false" ht="15" hidden="false" customHeight="true" outlineLevel="0" collapsed="false">
      <c r="A184" s="11" t="s">
        <v>903</v>
      </c>
      <c r="B184" s="11" t="s">
        <v>904</v>
      </c>
      <c r="C184" s="11" t="s">
        <v>219</v>
      </c>
      <c r="D184" s="11" t="s">
        <v>207</v>
      </c>
      <c r="F184" s="37" t="n">
        <f aca="false">COUNTIF('Sales Data'!$D$2:$D$1201,A184)</f>
        <v>11</v>
      </c>
      <c r="G184" s="38" t="n">
        <f aca="false">_xlfn.MAXIFS('Sales Data'!$B$2:$B$1201,'Sales Data'!$D$2:$D$1201,A184)</f>
        <v>46020</v>
      </c>
      <c r="H184" s="37" t="n">
        <f aca="false">$Q$4-G184</f>
        <v>2</v>
      </c>
      <c r="I184" s="33" t="n">
        <f aca="false">SUMIFS('Sales Data'!$P$2:$P$1201,'Sales Data'!$D$2:$D$1201,A184)</f>
        <v>22110</v>
      </c>
      <c r="J184" s="37" t="n">
        <f aca="false">INDEX($Q$7:$Q$9,MATCH(H184,$P$7:$P$9,1))</f>
        <v>3</v>
      </c>
      <c r="K184" s="37" t="n">
        <f aca="false">INDEX($Q$12:$Q$14,MATCH(F184,$P$12:$P$14,1))</f>
        <v>3</v>
      </c>
      <c r="L184" s="37" t="n">
        <f aca="false">INDEX($Q$17:$Q$19,MATCH(I184,$P$17:$P$19,1))</f>
        <v>2</v>
      </c>
      <c r="M184" s="37" t="n">
        <f aca="false">J184+K184+L184</f>
        <v>8</v>
      </c>
      <c r="N184" s="39" t="str">
        <f aca="false">INDEX($Q$22:$Q$25,MATCH(M184,$P$22:$P$25,1))</f>
        <v>Champion</v>
      </c>
    </row>
    <row r="185" customFormat="false" ht="15" hidden="false" customHeight="true" outlineLevel="0" collapsed="false">
      <c r="A185" s="11" t="s">
        <v>993</v>
      </c>
      <c r="B185" s="11" t="s">
        <v>994</v>
      </c>
      <c r="C185" s="11" t="s">
        <v>219</v>
      </c>
      <c r="D185" s="11" t="s">
        <v>263</v>
      </c>
      <c r="F185" s="37" t="n">
        <f aca="false">COUNTIF('Sales Data'!$D$2:$D$1201,A185)</f>
        <v>3</v>
      </c>
      <c r="G185" s="38" t="n">
        <f aca="false">_xlfn.MAXIFS('Sales Data'!$B$2:$B$1201,'Sales Data'!$D$2:$D$1201,A185)</f>
        <v>46010</v>
      </c>
      <c r="H185" s="37" t="n">
        <f aca="false">$Q$4-G185</f>
        <v>12</v>
      </c>
      <c r="I185" s="33" t="n">
        <f aca="false">SUMIFS('Sales Data'!$P$2:$P$1201,'Sales Data'!$D$2:$D$1201,A185)</f>
        <v>43693</v>
      </c>
      <c r="J185" s="37" t="n">
        <f aca="false">INDEX($Q$7:$Q$9,MATCH(H185,$P$7:$P$9,1))</f>
        <v>3</v>
      </c>
      <c r="K185" s="37" t="n">
        <f aca="false">INDEX($Q$12:$Q$14,MATCH(F185,$P$12:$P$14,1))</f>
        <v>2</v>
      </c>
      <c r="L185" s="37" t="n">
        <f aca="false">INDEX($Q$17:$Q$19,MATCH(I185,$P$17:$P$19,1))</f>
        <v>2</v>
      </c>
      <c r="M185" s="37" t="n">
        <f aca="false">J185+K185+L185</f>
        <v>7</v>
      </c>
      <c r="N185" s="39" t="str">
        <f aca="false">INDEX($Q$22:$Q$25,MATCH(M185,$P$22:$P$25,1))</f>
        <v>Loyal</v>
      </c>
    </row>
    <row r="186" customFormat="false" ht="15" hidden="false" customHeight="true" outlineLevel="0" collapsed="false">
      <c r="A186" s="11" t="s">
        <v>552</v>
      </c>
      <c r="B186" s="11" t="s">
        <v>553</v>
      </c>
      <c r="C186" s="11" t="s">
        <v>159</v>
      </c>
      <c r="D186" s="11" t="s">
        <v>161</v>
      </c>
      <c r="F186" s="37" t="n">
        <f aca="false">COUNTIF('Sales Data'!$D$2:$D$1201,A186)</f>
        <v>1</v>
      </c>
      <c r="G186" s="38" t="n">
        <f aca="false">_xlfn.MAXIFS('Sales Data'!$B$2:$B$1201,'Sales Data'!$D$2:$D$1201,A186)</f>
        <v>45705</v>
      </c>
      <c r="H186" s="37" t="n">
        <f aca="false">$Q$4-G186</f>
        <v>317</v>
      </c>
      <c r="I186" s="33" t="n">
        <f aca="false">SUMIFS('Sales Data'!$P$2:$P$1201,'Sales Data'!$D$2:$D$1201,A186)</f>
        <v>3499</v>
      </c>
      <c r="J186" s="37" t="n">
        <f aca="false">INDEX($Q$7:$Q$9,MATCH(H186,$P$7:$P$9,1))</f>
        <v>1</v>
      </c>
      <c r="K186" s="37" t="n">
        <f aca="false">INDEX($Q$12:$Q$14,MATCH(F186,$P$12:$P$14,1))</f>
        <v>1</v>
      </c>
      <c r="L186" s="37" t="n">
        <f aca="false">INDEX($Q$17:$Q$19,MATCH(I186,$P$17:$P$19,1))</f>
        <v>1</v>
      </c>
      <c r="M186" s="37" t="n">
        <f aca="false">J186+K186+L186</f>
        <v>3</v>
      </c>
      <c r="N186" s="39" t="str">
        <f aca="false">INDEX($Q$22:$Q$25,MATCH(M186,$P$22:$P$25,1))</f>
        <v>Lost</v>
      </c>
    </row>
    <row r="187" customFormat="false" ht="15" hidden="false" customHeight="true" outlineLevel="0" collapsed="false">
      <c r="A187" s="11" t="s">
        <v>943</v>
      </c>
      <c r="B187" s="11" t="s">
        <v>944</v>
      </c>
      <c r="C187" s="11" t="s">
        <v>159</v>
      </c>
      <c r="D187" s="11" t="s">
        <v>269</v>
      </c>
      <c r="F187" s="37" t="n">
        <f aca="false">COUNTIF('Sales Data'!$D$2:$D$1201,A187)</f>
        <v>5</v>
      </c>
      <c r="G187" s="38" t="n">
        <f aca="false">_xlfn.MAXIFS('Sales Data'!$B$2:$B$1201,'Sales Data'!$D$2:$D$1201,A187)</f>
        <v>46010</v>
      </c>
      <c r="H187" s="37" t="n">
        <f aca="false">$Q$4-G187</f>
        <v>12</v>
      </c>
      <c r="I187" s="33" t="n">
        <f aca="false">SUMIFS('Sales Data'!$P$2:$P$1201,'Sales Data'!$D$2:$D$1201,A187)</f>
        <v>31772</v>
      </c>
      <c r="J187" s="37" t="n">
        <f aca="false">INDEX($Q$7:$Q$9,MATCH(H187,$P$7:$P$9,1))</f>
        <v>3</v>
      </c>
      <c r="K187" s="37" t="n">
        <f aca="false">INDEX($Q$12:$Q$14,MATCH(F187,$P$12:$P$14,1))</f>
        <v>2</v>
      </c>
      <c r="L187" s="37" t="n">
        <f aca="false">INDEX($Q$17:$Q$19,MATCH(I187,$P$17:$P$19,1))</f>
        <v>2</v>
      </c>
      <c r="M187" s="37" t="n">
        <f aca="false">J187+K187+L187</f>
        <v>7</v>
      </c>
      <c r="N187" s="39" t="str">
        <f aca="false">INDEX($Q$22:$Q$25,MATCH(M187,$P$22:$P$25,1))</f>
        <v>Loyal</v>
      </c>
    </row>
    <row r="188" customFormat="false" ht="15" hidden="false" customHeight="true" outlineLevel="0" collapsed="false">
      <c r="A188" s="11" t="s">
        <v>1060</v>
      </c>
      <c r="B188" s="11" t="s">
        <v>1061</v>
      </c>
      <c r="C188" s="11" t="s">
        <v>159</v>
      </c>
      <c r="D188" s="11" t="s">
        <v>207</v>
      </c>
      <c r="F188" s="37" t="n">
        <f aca="false">COUNTIF('Sales Data'!$D$2:$D$1201,A188)</f>
        <v>2</v>
      </c>
      <c r="G188" s="38" t="n">
        <f aca="false">_xlfn.MAXIFS('Sales Data'!$B$2:$B$1201,'Sales Data'!$D$2:$D$1201,A188)</f>
        <v>45933</v>
      </c>
      <c r="H188" s="37" t="n">
        <f aca="false">$Q$4-G188</f>
        <v>89</v>
      </c>
      <c r="I188" s="33" t="n">
        <f aca="false">SUMIFS('Sales Data'!$P$2:$P$1201,'Sales Data'!$D$2:$D$1201,A188)</f>
        <v>4661</v>
      </c>
      <c r="J188" s="37" t="n">
        <f aca="false">INDEX($Q$7:$Q$9,MATCH(H188,$P$7:$P$9,1))</f>
        <v>2</v>
      </c>
      <c r="K188" s="37" t="n">
        <f aca="false">INDEX($Q$12:$Q$14,MATCH(F188,$P$12:$P$14,1))</f>
        <v>1</v>
      </c>
      <c r="L188" s="37" t="n">
        <f aca="false">INDEX($Q$17:$Q$19,MATCH(I188,$P$17:$P$19,1))</f>
        <v>1</v>
      </c>
      <c r="M188" s="37" t="n">
        <f aca="false">J188+K188+L188</f>
        <v>4</v>
      </c>
      <c r="N188" s="39" t="str">
        <f aca="false">INDEX($Q$22:$Q$25,MATCH(M188,$P$22:$P$25,1))</f>
        <v>At Risk</v>
      </c>
    </row>
    <row r="189" customFormat="false" ht="15" hidden="false" customHeight="true" outlineLevel="0" collapsed="false">
      <c r="A189" s="11" t="s">
        <v>538</v>
      </c>
      <c r="B189" s="11" t="s">
        <v>539</v>
      </c>
      <c r="C189" s="11" t="s">
        <v>159</v>
      </c>
      <c r="D189" s="11" t="s">
        <v>191</v>
      </c>
      <c r="F189" s="37" t="n">
        <f aca="false">COUNTIF('Sales Data'!$D$2:$D$1201,A189)</f>
        <v>4</v>
      </c>
      <c r="G189" s="38" t="n">
        <f aca="false">_xlfn.MAXIFS('Sales Data'!$B$2:$B$1201,'Sales Data'!$D$2:$D$1201,A189)</f>
        <v>45869</v>
      </c>
      <c r="H189" s="37" t="n">
        <f aca="false">$Q$4-G189</f>
        <v>153</v>
      </c>
      <c r="I189" s="33" t="n">
        <f aca="false">SUMIFS('Sales Data'!$P$2:$P$1201,'Sales Data'!$D$2:$D$1201,A189)</f>
        <v>16092</v>
      </c>
      <c r="J189" s="37" t="n">
        <f aca="false">INDEX($Q$7:$Q$9,MATCH(H189,$P$7:$P$9,1))</f>
        <v>1</v>
      </c>
      <c r="K189" s="37" t="n">
        <f aca="false">INDEX($Q$12:$Q$14,MATCH(F189,$P$12:$P$14,1))</f>
        <v>2</v>
      </c>
      <c r="L189" s="37" t="n">
        <f aca="false">INDEX($Q$17:$Q$19,MATCH(I189,$P$17:$P$19,1))</f>
        <v>2</v>
      </c>
      <c r="M189" s="37" t="n">
        <f aca="false">J189+K189+L189</f>
        <v>5</v>
      </c>
      <c r="N189" s="39" t="str">
        <f aca="false">INDEX($Q$22:$Q$25,MATCH(M189,$P$22:$P$25,1))</f>
        <v>At Risk</v>
      </c>
    </row>
    <row r="190" customFormat="false" ht="15" hidden="false" customHeight="true" outlineLevel="0" collapsed="false">
      <c r="A190" s="11" t="s">
        <v>330</v>
      </c>
      <c r="B190" s="11" t="s">
        <v>331</v>
      </c>
      <c r="C190" s="11" t="s">
        <v>219</v>
      </c>
      <c r="D190" s="11" t="s">
        <v>207</v>
      </c>
      <c r="F190" s="37" t="n">
        <f aca="false">COUNTIF('Sales Data'!$D$2:$D$1201,A190)</f>
        <v>17</v>
      </c>
      <c r="G190" s="38" t="n">
        <f aca="false">_xlfn.MAXIFS('Sales Data'!$B$2:$B$1201,'Sales Data'!$D$2:$D$1201,A190)</f>
        <v>46021</v>
      </c>
      <c r="H190" s="37" t="n">
        <f aca="false">$Q$4-G190</f>
        <v>1</v>
      </c>
      <c r="I190" s="33" t="n">
        <f aca="false">SUMIFS('Sales Data'!$P$2:$P$1201,'Sales Data'!$D$2:$D$1201,A190)</f>
        <v>85741</v>
      </c>
      <c r="J190" s="37" t="n">
        <f aca="false">INDEX($Q$7:$Q$9,MATCH(H190,$P$7:$P$9,1))</f>
        <v>3</v>
      </c>
      <c r="K190" s="37" t="n">
        <f aca="false">INDEX($Q$12:$Q$14,MATCH(F190,$P$12:$P$14,1))</f>
        <v>3</v>
      </c>
      <c r="L190" s="37" t="n">
        <f aca="false">INDEX($Q$17:$Q$19,MATCH(I190,$P$17:$P$19,1))</f>
        <v>3</v>
      </c>
      <c r="M190" s="37" t="n">
        <f aca="false">J190+K190+L190</f>
        <v>9</v>
      </c>
      <c r="N190" s="39" t="str">
        <f aca="false">INDEX($Q$22:$Q$25,MATCH(M190,$P$22:$P$25,1))</f>
        <v>Champion</v>
      </c>
    </row>
    <row r="191" customFormat="false" ht="15" hidden="false" customHeight="true" outlineLevel="0" collapsed="false">
      <c r="A191" s="11" t="s">
        <v>535</v>
      </c>
      <c r="B191" s="11" t="s">
        <v>536</v>
      </c>
      <c r="C191" s="11" t="s">
        <v>159</v>
      </c>
      <c r="D191" s="11" t="s">
        <v>207</v>
      </c>
      <c r="F191" s="37" t="n">
        <f aca="false">COUNTIF('Sales Data'!$D$2:$D$1201,A191)</f>
        <v>5</v>
      </c>
      <c r="G191" s="38" t="n">
        <f aca="false">_xlfn.MAXIFS('Sales Data'!$B$2:$B$1201,'Sales Data'!$D$2:$D$1201,A191)</f>
        <v>45993</v>
      </c>
      <c r="H191" s="37" t="n">
        <f aca="false">$Q$4-G191</f>
        <v>29</v>
      </c>
      <c r="I191" s="33" t="n">
        <f aca="false">SUMIFS('Sales Data'!$P$2:$P$1201,'Sales Data'!$D$2:$D$1201,A191)</f>
        <v>42010</v>
      </c>
      <c r="J191" s="37" t="n">
        <f aca="false">INDEX($Q$7:$Q$9,MATCH(H191,$P$7:$P$9,1))</f>
        <v>3</v>
      </c>
      <c r="K191" s="37" t="n">
        <f aca="false">INDEX($Q$12:$Q$14,MATCH(F191,$P$12:$P$14,1))</f>
        <v>2</v>
      </c>
      <c r="L191" s="37" t="n">
        <f aca="false">INDEX($Q$17:$Q$19,MATCH(I191,$P$17:$P$19,1))</f>
        <v>2</v>
      </c>
      <c r="M191" s="37" t="n">
        <f aca="false">J191+K191+L191</f>
        <v>7</v>
      </c>
      <c r="N191" s="39" t="str">
        <f aca="false">INDEX($Q$22:$Q$25,MATCH(M191,$P$22:$P$25,1))</f>
        <v>Loyal</v>
      </c>
    </row>
    <row r="192" customFormat="false" ht="15" hidden="false" customHeight="true" outlineLevel="0" collapsed="false">
      <c r="A192" s="11" t="s">
        <v>311</v>
      </c>
      <c r="B192" s="11" t="s">
        <v>312</v>
      </c>
      <c r="C192" s="11" t="s">
        <v>178</v>
      </c>
      <c r="D192" s="11" t="s">
        <v>207</v>
      </c>
      <c r="F192" s="37" t="n">
        <f aca="false">COUNTIF('Sales Data'!$D$2:$D$1201,A192)</f>
        <v>6</v>
      </c>
      <c r="G192" s="38" t="n">
        <f aca="false">_xlfn.MAXIFS('Sales Data'!$B$2:$B$1201,'Sales Data'!$D$2:$D$1201,A192)</f>
        <v>46022</v>
      </c>
      <c r="H192" s="37" t="n">
        <f aca="false">$Q$4-G192</f>
        <v>0</v>
      </c>
      <c r="I192" s="33" t="n">
        <f aca="false">SUMIFS('Sales Data'!$P$2:$P$1201,'Sales Data'!$D$2:$D$1201,A192)</f>
        <v>31716</v>
      </c>
      <c r="J192" s="37" t="n">
        <f aca="false">INDEX($Q$7:$Q$9,MATCH(H192,$P$7:$P$9,1))</f>
        <v>3</v>
      </c>
      <c r="K192" s="37" t="n">
        <f aca="false">INDEX($Q$12:$Q$14,MATCH(F192,$P$12:$P$14,1))</f>
        <v>2</v>
      </c>
      <c r="L192" s="37" t="n">
        <f aca="false">INDEX($Q$17:$Q$19,MATCH(I192,$P$17:$P$19,1))</f>
        <v>2</v>
      </c>
      <c r="M192" s="37" t="n">
        <f aca="false">J192+K192+L192</f>
        <v>7</v>
      </c>
      <c r="N192" s="39" t="str">
        <f aca="false">INDEX($Q$22:$Q$25,MATCH(M192,$P$22:$P$25,1))</f>
        <v>Loyal</v>
      </c>
    </row>
    <row r="193" customFormat="false" ht="15" hidden="false" customHeight="true" outlineLevel="0" collapsed="false">
      <c r="A193" s="11" t="s">
        <v>1425</v>
      </c>
      <c r="B193" s="11" t="s">
        <v>1426</v>
      </c>
      <c r="C193" s="11" t="s">
        <v>159</v>
      </c>
      <c r="D193" s="11" t="s">
        <v>179</v>
      </c>
      <c r="F193" s="37" t="n">
        <f aca="false">COUNTIF('Sales Data'!$D$2:$D$1201,A193)</f>
        <v>1</v>
      </c>
      <c r="G193" s="38" t="n">
        <f aca="false">_xlfn.MAXIFS('Sales Data'!$B$2:$B$1201,'Sales Data'!$D$2:$D$1201,A193)</f>
        <v>45920</v>
      </c>
      <c r="H193" s="37" t="n">
        <f aca="false">$Q$4-G193</f>
        <v>102</v>
      </c>
      <c r="I193" s="33" t="n">
        <f aca="false">SUMIFS('Sales Data'!$P$2:$P$1201,'Sales Data'!$D$2:$D$1201,A193)</f>
        <v>1527</v>
      </c>
      <c r="J193" s="37" t="n">
        <f aca="false">INDEX($Q$7:$Q$9,MATCH(H193,$P$7:$P$9,1))</f>
        <v>2</v>
      </c>
      <c r="K193" s="37" t="n">
        <f aca="false">INDEX($Q$12:$Q$14,MATCH(F193,$P$12:$P$14,1))</f>
        <v>1</v>
      </c>
      <c r="L193" s="37" t="n">
        <f aca="false">INDEX($Q$17:$Q$19,MATCH(I193,$P$17:$P$19,1))</f>
        <v>1</v>
      </c>
      <c r="M193" s="37" t="n">
        <f aca="false">J193+K193+L193</f>
        <v>4</v>
      </c>
      <c r="N193" s="39" t="str">
        <f aca="false">INDEX($Q$22:$Q$25,MATCH(M193,$P$22:$P$25,1))</f>
        <v>At Risk</v>
      </c>
    </row>
    <row r="194" customFormat="false" ht="15" hidden="false" customHeight="true" outlineLevel="0" collapsed="false">
      <c r="A194" s="11" t="s">
        <v>985</v>
      </c>
      <c r="B194" s="11" t="s">
        <v>986</v>
      </c>
      <c r="C194" s="11" t="s">
        <v>159</v>
      </c>
      <c r="D194" s="11" t="s">
        <v>191</v>
      </c>
      <c r="F194" s="37" t="n">
        <f aca="false">COUNTIF('Sales Data'!$D$2:$D$1201,A194)</f>
        <v>2</v>
      </c>
      <c r="G194" s="38" t="n">
        <f aca="false">_xlfn.MAXIFS('Sales Data'!$B$2:$B$1201,'Sales Data'!$D$2:$D$1201,A194)</f>
        <v>45949</v>
      </c>
      <c r="H194" s="37" t="n">
        <f aca="false">$Q$4-G194</f>
        <v>73</v>
      </c>
      <c r="I194" s="33" t="n">
        <f aca="false">SUMIFS('Sales Data'!$P$2:$P$1201,'Sales Data'!$D$2:$D$1201,A194)</f>
        <v>8998</v>
      </c>
      <c r="J194" s="37" t="n">
        <f aca="false">INDEX($Q$7:$Q$9,MATCH(H194,$P$7:$P$9,1))</f>
        <v>2</v>
      </c>
      <c r="K194" s="37" t="n">
        <f aca="false">INDEX($Q$12:$Q$14,MATCH(F194,$P$12:$P$14,1))</f>
        <v>1</v>
      </c>
      <c r="L194" s="37" t="n">
        <f aca="false">INDEX($Q$17:$Q$19,MATCH(I194,$P$17:$P$19,1))</f>
        <v>1</v>
      </c>
      <c r="M194" s="37" t="n">
        <f aca="false">J194+K194+L194</f>
        <v>4</v>
      </c>
      <c r="N194" s="39" t="str">
        <f aca="false">INDEX($Q$22:$Q$25,MATCH(M194,$P$22:$P$25,1))</f>
        <v>At Risk</v>
      </c>
    </row>
    <row r="195" customFormat="false" ht="15" hidden="false" customHeight="true" outlineLevel="0" collapsed="false">
      <c r="A195" s="11" t="s">
        <v>999</v>
      </c>
      <c r="B195" s="11" t="s">
        <v>1000</v>
      </c>
      <c r="C195" s="11" t="s">
        <v>219</v>
      </c>
      <c r="D195" s="11" t="s">
        <v>161</v>
      </c>
      <c r="F195" s="37" t="n">
        <f aca="false">COUNTIF('Sales Data'!$D$2:$D$1201,A195)</f>
        <v>1</v>
      </c>
      <c r="G195" s="38" t="n">
        <f aca="false">_xlfn.MAXIFS('Sales Data'!$B$2:$B$1201,'Sales Data'!$D$2:$D$1201,A195)</f>
        <v>45805</v>
      </c>
      <c r="H195" s="37" t="n">
        <f aca="false">$Q$4-G195</f>
        <v>217</v>
      </c>
      <c r="I195" s="33" t="n">
        <f aca="false">SUMIFS('Sales Data'!$P$2:$P$1201,'Sales Data'!$D$2:$D$1201,A195)</f>
        <v>474</v>
      </c>
      <c r="J195" s="37" t="n">
        <f aca="false">INDEX($Q$7:$Q$9,MATCH(H195,$P$7:$P$9,1))</f>
        <v>1</v>
      </c>
      <c r="K195" s="37" t="n">
        <f aca="false">INDEX($Q$12:$Q$14,MATCH(F195,$P$12:$P$14,1))</f>
        <v>1</v>
      </c>
      <c r="L195" s="37" t="n">
        <f aca="false">INDEX($Q$17:$Q$19,MATCH(I195,$P$17:$P$19,1))</f>
        <v>1</v>
      </c>
      <c r="M195" s="37" t="n">
        <f aca="false">J195+K195+L195</f>
        <v>3</v>
      </c>
      <c r="N195" s="39" t="str">
        <f aca="false">INDEX($Q$22:$Q$25,MATCH(M195,$P$22:$P$25,1))</f>
        <v>Lost</v>
      </c>
    </row>
    <row r="196" customFormat="false" ht="15" hidden="false" customHeight="true" outlineLevel="0" collapsed="false">
      <c r="A196" s="11" t="s">
        <v>1027</v>
      </c>
      <c r="B196" s="11" t="s">
        <v>1028</v>
      </c>
      <c r="C196" s="11" t="s">
        <v>159</v>
      </c>
      <c r="D196" s="11" t="s">
        <v>170</v>
      </c>
      <c r="F196" s="37" t="n">
        <f aca="false">COUNTIF('Sales Data'!$D$2:$D$1201,A196)</f>
        <v>2</v>
      </c>
      <c r="G196" s="38" t="n">
        <f aca="false">_xlfn.MAXIFS('Sales Data'!$B$2:$B$1201,'Sales Data'!$D$2:$D$1201,A196)</f>
        <v>46006</v>
      </c>
      <c r="H196" s="37" t="n">
        <f aca="false">$Q$4-G196</f>
        <v>16</v>
      </c>
      <c r="I196" s="33" t="n">
        <f aca="false">SUMIFS('Sales Data'!$P$2:$P$1201,'Sales Data'!$D$2:$D$1201,A196)</f>
        <v>9897</v>
      </c>
      <c r="J196" s="37" t="n">
        <f aca="false">INDEX($Q$7:$Q$9,MATCH(H196,$P$7:$P$9,1))</f>
        <v>3</v>
      </c>
      <c r="K196" s="37" t="n">
        <f aca="false">INDEX($Q$12:$Q$14,MATCH(F196,$P$12:$P$14,1))</f>
        <v>1</v>
      </c>
      <c r="L196" s="37" t="n">
        <f aca="false">INDEX($Q$17:$Q$19,MATCH(I196,$P$17:$P$19,1))</f>
        <v>1</v>
      </c>
      <c r="M196" s="37" t="n">
        <f aca="false">J196+K196+L196</f>
        <v>5</v>
      </c>
      <c r="N196" s="39" t="str">
        <f aca="false">INDEX($Q$22:$Q$25,MATCH(M196,$P$22:$P$25,1))</f>
        <v>At Risk</v>
      </c>
    </row>
    <row r="197" customFormat="false" ht="15" hidden="false" customHeight="true" outlineLevel="0" collapsed="false">
      <c r="A197" s="11" t="s">
        <v>1073</v>
      </c>
      <c r="B197" s="11" t="s">
        <v>1074</v>
      </c>
      <c r="C197" s="11" t="s">
        <v>159</v>
      </c>
      <c r="D197" s="11" t="s">
        <v>207</v>
      </c>
      <c r="F197" s="37" t="n">
        <f aca="false">COUNTIF('Sales Data'!$D$2:$D$1201,A197)</f>
        <v>7</v>
      </c>
      <c r="G197" s="38" t="n">
        <f aca="false">_xlfn.MAXIFS('Sales Data'!$B$2:$B$1201,'Sales Data'!$D$2:$D$1201,A197)</f>
        <v>46010</v>
      </c>
      <c r="H197" s="37" t="n">
        <f aca="false">$Q$4-G197</f>
        <v>12</v>
      </c>
      <c r="I197" s="33" t="n">
        <f aca="false">SUMIFS('Sales Data'!$P$2:$P$1201,'Sales Data'!$D$2:$D$1201,A197)</f>
        <v>26644</v>
      </c>
      <c r="J197" s="37" t="n">
        <f aca="false">INDEX($Q$7:$Q$9,MATCH(H197,$P$7:$P$9,1))</f>
        <v>3</v>
      </c>
      <c r="K197" s="37" t="n">
        <f aca="false">INDEX($Q$12:$Q$14,MATCH(F197,$P$12:$P$14,1))</f>
        <v>3</v>
      </c>
      <c r="L197" s="37" t="n">
        <f aca="false">INDEX($Q$17:$Q$19,MATCH(I197,$P$17:$P$19,1))</f>
        <v>2</v>
      </c>
      <c r="M197" s="37" t="n">
        <f aca="false">J197+K197+L197</f>
        <v>8</v>
      </c>
      <c r="N197" s="39" t="str">
        <f aca="false">INDEX($Q$22:$Q$25,MATCH(M197,$P$22:$P$25,1))</f>
        <v>Champion</v>
      </c>
    </row>
    <row r="198" customFormat="false" ht="15" hidden="false" customHeight="true" outlineLevel="0" collapsed="false">
      <c r="A198" s="11" t="s">
        <v>726</v>
      </c>
      <c r="B198" s="11" t="s">
        <v>727</v>
      </c>
      <c r="C198" s="11" t="s">
        <v>178</v>
      </c>
      <c r="D198" s="11" t="s">
        <v>207</v>
      </c>
      <c r="F198" s="37" t="n">
        <f aca="false">COUNTIF('Sales Data'!$D$2:$D$1201,A198)</f>
        <v>10</v>
      </c>
      <c r="G198" s="38" t="n">
        <f aca="false">_xlfn.MAXIFS('Sales Data'!$B$2:$B$1201,'Sales Data'!$D$2:$D$1201,A198)</f>
        <v>45964</v>
      </c>
      <c r="H198" s="37" t="n">
        <f aca="false">$Q$4-G198</f>
        <v>58</v>
      </c>
      <c r="I198" s="33" t="n">
        <f aca="false">SUMIFS('Sales Data'!$P$2:$P$1201,'Sales Data'!$D$2:$D$1201,A198)</f>
        <v>48385</v>
      </c>
      <c r="J198" s="37" t="n">
        <f aca="false">INDEX($Q$7:$Q$9,MATCH(H198,$P$7:$P$9,1))</f>
        <v>2</v>
      </c>
      <c r="K198" s="37" t="n">
        <f aca="false">INDEX($Q$12:$Q$14,MATCH(F198,$P$12:$P$14,1))</f>
        <v>3</v>
      </c>
      <c r="L198" s="37" t="n">
        <f aca="false">INDEX($Q$17:$Q$19,MATCH(I198,$P$17:$P$19,1))</f>
        <v>3</v>
      </c>
      <c r="M198" s="37" t="n">
        <f aca="false">J198+K198+L198</f>
        <v>8</v>
      </c>
      <c r="N198" s="39" t="str">
        <f aca="false">INDEX($Q$22:$Q$25,MATCH(M198,$P$22:$P$25,1))</f>
        <v>Champion</v>
      </c>
    </row>
    <row r="199" customFormat="false" ht="15" hidden="false" customHeight="true" outlineLevel="0" collapsed="false">
      <c r="A199" s="11" t="s">
        <v>1212</v>
      </c>
      <c r="B199" s="11" t="s">
        <v>1213</v>
      </c>
      <c r="C199" s="11" t="s">
        <v>159</v>
      </c>
      <c r="D199" s="11" t="s">
        <v>263</v>
      </c>
      <c r="F199" s="37" t="n">
        <f aca="false">COUNTIF('Sales Data'!$D$2:$D$1201,A199)</f>
        <v>4</v>
      </c>
      <c r="G199" s="38" t="n">
        <f aca="false">_xlfn.MAXIFS('Sales Data'!$B$2:$B$1201,'Sales Data'!$D$2:$D$1201,A199)</f>
        <v>45968</v>
      </c>
      <c r="H199" s="37" t="n">
        <f aca="false">$Q$4-G199</f>
        <v>54</v>
      </c>
      <c r="I199" s="33" t="n">
        <f aca="false">SUMIFS('Sales Data'!$P$2:$P$1201,'Sales Data'!$D$2:$D$1201,A199)</f>
        <v>11044</v>
      </c>
      <c r="J199" s="37" t="n">
        <f aca="false">INDEX($Q$7:$Q$9,MATCH(H199,$P$7:$P$9,1))</f>
        <v>2</v>
      </c>
      <c r="K199" s="37" t="n">
        <f aca="false">INDEX($Q$12:$Q$14,MATCH(F199,$P$12:$P$14,1))</f>
        <v>2</v>
      </c>
      <c r="L199" s="37" t="n">
        <f aca="false">INDEX($Q$17:$Q$19,MATCH(I199,$P$17:$P$19,1))</f>
        <v>1</v>
      </c>
      <c r="M199" s="37" t="n">
        <f aca="false">J199+K199+L199</f>
        <v>5</v>
      </c>
      <c r="N199" s="39" t="str">
        <f aca="false">INDEX($Q$22:$Q$25,MATCH(M199,$P$22:$P$25,1))</f>
        <v>At Risk</v>
      </c>
    </row>
    <row r="200" customFormat="false" ht="15" hidden="false" customHeight="true" outlineLevel="0" collapsed="false">
      <c r="A200" s="11" t="s">
        <v>742</v>
      </c>
      <c r="B200" s="11" t="s">
        <v>743</v>
      </c>
      <c r="C200" s="11" t="s">
        <v>159</v>
      </c>
      <c r="D200" s="11" t="s">
        <v>179</v>
      </c>
      <c r="F200" s="37" t="n">
        <f aca="false">COUNTIF('Sales Data'!$D$2:$D$1201,A200)</f>
        <v>1</v>
      </c>
      <c r="G200" s="38" t="n">
        <f aca="false">_xlfn.MAXIFS('Sales Data'!$B$2:$B$1201,'Sales Data'!$D$2:$D$1201,A200)</f>
        <v>45748</v>
      </c>
      <c r="H200" s="37" t="n">
        <f aca="false">$Q$4-G200</f>
        <v>274</v>
      </c>
      <c r="I200" s="33" t="n">
        <f aca="false">SUMIFS('Sales Data'!$P$2:$P$1201,'Sales Data'!$D$2:$D$1201,A200)</f>
        <v>2799</v>
      </c>
      <c r="J200" s="37" t="n">
        <f aca="false">INDEX($Q$7:$Q$9,MATCH(H200,$P$7:$P$9,1))</f>
        <v>1</v>
      </c>
      <c r="K200" s="37" t="n">
        <f aca="false">INDEX($Q$12:$Q$14,MATCH(F200,$P$12:$P$14,1))</f>
        <v>1</v>
      </c>
      <c r="L200" s="37" t="n">
        <f aca="false">INDEX($Q$17:$Q$19,MATCH(I200,$P$17:$P$19,1))</f>
        <v>1</v>
      </c>
      <c r="M200" s="37" t="n">
        <f aca="false">J200+K200+L200</f>
        <v>3</v>
      </c>
      <c r="N200" s="39" t="str">
        <f aca="false">INDEX($Q$22:$Q$25,MATCH(M200,$P$22:$P$25,1))</f>
        <v>Lost</v>
      </c>
    </row>
    <row r="201" customFormat="false" ht="15" hidden="false" customHeight="true" outlineLevel="0" collapsed="false">
      <c r="A201" s="11" t="s">
        <v>465</v>
      </c>
      <c r="B201" s="11" t="s">
        <v>466</v>
      </c>
      <c r="C201" s="11" t="s">
        <v>219</v>
      </c>
      <c r="D201" s="11" t="s">
        <v>324</v>
      </c>
      <c r="F201" s="37" t="n">
        <f aca="false">COUNTIF('Sales Data'!$D$2:$D$1201,A201)</f>
        <v>11</v>
      </c>
      <c r="G201" s="38" t="n">
        <f aca="false">_xlfn.MAXIFS('Sales Data'!$B$2:$B$1201,'Sales Data'!$D$2:$D$1201,A201)</f>
        <v>46014</v>
      </c>
      <c r="H201" s="37" t="n">
        <f aca="false">$Q$4-G201</f>
        <v>8</v>
      </c>
      <c r="I201" s="33" t="n">
        <f aca="false">SUMIFS('Sales Data'!$P$2:$P$1201,'Sales Data'!$D$2:$D$1201,A201)</f>
        <v>53756</v>
      </c>
      <c r="J201" s="37" t="n">
        <f aca="false">INDEX($Q$7:$Q$9,MATCH(H201,$P$7:$P$9,1))</f>
        <v>3</v>
      </c>
      <c r="K201" s="37" t="n">
        <f aca="false">INDEX($Q$12:$Q$14,MATCH(F201,$P$12:$P$14,1))</f>
        <v>3</v>
      </c>
      <c r="L201" s="37" t="n">
        <f aca="false">INDEX($Q$17:$Q$19,MATCH(I201,$P$17:$P$19,1))</f>
        <v>3</v>
      </c>
      <c r="M201" s="37" t="n">
        <f aca="false">J201+K201+L201</f>
        <v>9</v>
      </c>
      <c r="N201" s="39" t="str">
        <f aca="false">INDEX($Q$22:$Q$25,MATCH(M201,$P$22:$P$25,1))</f>
        <v>Champion</v>
      </c>
    </row>
    <row r="202" customFormat="false" ht="15" hidden="false" customHeight="true" outlineLevel="0" collapsed="false">
      <c r="A202" s="11" t="s">
        <v>613</v>
      </c>
      <c r="B202" s="11" t="s">
        <v>614</v>
      </c>
      <c r="C202" s="11" t="s">
        <v>219</v>
      </c>
      <c r="D202" s="11" t="s">
        <v>191</v>
      </c>
      <c r="F202" s="37" t="n">
        <f aca="false">COUNTIF('Sales Data'!$D$2:$D$1201,A202)</f>
        <v>3</v>
      </c>
      <c r="G202" s="38" t="n">
        <f aca="false">_xlfn.MAXIFS('Sales Data'!$B$2:$B$1201,'Sales Data'!$D$2:$D$1201,A202)</f>
        <v>45987</v>
      </c>
      <c r="H202" s="37" t="n">
        <f aca="false">$Q$4-G202</f>
        <v>35</v>
      </c>
      <c r="I202" s="33" t="n">
        <f aca="false">SUMIFS('Sales Data'!$P$2:$P$1201,'Sales Data'!$D$2:$D$1201,A202)</f>
        <v>10576</v>
      </c>
      <c r="J202" s="37" t="n">
        <f aca="false">INDEX($Q$7:$Q$9,MATCH(H202,$P$7:$P$9,1))</f>
        <v>3</v>
      </c>
      <c r="K202" s="37" t="n">
        <f aca="false">INDEX($Q$12:$Q$14,MATCH(F202,$P$12:$P$14,1))</f>
        <v>2</v>
      </c>
      <c r="L202" s="37" t="n">
        <f aca="false">INDEX($Q$17:$Q$19,MATCH(I202,$P$17:$P$19,1))</f>
        <v>1</v>
      </c>
      <c r="M202" s="37" t="n">
        <f aca="false">J202+K202+L202</f>
        <v>6</v>
      </c>
      <c r="N202" s="39" t="str">
        <f aca="false">INDEX($Q$22:$Q$25,MATCH(M202,$P$22:$P$25,1))</f>
        <v>Loyal</v>
      </c>
    </row>
    <row r="203" customFormat="false" ht="15" hidden="false" customHeight="true" outlineLevel="0" collapsed="false">
      <c r="A203" s="11" t="s">
        <v>627</v>
      </c>
      <c r="B203" s="11" t="s">
        <v>628</v>
      </c>
      <c r="C203" s="11" t="s">
        <v>219</v>
      </c>
      <c r="D203" s="11" t="s">
        <v>207</v>
      </c>
      <c r="F203" s="37" t="n">
        <f aca="false">COUNTIF('Sales Data'!$D$2:$D$1201,A203)</f>
        <v>5</v>
      </c>
      <c r="G203" s="38" t="n">
        <f aca="false">_xlfn.MAXIFS('Sales Data'!$B$2:$B$1201,'Sales Data'!$D$2:$D$1201,A203)</f>
        <v>45982</v>
      </c>
      <c r="H203" s="37" t="n">
        <f aca="false">$Q$4-G203</f>
        <v>40</v>
      </c>
      <c r="I203" s="33" t="n">
        <f aca="false">SUMIFS('Sales Data'!$P$2:$P$1201,'Sales Data'!$D$2:$D$1201,A203)</f>
        <v>11788</v>
      </c>
      <c r="J203" s="37" t="n">
        <f aca="false">INDEX($Q$7:$Q$9,MATCH(H203,$P$7:$P$9,1))</f>
        <v>3</v>
      </c>
      <c r="K203" s="37" t="n">
        <f aca="false">INDEX($Q$12:$Q$14,MATCH(F203,$P$12:$P$14,1))</f>
        <v>2</v>
      </c>
      <c r="L203" s="37" t="n">
        <f aca="false">INDEX($Q$17:$Q$19,MATCH(I203,$P$17:$P$19,1))</f>
        <v>1</v>
      </c>
      <c r="M203" s="37" t="n">
        <f aca="false">J203+K203+L203</f>
        <v>6</v>
      </c>
      <c r="N203" s="39" t="str">
        <f aca="false">INDEX($Q$22:$Q$25,MATCH(M203,$P$22:$P$25,1))</f>
        <v>Loyal</v>
      </c>
    </row>
    <row r="204" customFormat="false" ht="15" hidden="false" customHeight="true" outlineLevel="0" collapsed="false">
      <c r="A204" s="11" t="s">
        <v>204</v>
      </c>
      <c r="B204" s="11" t="s">
        <v>205</v>
      </c>
      <c r="C204" s="11" t="s">
        <v>159</v>
      </c>
      <c r="D204" s="11" t="s">
        <v>207</v>
      </c>
      <c r="F204" s="37" t="n">
        <f aca="false">COUNTIF('Sales Data'!$D$2:$D$1201,A204)</f>
        <v>9</v>
      </c>
      <c r="G204" s="38" t="n">
        <f aca="false">_xlfn.MAXIFS('Sales Data'!$B$2:$B$1201,'Sales Data'!$D$2:$D$1201,A204)</f>
        <v>46008</v>
      </c>
      <c r="H204" s="37" t="n">
        <f aca="false">$Q$4-G204</f>
        <v>14</v>
      </c>
      <c r="I204" s="33" t="n">
        <f aca="false">SUMIFS('Sales Data'!$P$2:$P$1201,'Sales Data'!$D$2:$D$1201,A204)</f>
        <v>44444</v>
      </c>
      <c r="J204" s="37" t="n">
        <f aca="false">INDEX($Q$7:$Q$9,MATCH(H204,$P$7:$P$9,1))</f>
        <v>3</v>
      </c>
      <c r="K204" s="37" t="n">
        <f aca="false">INDEX($Q$12:$Q$14,MATCH(F204,$P$12:$P$14,1))</f>
        <v>3</v>
      </c>
      <c r="L204" s="37" t="n">
        <f aca="false">INDEX($Q$17:$Q$19,MATCH(I204,$P$17:$P$19,1))</f>
        <v>2</v>
      </c>
      <c r="M204" s="37" t="n">
        <f aca="false">J204+K204+L204</f>
        <v>8</v>
      </c>
      <c r="N204" s="39" t="str">
        <f aca="false">INDEX($Q$22:$Q$25,MATCH(M204,$P$22:$P$25,1))</f>
        <v>Champion</v>
      </c>
    </row>
    <row r="205" customFormat="false" ht="15" hidden="false" customHeight="true" outlineLevel="0" collapsed="false">
      <c r="A205" s="11" t="s">
        <v>914</v>
      </c>
      <c r="B205" s="11" t="s">
        <v>915</v>
      </c>
      <c r="C205" s="11" t="s">
        <v>159</v>
      </c>
      <c r="D205" s="11" t="s">
        <v>269</v>
      </c>
      <c r="F205" s="37" t="n">
        <f aca="false">COUNTIF('Sales Data'!$D$2:$D$1201,A205)</f>
        <v>4</v>
      </c>
      <c r="G205" s="38" t="n">
        <f aca="false">_xlfn.MAXIFS('Sales Data'!$B$2:$B$1201,'Sales Data'!$D$2:$D$1201,A205)</f>
        <v>45967</v>
      </c>
      <c r="H205" s="37" t="n">
        <f aca="false">$Q$4-G205</f>
        <v>55</v>
      </c>
      <c r="I205" s="33" t="n">
        <f aca="false">SUMIFS('Sales Data'!$P$2:$P$1201,'Sales Data'!$D$2:$D$1201,A205)</f>
        <v>19440</v>
      </c>
      <c r="J205" s="37" t="n">
        <f aca="false">INDEX($Q$7:$Q$9,MATCH(H205,$P$7:$P$9,1))</f>
        <v>2</v>
      </c>
      <c r="K205" s="37" t="n">
        <f aca="false">INDEX($Q$12:$Q$14,MATCH(F205,$P$12:$P$14,1))</f>
        <v>2</v>
      </c>
      <c r="L205" s="37" t="n">
        <f aca="false">INDEX($Q$17:$Q$19,MATCH(I205,$P$17:$P$19,1))</f>
        <v>2</v>
      </c>
      <c r="M205" s="37" t="n">
        <f aca="false">J205+K205+L205</f>
        <v>6</v>
      </c>
      <c r="N205" s="39" t="str">
        <f aca="false">INDEX($Q$22:$Q$25,MATCH(M205,$P$22:$P$25,1))</f>
        <v>Loyal</v>
      </c>
    </row>
    <row r="206" customFormat="false" ht="15" hidden="false" customHeight="true" outlineLevel="0" collapsed="false">
      <c r="A206" s="11" t="s">
        <v>978</v>
      </c>
      <c r="B206" s="11" t="s">
        <v>979</v>
      </c>
      <c r="C206" s="11" t="s">
        <v>159</v>
      </c>
      <c r="D206" s="11" t="s">
        <v>269</v>
      </c>
      <c r="F206" s="37" t="n">
        <f aca="false">COUNTIF('Sales Data'!$D$2:$D$1201,A206)</f>
        <v>1</v>
      </c>
      <c r="G206" s="38" t="n">
        <f aca="false">_xlfn.MAXIFS('Sales Data'!$B$2:$B$1201,'Sales Data'!$D$2:$D$1201,A206)</f>
        <v>45803</v>
      </c>
      <c r="H206" s="37" t="n">
        <f aca="false">$Q$4-G206</f>
        <v>219</v>
      </c>
      <c r="I206" s="33" t="n">
        <f aca="false">SUMIFS('Sales Data'!$P$2:$P$1201,'Sales Data'!$D$2:$D$1201,A206)</f>
        <v>14398</v>
      </c>
      <c r="J206" s="37" t="n">
        <f aca="false">INDEX($Q$7:$Q$9,MATCH(H206,$P$7:$P$9,1))</f>
        <v>1</v>
      </c>
      <c r="K206" s="37" t="n">
        <f aca="false">INDEX($Q$12:$Q$14,MATCH(F206,$P$12:$P$14,1))</f>
        <v>1</v>
      </c>
      <c r="L206" s="37" t="n">
        <f aca="false">INDEX($Q$17:$Q$19,MATCH(I206,$P$17:$P$19,1))</f>
        <v>2</v>
      </c>
      <c r="M206" s="37" t="n">
        <f aca="false">J206+K206+L206</f>
        <v>4</v>
      </c>
      <c r="N206" s="39" t="str">
        <f aca="false">INDEX($Q$22:$Q$25,MATCH(M206,$P$22:$P$25,1))</f>
        <v>At Risk</v>
      </c>
    </row>
    <row r="207" customFormat="false" ht="15" hidden="false" customHeight="true" outlineLevel="0" collapsed="false">
      <c r="A207" s="11" t="s">
        <v>799</v>
      </c>
      <c r="B207" s="11" t="s">
        <v>800</v>
      </c>
      <c r="C207" s="11" t="s">
        <v>159</v>
      </c>
      <c r="D207" s="11" t="s">
        <v>191</v>
      </c>
      <c r="F207" s="37" t="n">
        <f aca="false">COUNTIF('Sales Data'!$D$2:$D$1201,A207)</f>
        <v>4</v>
      </c>
      <c r="G207" s="38" t="n">
        <f aca="false">_xlfn.MAXIFS('Sales Data'!$B$2:$B$1201,'Sales Data'!$D$2:$D$1201,A207)</f>
        <v>45987</v>
      </c>
      <c r="H207" s="37" t="n">
        <f aca="false">$Q$4-G207</f>
        <v>35</v>
      </c>
      <c r="I207" s="33" t="n">
        <f aca="false">SUMIFS('Sales Data'!$P$2:$P$1201,'Sales Data'!$D$2:$D$1201,A207)</f>
        <v>15915</v>
      </c>
      <c r="J207" s="37" t="n">
        <f aca="false">INDEX($Q$7:$Q$9,MATCH(H207,$P$7:$P$9,1))</f>
        <v>3</v>
      </c>
      <c r="K207" s="37" t="n">
        <f aca="false">INDEX($Q$12:$Q$14,MATCH(F207,$P$12:$P$14,1))</f>
        <v>2</v>
      </c>
      <c r="L207" s="37" t="n">
        <f aca="false">INDEX($Q$17:$Q$19,MATCH(I207,$P$17:$P$19,1))</f>
        <v>2</v>
      </c>
      <c r="M207" s="37" t="n">
        <f aca="false">J207+K207+L207</f>
        <v>7</v>
      </c>
      <c r="N207" s="39" t="str">
        <f aca="false">INDEX($Q$22:$Q$25,MATCH(M207,$P$22:$P$25,1))</f>
        <v>Loyal</v>
      </c>
    </row>
    <row r="208" customFormat="false" ht="15" hidden="false" customHeight="true" outlineLevel="0" collapsed="false">
      <c r="A208" s="11" t="s">
        <v>574</v>
      </c>
      <c r="B208" s="11" t="s">
        <v>575</v>
      </c>
      <c r="C208" s="11" t="s">
        <v>178</v>
      </c>
      <c r="D208" s="11" t="s">
        <v>324</v>
      </c>
      <c r="F208" s="37" t="n">
        <f aca="false">COUNTIF('Sales Data'!$D$2:$D$1201,A208)</f>
        <v>1</v>
      </c>
      <c r="G208" s="38" t="n">
        <f aca="false">_xlfn.MAXIFS('Sales Data'!$B$2:$B$1201,'Sales Data'!$D$2:$D$1201,A208)</f>
        <v>45709</v>
      </c>
      <c r="H208" s="37" t="n">
        <f aca="false">$Q$4-G208</f>
        <v>313</v>
      </c>
      <c r="I208" s="33" t="n">
        <f aca="false">SUMIFS('Sales Data'!$P$2:$P$1201,'Sales Data'!$D$2:$D$1201,A208)</f>
        <v>1799</v>
      </c>
      <c r="J208" s="37" t="n">
        <f aca="false">INDEX($Q$7:$Q$9,MATCH(H208,$P$7:$P$9,1))</f>
        <v>1</v>
      </c>
      <c r="K208" s="37" t="n">
        <f aca="false">INDEX($Q$12:$Q$14,MATCH(F208,$P$12:$P$14,1))</f>
        <v>1</v>
      </c>
      <c r="L208" s="37" t="n">
        <f aca="false">INDEX($Q$17:$Q$19,MATCH(I208,$P$17:$P$19,1))</f>
        <v>1</v>
      </c>
      <c r="M208" s="37" t="n">
        <f aca="false">J208+K208+L208</f>
        <v>3</v>
      </c>
      <c r="N208" s="39" t="str">
        <f aca="false">INDEX($Q$22:$Q$25,MATCH(M208,$P$22:$P$25,1))</f>
        <v>Lost</v>
      </c>
    </row>
    <row r="209" customFormat="false" ht="15" hidden="false" customHeight="true" outlineLevel="0" collapsed="false">
      <c r="A209" s="11" t="s">
        <v>876</v>
      </c>
      <c r="B209" s="11" t="s">
        <v>877</v>
      </c>
      <c r="C209" s="11" t="s">
        <v>159</v>
      </c>
      <c r="D209" s="11" t="s">
        <v>269</v>
      </c>
      <c r="F209" s="37" t="n">
        <f aca="false">COUNTIF('Sales Data'!$D$2:$D$1201,A209)</f>
        <v>1</v>
      </c>
      <c r="G209" s="38" t="n">
        <f aca="false">_xlfn.MAXIFS('Sales Data'!$B$2:$B$1201,'Sales Data'!$D$2:$D$1201,A209)</f>
        <v>45780</v>
      </c>
      <c r="H209" s="37" t="n">
        <f aca="false">$Q$4-G209</f>
        <v>242</v>
      </c>
      <c r="I209" s="33" t="n">
        <f aca="false">SUMIFS('Sales Data'!$P$2:$P$1201,'Sales Data'!$D$2:$D$1201,A209)</f>
        <v>2278</v>
      </c>
      <c r="J209" s="37" t="n">
        <f aca="false">INDEX($Q$7:$Q$9,MATCH(H209,$P$7:$P$9,1))</f>
        <v>1</v>
      </c>
      <c r="K209" s="37" t="n">
        <f aca="false">INDEX($Q$12:$Q$14,MATCH(F209,$P$12:$P$14,1))</f>
        <v>1</v>
      </c>
      <c r="L209" s="37" t="n">
        <f aca="false">INDEX($Q$17:$Q$19,MATCH(I209,$P$17:$P$19,1))</f>
        <v>1</v>
      </c>
      <c r="M209" s="37" t="n">
        <f aca="false">J209+K209+L209</f>
        <v>3</v>
      </c>
      <c r="N209" s="39" t="str">
        <f aca="false">INDEX($Q$22:$Q$25,MATCH(M209,$P$22:$P$25,1))</f>
        <v>Lost</v>
      </c>
    </row>
    <row r="210" customFormat="false" ht="15" hidden="false" customHeight="true" outlineLevel="0" collapsed="false">
      <c r="A210" s="11" t="s">
        <v>1035</v>
      </c>
      <c r="B210" s="11" t="s">
        <v>1036</v>
      </c>
      <c r="C210" s="11" t="s">
        <v>159</v>
      </c>
      <c r="D210" s="11" t="s">
        <v>269</v>
      </c>
      <c r="F210" s="37" t="n">
        <f aca="false">COUNTIF('Sales Data'!$D$2:$D$1201,A210)</f>
        <v>2</v>
      </c>
      <c r="G210" s="38" t="n">
        <f aca="false">_xlfn.MAXIFS('Sales Data'!$B$2:$B$1201,'Sales Data'!$D$2:$D$1201,A210)</f>
        <v>45991</v>
      </c>
      <c r="H210" s="37" t="n">
        <f aca="false">$Q$4-G210</f>
        <v>31</v>
      </c>
      <c r="I210" s="33" t="n">
        <f aca="false">SUMIFS('Sales Data'!$P$2:$P$1201,'Sales Data'!$D$2:$D$1201,A210)</f>
        <v>1811</v>
      </c>
      <c r="J210" s="37" t="n">
        <f aca="false">INDEX($Q$7:$Q$9,MATCH(H210,$P$7:$P$9,1))</f>
        <v>3</v>
      </c>
      <c r="K210" s="37" t="n">
        <f aca="false">INDEX($Q$12:$Q$14,MATCH(F210,$P$12:$P$14,1))</f>
        <v>1</v>
      </c>
      <c r="L210" s="37" t="n">
        <f aca="false">INDEX($Q$17:$Q$19,MATCH(I210,$P$17:$P$19,1))</f>
        <v>1</v>
      </c>
      <c r="M210" s="37" t="n">
        <f aca="false">J210+K210+L210</f>
        <v>5</v>
      </c>
      <c r="N210" s="39" t="str">
        <f aca="false">INDEX($Q$22:$Q$25,MATCH(M210,$P$22:$P$25,1))</f>
        <v>At Risk</v>
      </c>
    </row>
    <row r="211" customFormat="false" ht="15" hidden="false" customHeight="true" outlineLevel="0" collapsed="false">
      <c r="A211" s="11" t="s">
        <v>880</v>
      </c>
      <c r="B211" s="11" t="s">
        <v>881</v>
      </c>
      <c r="C211" s="11" t="s">
        <v>159</v>
      </c>
      <c r="D211" s="11" t="s">
        <v>269</v>
      </c>
      <c r="F211" s="37" t="n">
        <f aca="false">COUNTIF('Sales Data'!$D$2:$D$1201,A211)</f>
        <v>3</v>
      </c>
      <c r="G211" s="38" t="n">
        <f aca="false">_xlfn.MAXIFS('Sales Data'!$B$2:$B$1201,'Sales Data'!$D$2:$D$1201,A211)</f>
        <v>45896</v>
      </c>
      <c r="H211" s="37" t="n">
        <f aca="false">$Q$4-G211</f>
        <v>126</v>
      </c>
      <c r="I211" s="33" t="n">
        <f aca="false">SUMIFS('Sales Data'!$P$2:$P$1201,'Sales Data'!$D$2:$D$1201,A211)</f>
        <v>5371</v>
      </c>
      <c r="J211" s="37" t="n">
        <f aca="false">INDEX($Q$7:$Q$9,MATCH(H211,$P$7:$P$9,1))</f>
        <v>2</v>
      </c>
      <c r="K211" s="37" t="n">
        <f aca="false">INDEX($Q$12:$Q$14,MATCH(F211,$P$12:$P$14,1))</f>
        <v>2</v>
      </c>
      <c r="L211" s="37" t="n">
        <f aca="false">INDEX($Q$17:$Q$19,MATCH(I211,$P$17:$P$19,1))</f>
        <v>1</v>
      </c>
      <c r="M211" s="37" t="n">
        <f aca="false">J211+K211+L211</f>
        <v>5</v>
      </c>
      <c r="N211" s="39" t="str">
        <f aca="false">INDEX($Q$22:$Q$25,MATCH(M211,$P$22:$P$25,1))</f>
        <v>At Risk</v>
      </c>
    </row>
    <row r="212" customFormat="false" ht="15" hidden="false" customHeight="true" outlineLevel="0" collapsed="false">
      <c r="A212" s="11" t="s">
        <v>1679</v>
      </c>
      <c r="B212" s="11" t="s">
        <v>1680</v>
      </c>
      <c r="C212" s="11" t="s">
        <v>159</v>
      </c>
      <c r="D212" s="11" t="s">
        <v>207</v>
      </c>
      <c r="F212" s="37" t="n">
        <f aca="false">COUNTIF('Sales Data'!$D$2:$D$1201,A212)</f>
        <v>1</v>
      </c>
      <c r="G212" s="38" t="n">
        <f aca="false">_xlfn.MAXIFS('Sales Data'!$B$2:$B$1201,'Sales Data'!$D$2:$D$1201,A212)</f>
        <v>45970</v>
      </c>
      <c r="H212" s="37" t="n">
        <f aca="false">$Q$4-G212</f>
        <v>52</v>
      </c>
      <c r="I212" s="33" t="n">
        <f aca="false">SUMIFS('Sales Data'!$P$2:$P$1201,'Sales Data'!$D$2:$D$1201,A212)</f>
        <v>447</v>
      </c>
      <c r="J212" s="37" t="n">
        <f aca="false">INDEX($Q$7:$Q$9,MATCH(H212,$P$7:$P$9,1))</f>
        <v>2</v>
      </c>
      <c r="K212" s="37" t="n">
        <f aca="false">INDEX($Q$12:$Q$14,MATCH(F212,$P$12:$P$14,1))</f>
        <v>1</v>
      </c>
      <c r="L212" s="37" t="n">
        <f aca="false">INDEX($Q$17:$Q$19,MATCH(I212,$P$17:$P$19,1))</f>
        <v>1</v>
      </c>
      <c r="M212" s="37" t="n">
        <f aca="false">J212+K212+L212</f>
        <v>4</v>
      </c>
      <c r="N212" s="39" t="str">
        <f aca="false">INDEX($Q$22:$Q$25,MATCH(M212,$P$22:$P$25,1))</f>
        <v>At Risk</v>
      </c>
    </row>
    <row r="213" customFormat="false" ht="15" hidden="false" customHeight="true" outlineLevel="0" collapsed="false">
      <c r="A213" s="11" t="s">
        <v>581</v>
      </c>
      <c r="B213" s="11" t="s">
        <v>582</v>
      </c>
      <c r="C213" s="11" t="s">
        <v>159</v>
      </c>
      <c r="D213" s="11" t="s">
        <v>324</v>
      </c>
      <c r="F213" s="37" t="n">
        <f aca="false">COUNTIF('Sales Data'!$D$2:$D$1201,A213)</f>
        <v>3</v>
      </c>
      <c r="G213" s="38" t="n">
        <f aca="false">_xlfn.MAXIFS('Sales Data'!$B$2:$B$1201,'Sales Data'!$D$2:$D$1201,A213)</f>
        <v>45995</v>
      </c>
      <c r="H213" s="37" t="n">
        <f aca="false">$Q$4-G213</f>
        <v>27</v>
      </c>
      <c r="I213" s="33" t="n">
        <f aca="false">SUMIFS('Sales Data'!$P$2:$P$1201,'Sales Data'!$D$2:$D$1201,A213)</f>
        <v>16116</v>
      </c>
      <c r="J213" s="37" t="n">
        <f aca="false">INDEX($Q$7:$Q$9,MATCH(H213,$P$7:$P$9,1))</f>
        <v>3</v>
      </c>
      <c r="K213" s="37" t="n">
        <f aca="false">INDEX($Q$12:$Q$14,MATCH(F213,$P$12:$P$14,1))</f>
        <v>2</v>
      </c>
      <c r="L213" s="37" t="n">
        <f aca="false">INDEX($Q$17:$Q$19,MATCH(I213,$P$17:$P$19,1))</f>
        <v>2</v>
      </c>
      <c r="M213" s="37" t="n">
        <f aca="false">J213+K213+L213</f>
        <v>7</v>
      </c>
      <c r="N213" s="39" t="str">
        <f aca="false">INDEX($Q$22:$Q$25,MATCH(M213,$P$22:$P$25,1))</f>
        <v>Loyal</v>
      </c>
    </row>
    <row r="214" customFormat="false" ht="15" hidden="false" customHeight="true" outlineLevel="0" collapsed="false">
      <c r="A214" s="11" t="s">
        <v>510</v>
      </c>
      <c r="B214" s="11" t="s">
        <v>511</v>
      </c>
      <c r="C214" s="11" t="s">
        <v>178</v>
      </c>
      <c r="D214" s="11" t="s">
        <v>179</v>
      </c>
      <c r="F214" s="37" t="n">
        <f aca="false">COUNTIF('Sales Data'!$D$2:$D$1201,A214)</f>
        <v>3</v>
      </c>
      <c r="G214" s="38" t="n">
        <f aca="false">_xlfn.MAXIFS('Sales Data'!$B$2:$B$1201,'Sales Data'!$D$2:$D$1201,A214)</f>
        <v>45933</v>
      </c>
      <c r="H214" s="37" t="n">
        <f aca="false">$Q$4-G214</f>
        <v>89</v>
      </c>
      <c r="I214" s="33" t="n">
        <f aca="false">SUMIFS('Sales Data'!$P$2:$P$1201,'Sales Data'!$D$2:$D$1201,A214)</f>
        <v>8569</v>
      </c>
      <c r="J214" s="37" t="n">
        <f aca="false">INDEX($Q$7:$Q$9,MATCH(H214,$P$7:$P$9,1))</f>
        <v>2</v>
      </c>
      <c r="K214" s="37" t="n">
        <f aca="false">INDEX($Q$12:$Q$14,MATCH(F214,$P$12:$P$14,1))</f>
        <v>2</v>
      </c>
      <c r="L214" s="37" t="n">
        <f aca="false">INDEX($Q$17:$Q$19,MATCH(I214,$P$17:$P$19,1))</f>
        <v>1</v>
      </c>
      <c r="M214" s="37" t="n">
        <f aca="false">J214+K214+L214</f>
        <v>5</v>
      </c>
      <c r="N214" s="39" t="str">
        <f aca="false">INDEX($Q$22:$Q$25,MATCH(M214,$P$22:$P$25,1))</f>
        <v>At Risk</v>
      </c>
    </row>
    <row r="215" customFormat="false" ht="15" hidden="false" customHeight="true" outlineLevel="0" collapsed="false">
      <c r="A215" s="11" t="s">
        <v>391</v>
      </c>
      <c r="B215" s="11" t="s">
        <v>392</v>
      </c>
      <c r="C215" s="11" t="s">
        <v>159</v>
      </c>
      <c r="D215" s="11" t="s">
        <v>207</v>
      </c>
      <c r="F215" s="37" t="n">
        <f aca="false">COUNTIF('Sales Data'!$D$2:$D$1201,A215)</f>
        <v>8</v>
      </c>
      <c r="G215" s="38" t="n">
        <f aca="false">_xlfn.MAXIFS('Sales Data'!$B$2:$B$1201,'Sales Data'!$D$2:$D$1201,A215)</f>
        <v>45977</v>
      </c>
      <c r="H215" s="37" t="n">
        <f aca="false">$Q$4-G215</f>
        <v>45</v>
      </c>
      <c r="I215" s="33" t="n">
        <f aca="false">SUMIFS('Sales Data'!$P$2:$P$1201,'Sales Data'!$D$2:$D$1201,A215)</f>
        <v>31233</v>
      </c>
      <c r="J215" s="37" t="n">
        <f aca="false">INDEX($Q$7:$Q$9,MATCH(H215,$P$7:$P$9,1))</f>
        <v>3</v>
      </c>
      <c r="K215" s="37" t="n">
        <f aca="false">INDEX($Q$12:$Q$14,MATCH(F215,$P$12:$P$14,1))</f>
        <v>3</v>
      </c>
      <c r="L215" s="37" t="n">
        <f aca="false">INDEX($Q$17:$Q$19,MATCH(I215,$P$17:$P$19,1))</f>
        <v>2</v>
      </c>
      <c r="M215" s="37" t="n">
        <f aca="false">J215+K215+L215</f>
        <v>8</v>
      </c>
      <c r="N215" s="39" t="str">
        <f aca="false">INDEX($Q$22:$Q$25,MATCH(M215,$P$22:$P$25,1))</f>
        <v>Champion</v>
      </c>
    </row>
    <row r="216" customFormat="false" ht="15" hidden="false" customHeight="true" outlineLevel="0" collapsed="false">
      <c r="A216" s="11" t="s">
        <v>197</v>
      </c>
      <c r="B216" s="11" t="s">
        <v>198</v>
      </c>
      <c r="C216" s="11" t="s">
        <v>178</v>
      </c>
      <c r="D216" s="11" t="s">
        <v>191</v>
      </c>
      <c r="F216" s="37" t="n">
        <f aca="false">COUNTIF('Sales Data'!$D$2:$D$1201,A216)</f>
        <v>20</v>
      </c>
      <c r="G216" s="38" t="n">
        <f aca="false">_xlfn.MAXIFS('Sales Data'!$B$2:$B$1201,'Sales Data'!$D$2:$D$1201,A216)</f>
        <v>46020</v>
      </c>
      <c r="H216" s="37" t="n">
        <f aca="false">$Q$4-G216</f>
        <v>2</v>
      </c>
      <c r="I216" s="33" t="n">
        <f aca="false">SUMIFS('Sales Data'!$P$2:$P$1201,'Sales Data'!$D$2:$D$1201,A216)</f>
        <v>92565</v>
      </c>
      <c r="J216" s="37" t="n">
        <f aca="false">INDEX($Q$7:$Q$9,MATCH(H216,$P$7:$P$9,1))</f>
        <v>3</v>
      </c>
      <c r="K216" s="37" t="n">
        <f aca="false">INDEX($Q$12:$Q$14,MATCH(F216,$P$12:$P$14,1))</f>
        <v>3</v>
      </c>
      <c r="L216" s="37" t="n">
        <f aca="false">INDEX($Q$17:$Q$19,MATCH(I216,$P$17:$P$19,1))</f>
        <v>3</v>
      </c>
      <c r="M216" s="37" t="n">
        <f aca="false">J216+K216+L216</f>
        <v>9</v>
      </c>
      <c r="N216" s="39" t="str">
        <f aca="false">INDEX($Q$22:$Q$25,MATCH(M216,$P$22:$P$25,1))</f>
        <v>Champion</v>
      </c>
    </row>
    <row r="217" customFormat="false" ht="15" hidden="false" customHeight="true" outlineLevel="0" collapsed="false">
      <c r="A217" s="11" t="s">
        <v>1140</v>
      </c>
      <c r="B217" s="11" t="s">
        <v>1141</v>
      </c>
      <c r="C217" s="11" t="s">
        <v>159</v>
      </c>
      <c r="D217" s="11" t="s">
        <v>207</v>
      </c>
      <c r="F217" s="37" t="n">
        <f aca="false">COUNTIF('Sales Data'!$D$2:$D$1201,A217)</f>
        <v>2</v>
      </c>
      <c r="G217" s="38" t="n">
        <f aca="false">_xlfn.MAXIFS('Sales Data'!$B$2:$B$1201,'Sales Data'!$D$2:$D$1201,A217)</f>
        <v>45916</v>
      </c>
      <c r="H217" s="37" t="n">
        <f aca="false">$Q$4-G217</f>
        <v>106</v>
      </c>
      <c r="I217" s="33" t="n">
        <f aca="false">SUMIFS('Sales Data'!$P$2:$P$1201,'Sales Data'!$D$2:$D$1201,A217)</f>
        <v>42475</v>
      </c>
      <c r="J217" s="37" t="n">
        <f aca="false">INDEX($Q$7:$Q$9,MATCH(H217,$P$7:$P$9,1))</f>
        <v>2</v>
      </c>
      <c r="K217" s="37" t="n">
        <f aca="false">INDEX($Q$12:$Q$14,MATCH(F217,$P$12:$P$14,1))</f>
        <v>1</v>
      </c>
      <c r="L217" s="37" t="n">
        <f aca="false">INDEX($Q$17:$Q$19,MATCH(I217,$P$17:$P$19,1))</f>
        <v>2</v>
      </c>
      <c r="M217" s="37" t="n">
        <f aca="false">J217+K217+L217</f>
        <v>5</v>
      </c>
      <c r="N217" s="39" t="str">
        <f aca="false">INDEX($Q$22:$Q$25,MATCH(M217,$P$22:$P$25,1))</f>
        <v>At Risk</v>
      </c>
    </row>
    <row r="218" customFormat="false" ht="15" hidden="false" customHeight="true" outlineLevel="0" collapsed="false">
      <c r="A218" s="11" t="s">
        <v>1216</v>
      </c>
      <c r="B218" s="11" t="s">
        <v>1217</v>
      </c>
      <c r="C218" s="11" t="s">
        <v>159</v>
      </c>
      <c r="D218" s="11" t="s">
        <v>161</v>
      </c>
      <c r="F218" s="37" t="n">
        <f aca="false">COUNTIF('Sales Data'!$D$2:$D$1201,A218)</f>
        <v>5</v>
      </c>
      <c r="G218" s="38" t="n">
        <f aca="false">_xlfn.MAXIFS('Sales Data'!$B$2:$B$1201,'Sales Data'!$D$2:$D$1201,A218)</f>
        <v>46015</v>
      </c>
      <c r="H218" s="37" t="n">
        <f aca="false">$Q$4-G218</f>
        <v>7</v>
      </c>
      <c r="I218" s="33" t="n">
        <f aca="false">SUMIFS('Sales Data'!$P$2:$P$1201,'Sales Data'!$D$2:$D$1201,A218)</f>
        <v>6914</v>
      </c>
      <c r="J218" s="37" t="n">
        <f aca="false">INDEX($Q$7:$Q$9,MATCH(H218,$P$7:$P$9,1))</f>
        <v>3</v>
      </c>
      <c r="K218" s="37" t="n">
        <f aca="false">INDEX($Q$12:$Q$14,MATCH(F218,$P$12:$P$14,1))</f>
        <v>2</v>
      </c>
      <c r="L218" s="37" t="n">
        <f aca="false">INDEX($Q$17:$Q$19,MATCH(I218,$P$17:$P$19,1))</f>
        <v>1</v>
      </c>
      <c r="M218" s="37" t="n">
        <f aca="false">J218+K218+L218</f>
        <v>6</v>
      </c>
      <c r="N218" s="39" t="str">
        <f aca="false">INDEX($Q$22:$Q$25,MATCH(M218,$P$22:$P$25,1))</f>
        <v>Loyal</v>
      </c>
    </row>
    <row r="219" customFormat="false" ht="15" hidden="false" customHeight="true" outlineLevel="0" collapsed="false">
      <c r="A219" s="11" t="s">
        <v>618</v>
      </c>
      <c r="B219" s="11" t="s">
        <v>619</v>
      </c>
      <c r="C219" s="11" t="s">
        <v>219</v>
      </c>
      <c r="D219" s="11" t="s">
        <v>191</v>
      </c>
      <c r="F219" s="37" t="n">
        <f aca="false">COUNTIF('Sales Data'!$D$2:$D$1201,A219)</f>
        <v>6</v>
      </c>
      <c r="G219" s="38" t="n">
        <f aca="false">_xlfn.MAXIFS('Sales Data'!$B$2:$B$1201,'Sales Data'!$D$2:$D$1201,A219)</f>
        <v>45986</v>
      </c>
      <c r="H219" s="37" t="n">
        <f aca="false">$Q$4-G219</f>
        <v>36</v>
      </c>
      <c r="I219" s="33" t="n">
        <f aca="false">SUMIFS('Sales Data'!$P$2:$P$1201,'Sales Data'!$D$2:$D$1201,A219)</f>
        <v>12642</v>
      </c>
      <c r="J219" s="37" t="n">
        <f aca="false">INDEX($Q$7:$Q$9,MATCH(H219,$P$7:$P$9,1))</f>
        <v>3</v>
      </c>
      <c r="K219" s="37" t="n">
        <f aca="false">INDEX($Q$12:$Q$14,MATCH(F219,$P$12:$P$14,1))</f>
        <v>2</v>
      </c>
      <c r="L219" s="37" t="n">
        <f aca="false">INDEX($Q$17:$Q$19,MATCH(I219,$P$17:$P$19,1))</f>
        <v>2</v>
      </c>
      <c r="M219" s="37" t="n">
        <f aca="false">J219+K219+L219</f>
        <v>7</v>
      </c>
      <c r="N219" s="39" t="str">
        <f aca="false">INDEX($Q$22:$Q$25,MATCH(M219,$P$22:$P$25,1))</f>
        <v>Loyal</v>
      </c>
    </row>
    <row r="220" customFormat="false" ht="15" hidden="false" customHeight="true" outlineLevel="0" collapsed="false">
      <c r="A220" s="11" t="s">
        <v>441</v>
      </c>
      <c r="B220" s="11" t="s">
        <v>442</v>
      </c>
      <c r="C220" s="11" t="s">
        <v>159</v>
      </c>
      <c r="D220" s="11" t="s">
        <v>191</v>
      </c>
      <c r="F220" s="37" t="n">
        <f aca="false">COUNTIF('Sales Data'!$D$2:$D$1201,A220)</f>
        <v>7</v>
      </c>
      <c r="G220" s="38" t="n">
        <f aca="false">_xlfn.MAXIFS('Sales Data'!$B$2:$B$1201,'Sales Data'!$D$2:$D$1201,A220)</f>
        <v>45983</v>
      </c>
      <c r="H220" s="37" t="n">
        <f aca="false">$Q$4-G220</f>
        <v>39</v>
      </c>
      <c r="I220" s="33" t="n">
        <f aca="false">SUMIFS('Sales Data'!$P$2:$P$1201,'Sales Data'!$D$2:$D$1201,A220)</f>
        <v>46928</v>
      </c>
      <c r="J220" s="37" t="n">
        <f aca="false">INDEX($Q$7:$Q$9,MATCH(H220,$P$7:$P$9,1))</f>
        <v>3</v>
      </c>
      <c r="K220" s="37" t="n">
        <f aca="false">INDEX($Q$12:$Q$14,MATCH(F220,$P$12:$P$14,1))</f>
        <v>3</v>
      </c>
      <c r="L220" s="37" t="n">
        <f aca="false">INDEX($Q$17:$Q$19,MATCH(I220,$P$17:$P$19,1))</f>
        <v>3</v>
      </c>
      <c r="M220" s="37" t="n">
        <f aca="false">J220+K220+L220</f>
        <v>9</v>
      </c>
      <c r="N220" s="39" t="str">
        <f aca="false">INDEX($Q$22:$Q$25,MATCH(M220,$P$22:$P$25,1))</f>
        <v>Champion</v>
      </c>
    </row>
    <row r="221" customFormat="false" ht="15" hidden="false" customHeight="true" outlineLevel="0" collapsed="false">
      <c r="A221" s="11" t="s">
        <v>1460</v>
      </c>
      <c r="B221" s="11" t="s">
        <v>1461</v>
      </c>
      <c r="C221" s="11" t="s">
        <v>219</v>
      </c>
      <c r="D221" s="11" t="s">
        <v>179</v>
      </c>
      <c r="F221" s="37" t="n">
        <f aca="false">COUNTIF('Sales Data'!$D$2:$D$1201,A221)</f>
        <v>1</v>
      </c>
      <c r="G221" s="38" t="n">
        <f aca="false">_xlfn.MAXIFS('Sales Data'!$B$2:$B$1201,'Sales Data'!$D$2:$D$1201,A221)</f>
        <v>45931</v>
      </c>
      <c r="H221" s="37" t="n">
        <f aca="false">$Q$4-G221</f>
        <v>91</v>
      </c>
      <c r="I221" s="33" t="n">
        <f aca="false">SUMIFS('Sales Data'!$P$2:$P$1201,'Sales Data'!$D$2:$D$1201,A221)</f>
        <v>15198</v>
      </c>
      <c r="J221" s="37" t="n">
        <f aca="false">INDEX($Q$7:$Q$9,MATCH(H221,$P$7:$P$9,1))</f>
        <v>2</v>
      </c>
      <c r="K221" s="37" t="n">
        <f aca="false">INDEX($Q$12:$Q$14,MATCH(F221,$P$12:$P$14,1))</f>
        <v>1</v>
      </c>
      <c r="L221" s="37" t="n">
        <f aca="false">INDEX($Q$17:$Q$19,MATCH(I221,$P$17:$P$19,1))</f>
        <v>2</v>
      </c>
      <c r="M221" s="37" t="n">
        <f aca="false">J221+K221+L221</f>
        <v>5</v>
      </c>
      <c r="N221" s="39" t="str">
        <f aca="false">INDEX($Q$22:$Q$25,MATCH(M221,$P$22:$P$25,1))</f>
        <v>At Risk</v>
      </c>
    </row>
    <row r="222" customFormat="false" ht="15" hidden="false" customHeight="true" outlineLevel="0" collapsed="false">
      <c r="A222" s="11" t="s">
        <v>157</v>
      </c>
      <c r="B222" s="11" t="s">
        <v>158</v>
      </c>
      <c r="C222" s="11" t="s">
        <v>159</v>
      </c>
      <c r="D222" s="11" t="s">
        <v>161</v>
      </c>
      <c r="F222" s="37" t="n">
        <f aca="false">COUNTIF('Sales Data'!$D$2:$D$1201,A222)</f>
        <v>5</v>
      </c>
      <c r="G222" s="38" t="n">
        <f aca="false">_xlfn.MAXIFS('Sales Data'!$B$2:$B$1201,'Sales Data'!$D$2:$D$1201,A222)</f>
        <v>45986</v>
      </c>
      <c r="H222" s="37" t="n">
        <f aca="false">$Q$4-G222</f>
        <v>36</v>
      </c>
      <c r="I222" s="33" t="n">
        <f aca="false">SUMIFS('Sales Data'!$P$2:$P$1201,'Sales Data'!$D$2:$D$1201,A222)</f>
        <v>20680</v>
      </c>
      <c r="J222" s="37" t="n">
        <f aca="false">INDEX($Q$7:$Q$9,MATCH(H222,$P$7:$P$9,1))</f>
        <v>3</v>
      </c>
      <c r="K222" s="37" t="n">
        <f aca="false">INDEX($Q$12:$Q$14,MATCH(F222,$P$12:$P$14,1))</f>
        <v>2</v>
      </c>
      <c r="L222" s="37" t="n">
        <f aca="false">INDEX($Q$17:$Q$19,MATCH(I222,$P$17:$P$19,1))</f>
        <v>2</v>
      </c>
      <c r="M222" s="37" t="n">
        <f aca="false">J222+K222+L222</f>
        <v>7</v>
      </c>
      <c r="N222" s="39" t="str">
        <f aca="false">INDEX($Q$22:$Q$25,MATCH(M222,$P$22:$P$25,1))</f>
        <v>Loyal</v>
      </c>
    </row>
    <row r="223" customFormat="false" ht="15" hidden="false" customHeight="true" outlineLevel="0" collapsed="false">
      <c r="A223" s="11" t="s">
        <v>973</v>
      </c>
      <c r="B223" s="11" t="s">
        <v>974</v>
      </c>
      <c r="C223" s="11" t="s">
        <v>159</v>
      </c>
      <c r="D223" s="11" t="s">
        <v>269</v>
      </c>
      <c r="F223" s="37" t="n">
        <f aca="false">COUNTIF('Sales Data'!$D$2:$D$1201,A223)</f>
        <v>4</v>
      </c>
      <c r="G223" s="38" t="n">
        <f aca="false">_xlfn.MAXIFS('Sales Data'!$B$2:$B$1201,'Sales Data'!$D$2:$D$1201,A223)</f>
        <v>46006</v>
      </c>
      <c r="H223" s="37" t="n">
        <f aca="false">$Q$4-G223</f>
        <v>16</v>
      </c>
      <c r="I223" s="33" t="n">
        <f aca="false">SUMIFS('Sales Data'!$P$2:$P$1201,'Sales Data'!$D$2:$D$1201,A223)</f>
        <v>24943</v>
      </c>
      <c r="J223" s="37" t="n">
        <f aca="false">INDEX($Q$7:$Q$9,MATCH(H223,$P$7:$P$9,1))</f>
        <v>3</v>
      </c>
      <c r="K223" s="37" t="n">
        <f aca="false">INDEX($Q$12:$Q$14,MATCH(F223,$P$12:$P$14,1))</f>
        <v>2</v>
      </c>
      <c r="L223" s="37" t="n">
        <f aca="false">INDEX($Q$17:$Q$19,MATCH(I223,$P$17:$P$19,1))</f>
        <v>2</v>
      </c>
      <c r="M223" s="37" t="n">
        <f aca="false">J223+K223+L223</f>
        <v>7</v>
      </c>
      <c r="N223" s="39" t="str">
        <f aca="false">INDEX($Q$22:$Q$25,MATCH(M223,$P$22:$P$25,1))</f>
        <v>Loyal</v>
      </c>
    </row>
    <row r="224" customFormat="false" ht="15" hidden="false" customHeight="true" outlineLevel="0" collapsed="false">
      <c r="A224" s="11" t="s">
        <v>1203</v>
      </c>
      <c r="B224" s="11" t="s">
        <v>1204</v>
      </c>
      <c r="C224" s="11" t="s">
        <v>219</v>
      </c>
      <c r="D224" s="11" t="s">
        <v>324</v>
      </c>
      <c r="F224" s="37" t="n">
        <f aca="false">COUNTIF('Sales Data'!$D$2:$D$1201,A224)</f>
        <v>2</v>
      </c>
      <c r="G224" s="38" t="n">
        <f aca="false">_xlfn.MAXIFS('Sales Data'!$B$2:$B$1201,'Sales Data'!$D$2:$D$1201,A224)</f>
        <v>45891</v>
      </c>
      <c r="H224" s="37" t="n">
        <f aca="false">$Q$4-G224</f>
        <v>131</v>
      </c>
      <c r="I224" s="33" t="n">
        <f aca="false">SUMIFS('Sales Data'!$P$2:$P$1201,'Sales Data'!$D$2:$D$1201,A224)</f>
        <v>2846</v>
      </c>
      <c r="J224" s="37" t="n">
        <f aca="false">INDEX($Q$7:$Q$9,MATCH(H224,$P$7:$P$9,1))</f>
        <v>2</v>
      </c>
      <c r="K224" s="37" t="n">
        <f aca="false">INDEX($Q$12:$Q$14,MATCH(F224,$P$12:$P$14,1))</f>
        <v>1</v>
      </c>
      <c r="L224" s="37" t="n">
        <f aca="false">INDEX($Q$17:$Q$19,MATCH(I224,$P$17:$P$19,1))</f>
        <v>1</v>
      </c>
      <c r="M224" s="37" t="n">
        <f aca="false">J224+K224+L224</f>
        <v>4</v>
      </c>
      <c r="N224" s="39" t="str">
        <f aca="false">INDEX($Q$22:$Q$25,MATCH(M224,$P$22:$P$25,1))</f>
        <v>At Risk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2"/>
    <col collapsed="false" customWidth="true" hidden="false" outlineLevel="0" max="3" min="3" style="1" width="22"/>
    <col collapsed="false" customWidth="true" hidden="false" outlineLevel="0" max="4" min="4" style="1" width="14"/>
  </cols>
  <sheetData>
    <row r="1" customFormat="false" ht="19.5" hidden="false" customHeight="true" outlineLevel="0" collapsed="false">
      <c r="A1" s="2" t="s">
        <v>18</v>
      </c>
    </row>
    <row r="2" customFormat="false" ht="15" hidden="false" customHeight="true" outlineLevel="0" collapsed="false">
      <c r="A2" s="3" t="s">
        <v>1972</v>
      </c>
    </row>
    <row r="4" customFormat="false" ht="15" hidden="false" customHeight="true" outlineLevel="0" collapsed="false">
      <c r="A4" s="4" t="s">
        <v>72</v>
      </c>
      <c r="B4" s="4" t="s">
        <v>73</v>
      </c>
      <c r="C4" s="4" t="s">
        <v>74</v>
      </c>
      <c r="D4" s="4" t="s">
        <v>43</v>
      </c>
    </row>
    <row r="5" customFormat="false" ht="43.5" hidden="false" customHeight="true" outlineLevel="0" collapsed="false">
      <c r="A5" s="11" t="n">
        <v>1</v>
      </c>
      <c r="B5" s="5" t="s">
        <v>1973</v>
      </c>
      <c r="C5" s="12" t="n">
        <f aca="false">COUNTIF(Customers!$F$5:$F$224,1)</f>
        <v>29</v>
      </c>
      <c r="D5" s="9" t="s">
        <v>47</v>
      </c>
    </row>
    <row r="6" customFormat="false" ht="31.5" hidden="false" customHeight="true" outlineLevel="0" collapsed="false">
      <c r="A6" s="11" t="n">
        <v>2</v>
      </c>
      <c r="B6" s="5" t="s">
        <v>1974</v>
      </c>
      <c r="C6" s="12" t="str">
        <f aca="false">INDEX(Customers!$A$5:$A$224,MATCH(MAX(Customers!$I$5:$I$224),Customers!$I$5:$I$224,0))</f>
        <v>C166</v>
      </c>
      <c r="D6" s="9" t="s">
        <v>47</v>
      </c>
    </row>
    <row r="7" customFormat="false" ht="31.5" hidden="false" customHeight="true" outlineLevel="0" collapsed="false">
      <c r="A7" s="11" t="n">
        <v>3</v>
      </c>
      <c r="B7" s="5" t="s">
        <v>1975</v>
      </c>
      <c r="C7" s="12" t="n">
        <f aca="false">MAX(Customers!$F$5:$F$224)</f>
        <v>20</v>
      </c>
      <c r="D7" s="9" t="s">
        <v>47</v>
      </c>
    </row>
    <row r="8" customFormat="false" ht="43.5" hidden="false" customHeight="true" outlineLevel="0" collapsed="false">
      <c r="A8" s="11" t="n">
        <v>4</v>
      </c>
      <c r="B8" s="5" t="s">
        <v>1976</v>
      </c>
      <c r="C8" s="12" t="n">
        <f aca="false">COUNTIF(Customers!$N$5:$N$224,"Champion")</f>
        <v>67</v>
      </c>
      <c r="D8" s="9" t="s">
        <v>47</v>
      </c>
    </row>
    <row r="9" customFormat="false" ht="31.5" hidden="false" customHeight="true" outlineLevel="0" collapsed="false">
      <c r="A9" s="11" t="n">
        <v>5</v>
      </c>
      <c r="B9" s="5" t="s">
        <v>1977</v>
      </c>
      <c r="C9" s="12" t="n">
        <f aca="false">COUNTIF(Customers!$N$5:$N$224,"Loyal")</f>
        <v>76</v>
      </c>
      <c r="D9" s="9" t="s">
        <v>47</v>
      </c>
    </row>
    <row r="10" customFormat="false" ht="31.5" hidden="false" customHeight="true" outlineLevel="0" collapsed="false">
      <c r="A10" s="11" t="n">
        <v>6</v>
      </c>
      <c r="B10" s="5" t="s">
        <v>1978</v>
      </c>
      <c r="C10" s="12" t="n">
        <f aca="false">COUNTIF(Customers!$N$5:$N$224,"At Risk")</f>
        <v>56</v>
      </c>
      <c r="D10" s="9" t="s">
        <v>47</v>
      </c>
    </row>
    <row r="11" customFormat="false" ht="31.5" hidden="false" customHeight="true" outlineLevel="0" collapsed="false">
      <c r="A11" s="11" t="n">
        <v>7</v>
      </c>
      <c r="B11" s="5" t="s">
        <v>1979</v>
      </c>
      <c r="C11" s="12" t="n">
        <f aca="false">COUNTIF(Customers!$N$5:$N$224,"Lost")</f>
        <v>21</v>
      </c>
      <c r="D11" s="9" t="s">
        <v>47</v>
      </c>
    </row>
    <row r="12" customFormat="false" ht="31.5" hidden="false" customHeight="true" outlineLevel="0" collapsed="false">
      <c r="A12" s="11" t="n">
        <v>8</v>
      </c>
      <c r="B12" s="5" t="s">
        <v>1980</v>
      </c>
      <c r="C12" s="13" t="n">
        <f aca="false">SUMIF(Customers!$N$5:$N$224,"Champion",Customers!$I$5:$I$224)</f>
        <v>3394545</v>
      </c>
      <c r="D12" s="9" t="s">
        <v>47</v>
      </c>
    </row>
    <row r="13" customFormat="false" ht="31.5" hidden="false" customHeight="true" outlineLevel="0" collapsed="false">
      <c r="A13" s="11" t="n">
        <v>9</v>
      </c>
      <c r="B13" s="5" t="s">
        <v>1981</v>
      </c>
      <c r="C13" s="29" t="n">
        <f aca="false">C12/SUM(Customers!$I$5:$I$224)</f>
        <v>0.625529905903638</v>
      </c>
      <c r="D13" s="9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2"/>
    <col collapsed="false" customWidth="true" hidden="false" outlineLevel="0" max="3" min="3" style="1" width="22"/>
    <col collapsed="false" customWidth="true" hidden="false" outlineLevel="0" max="4" min="4" style="1" width="14"/>
  </cols>
  <sheetData>
    <row r="1" customFormat="false" ht="19.5" hidden="false" customHeight="true" outlineLevel="0" collapsed="false">
      <c r="A1" s="2" t="s">
        <v>1982</v>
      </c>
    </row>
    <row r="2" customFormat="false" ht="15" hidden="false" customHeight="true" outlineLevel="0" collapsed="false">
      <c r="A2" s="3" t="s">
        <v>1983</v>
      </c>
    </row>
    <row r="4" customFormat="false" ht="15" hidden="false" customHeight="true" outlineLevel="0" collapsed="false">
      <c r="A4" s="4" t="s">
        <v>72</v>
      </c>
      <c r="B4" s="4" t="s">
        <v>73</v>
      </c>
      <c r="C4" s="4" t="s">
        <v>74</v>
      </c>
      <c r="D4" s="4" t="s">
        <v>43</v>
      </c>
    </row>
    <row r="5" customFormat="false" ht="43.5" hidden="false" customHeight="true" outlineLevel="0" collapsed="false">
      <c r="A5" s="11" t="n">
        <v>1</v>
      </c>
      <c r="B5" s="5" t="s">
        <v>1984</v>
      </c>
      <c r="C5" s="13" t="n">
        <f aca="false">Pivots!$B$9</f>
        <v>2190302</v>
      </c>
      <c r="D5" s="9" t="s">
        <v>47</v>
      </c>
    </row>
    <row r="6" customFormat="false" ht="43.5" hidden="false" customHeight="true" outlineLevel="0" collapsed="false">
      <c r="A6" s="11" t="n">
        <v>2</v>
      </c>
      <c r="B6" s="5" t="s">
        <v>1985</v>
      </c>
      <c r="C6" s="13" t="n">
        <f aca="false">Pivots!$D$16</f>
        <v>590693</v>
      </c>
      <c r="D6" s="9" t="s">
        <v>47</v>
      </c>
    </row>
    <row r="7" customFormat="false" ht="43.5" hidden="false" customHeight="true" outlineLevel="0" collapsed="false">
      <c r="A7" s="11" t="n">
        <v>3</v>
      </c>
      <c r="B7" s="5" t="s">
        <v>1986</v>
      </c>
      <c r="C7" s="13" t="n">
        <f aca="false">Pivots!$I$27</f>
        <v>1978359</v>
      </c>
      <c r="D7" s="9" t="s">
        <v>47</v>
      </c>
    </row>
    <row r="8" customFormat="false" ht="43.5" hidden="false" customHeight="true" outlineLevel="0" collapsed="false">
      <c r="A8" s="11" t="n">
        <v>4</v>
      </c>
      <c r="B8" s="5" t="s">
        <v>1987</v>
      </c>
      <c r="C8" s="12" t="str">
        <f aca="false">Pivots!$A$40</f>
        <v>Audio</v>
      </c>
      <c r="D8" s="9" t="s">
        <v>47</v>
      </c>
    </row>
    <row r="9" customFormat="false" ht="31.5" hidden="false" customHeight="true" outlineLevel="0" collapsed="false">
      <c r="A9" s="11" t="n">
        <v>5</v>
      </c>
      <c r="B9" s="5" t="s">
        <v>1988</v>
      </c>
      <c r="C9" s="29" t="n">
        <f aca="false">Pivots!$D$66</f>
        <v>0.369283948662244</v>
      </c>
      <c r="D9" s="9" t="s">
        <v>47</v>
      </c>
    </row>
    <row r="10" customFormat="false" ht="43.5" hidden="false" customHeight="true" outlineLevel="0" collapsed="false">
      <c r="A10" s="11" t="n">
        <v>6</v>
      </c>
      <c r="B10" s="5" t="s">
        <v>1989</v>
      </c>
      <c r="C10" s="29" t="n">
        <f aca="false">Pivots!$E$67</f>
        <v>0.0339605941085531</v>
      </c>
      <c r="D10" s="9" t="s">
        <v>47</v>
      </c>
    </row>
    <row r="11" customFormat="false" ht="43.5" hidden="false" customHeight="true" outlineLevel="0" collapsed="false">
      <c r="A11" s="11" t="n">
        <v>7</v>
      </c>
      <c r="B11" s="5" t="s">
        <v>1990</v>
      </c>
      <c r="C11" s="13" t="n">
        <f aca="false">SUMIFS('Sales Data'!$R$2:$R$1201,'Sales Data'!$T$2:$T$1201,"Above 20%")</f>
        <v>-47109</v>
      </c>
      <c r="D11" s="9" t="s">
        <v>47</v>
      </c>
    </row>
    <row r="12" customFormat="false" ht="43.5" hidden="false" customHeight="true" outlineLevel="0" collapsed="false">
      <c r="A12" s="11" t="n">
        <v>8</v>
      </c>
      <c r="B12" s="5" t="s">
        <v>1991</v>
      </c>
      <c r="C12" s="42" t="s">
        <v>1992</v>
      </c>
      <c r="D12" s="9" t="s">
        <v>47</v>
      </c>
    </row>
    <row r="13" customFormat="false" ht="43.5" hidden="false" customHeight="true" outlineLevel="0" collapsed="false">
      <c r="A13" s="11" t="n">
        <v>9</v>
      </c>
      <c r="B13" s="5" t="s">
        <v>1993</v>
      </c>
      <c r="C13" s="42" t="s">
        <v>1994</v>
      </c>
      <c r="D13" s="9" t="s">
        <v>60</v>
      </c>
    </row>
    <row r="14" customFormat="false" ht="43.5" hidden="false" customHeight="true" outlineLevel="0" collapsed="false">
      <c r="A14" s="11" t="n">
        <v>10</v>
      </c>
      <c r="B14" s="5" t="s">
        <v>1995</v>
      </c>
      <c r="C14" s="42" t="s">
        <v>1996</v>
      </c>
      <c r="D14" s="9" t="s">
        <v>60</v>
      </c>
    </row>
    <row r="15" customFormat="false" ht="43.5" hidden="false" customHeight="true" outlineLevel="0" collapsed="false">
      <c r="A15" s="11" t="n">
        <v>11</v>
      </c>
      <c r="B15" s="5" t="s">
        <v>1997</v>
      </c>
      <c r="C15" s="42" t="s">
        <v>1998</v>
      </c>
      <c r="D15" s="9" t="s">
        <v>47</v>
      </c>
    </row>
    <row r="16" customFormat="false" ht="31.5" hidden="false" customHeight="true" outlineLevel="0" collapsed="false">
      <c r="A16" s="11" t="n">
        <v>12</v>
      </c>
      <c r="B16" s="5" t="s">
        <v>1999</v>
      </c>
      <c r="C16" s="42" t="s">
        <v>2000</v>
      </c>
      <c r="D16" s="9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2:M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3"/>
    <col collapsed="false" customWidth="true" hidden="false" outlineLevel="0" max="14" min="14" style="0" width="2"/>
  </cols>
  <sheetData>
    <row r="2" customFormat="false" ht="37.5" hidden="false" customHeight="true" outlineLevel="0" collapsed="false">
      <c r="B2" s="43" t="s">
        <v>2001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customFormat="false" ht="15" hidden="false" customHeight="false" outlineLevel="0" collapsed="false">
      <c r="B3" s="44" t="s">
        <v>2002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5" customFormat="false" ht="25.5" hidden="false" customHeight="true" outlineLevel="0" collapsed="false">
      <c r="B5" s="45" t="s">
        <v>142</v>
      </c>
      <c r="C5" s="46" t="s">
        <v>2003</v>
      </c>
      <c r="D5" s="45" t="s">
        <v>144</v>
      </c>
      <c r="E5" s="46" t="s">
        <v>2003</v>
      </c>
      <c r="F5" s="45" t="s">
        <v>2004</v>
      </c>
      <c r="G5" s="47" t="n">
        <v>45658</v>
      </c>
      <c r="H5" s="45" t="s">
        <v>2005</v>
      </c>
      <c r="I5" s="47" t="n">
        <v>46022</v>
      </c>
      <c r="J5" s="48" t="s">
        <v>2006</v>
      </c>
      <c r="K5" s="48"/>
      <c r="L5" s="48"/>
      <c r="M5" s="48"/>
    </row>
    <row r="7" customFormat="false" ht="19.5" hidden="false" customHeight="true" outlineLevel="0" collapsed="false">
      <c r="B7" s="49" t="s">
        <v>2007</v>
      </c>
      <c r="C7" s="49"/>
      <c r="D7" s="49"/>
      <c r="E7" s="50" t="s">
        <v>2008</v>
      </c>
      <c r="F7" s="50"/>
      <c r="G7" s="50"/>
      <c r="H7" s="51" t="s">
        <v>2009</v>
      </c>
      <c r="I7" s="51"/>
      <c r="J7" s="51"/>
      <c r="K7" s="52" t="s">
        <v>2010</v>
      </c>
      <c r="L7" s="52"/>
      <c r="M7" s="52"/>
    </row>
    <row r="8" customFormat="false" ht="15" hidden="false" customHeight="false" outlineLevel="0" collapsed="false">
      <c r="B8" s="53" t="n">
        <f aca="false">Dash_Calc!B47</f>
        <v>5426671</v>
      </c>
      <c r="C8" s="53"/>
      <c r="D8" s="53"/>
      <c r="E8" s="54" t="n">
        <f aca="false">Dash_Calc!B48</f>
        <v>1212441</v>
      </c>
      <c r="F8" s="54"/>
      <c r="G8" s="54"/>
      <c r="H8" s="55" t="n">
        <f aca="false">Dash_Calc!B49</f>
        <v>0.22342261028907</v>
      </c>
      <c r="I8" s="55"/>
      <c r="J8" s="55"/>
      <c r="K8" s="56" t="n">
        <f aca="false">Dash_Calc!B50</f>
        <v>1200</v>
      </c>
      <c r="L8" s="56"/>
      <c r="M8" s="56"/>
    </row>
    <row r="9" customFormat="false" ht="15" hidden="false" customHeight="false" outlineLevel="0" collapsed="false">
      <c r="B9" s="53"/>
      <c r="C9" s="53"/>
      <c r="D9" s="53"/>
      <c r="E9" s="54"/>
      <c r="F9" s="54"/>
      <c r="G9" s="54"/>
      <c r="H9" s="55"/>
      <c r="I9" s="55"/>
      <c r="J9" s="55"/>
      <c r="K9" s="56"/>
      <c r="L9" s="56"/>
      <c r="M9" s="56"/>
    </row>
    <row r="10" customFormat="false" ht="19.5" hidden="false" customHeight="true" outlineLevel="0" collapsed="false">
      <c r="B10" s="57" t="str">
        <f aca="false">"Share of full year: "&amp;TEXT(Dash_Calc!B52,"0.0%")</f>
        <v>Share of full year: 100.0%</v>
      </c>
      <c r="C10" s="57"/>
      <c r="D10" s="57"/>
      <c r="E10" s="57" t="str">
        <f aca="false">"Share of full year: "&amp;TEXT(Dash_Calc!B53,"0.0%")</f>
        <v>Share of full year: 100.0%</v>
      </c>
      <c r="F10" s="57"/>
      <c r="G10" s="57"/>
      <c r="H10" s="57" t="str">
        <f aca="false">"Full-year margin: "&amp;TEXT(Dash_Calc!B54,"0.0%")</f>
        <v>Full-year margin: 22.3%</v>
      </c>
      <c r="I10" s="57"/>
      <c r="J10" s="57"/>
      <c r="K10" s="57" t="str">
        <f aca="false">"Avg order value: ₹"&amp;TEXT(Dash_Calc!B51,"#,##0")</f>
        <v>Avg order value: ₹4,522</v>
      </c>
      <c r="L10" s="57"/>
      <c r="M10" s="57"/>
    </row>
    <row r="29" customFormat="false" ht="15" hidden="false" customHeight="false" outlineLevel="0" collapsed="false">
      <c r="H29" s="58" t="s">
        <v>2011</v>
      </c>
      <c r="I29" s="58"/>
      <c r="J29" s="58"/>
      <c r="K29" s="58"/>
      <c r="L29" s="58"/>
      <c r="M29" s="58"/>
    </row>
    <row r="30" customFormat="false" ht="15" hidden="false" customHeight="false" outlineLevel="0" collapsed="false">
      <c r="H30" s="59" t="s">
        <v>2012</v>
      </c>
      <c r="I30" s="59"/>
      <c r="J30" s="59" t="s">
        <v>1951</v>
      </c>
      <c r="K30" s="59" t="s">
        <v>151</v>
      </c>
      <c r="L30" s="59" t="s">
        <v>153</v>
      </c>
      <c r="M30" s="59" t="s">
        <v>2013</v>
      </c>
    </row>
    <row r="31" customFormat="false" ht="15" hidden="false" customHeight="false" outlineLevel="0" collapsed="false">
      <c r="H31" s="60" t="str">
        <f aca="false">Dash_Calc!A41</f>
        <v>No discount</v>
      </c>
      <c r="I31" s="60"/>
      <c r="J31" s="61" t="n">
        <f aca="false">Dash_Calc!B41</f>
        <v>367</v>
      </c>
      <c r="K31" s="23" t="n">
        <f aca="false">Dash_Calc!C41</f>
        <v>1494101</v>
      </c>
      <c r="L31" s="62" t="n">
        <f aca="false">Dash_Calc!D41</f>
        <v>541151</v>
      </c>
      <c r="M31" s="63" t="n">
        <f aca="false">Dash_Calc!E41</f>
        <v>0.362191712608452</v>
      </c>
    </row>
    <row r="32" customFormat="false" ht="15" hidden="false" customHeight="false" outlineLevel="0" collapsed="false">
      <c r="H32" s="60" t="str">
        <f aca="false">Dash_Calc!A42</f>
        <v>Up to 20%</v>
      </c>
      <c r="I32" s="60"/>
      <c r="J32" s="61" t="n">
        <f aca="false">Dash_Calc!B42</f>
        <v>643</v>
      </c>
      <c r="K32" s="23" t="n">
        <f aca="false">Dash_Calc!C42</f>
        <v>3062479</v>
      </c>
      <c r="L32" s="62" t="n">
        <f aca="false">Dash_Calc!D42</f>
        <v>718399</v>
      </c>
      <c r="M32" s="63" t="n">
        <f aca="false">Dash_Calc!E42</f>
        <v>0.234580873860686</v>
      </c>
    </row>
    <row r="33" customFormat="false" ht="15" hidden="false" customHeight="false" outlineLevel="0" collapsed="false">
      <c r="H33" s="60" t="str">
        <f aca="false">Dash_Calc!A43</f>
        <v>Above 20%</v>
      </c>
      <c r="I33" s="60"/>
      <c r="J33" s="61" t="n">
        <f aca="false">Dash_Calc!B43</f>
        <v>190</v>
      </c>
      <c r="K33" s="23" t="n">
        <f aca="false">Dash_Calc!C43</f>
        <v>870091</v>
      </c>
      <c r="L33" s="62" t="n">
        <f aca="false">Dash_Calc!D43</f>
        <v>-47109</v>
      </c>
      <c r="M33" s="63" t="n">
        <f aca="false">Dash_Calc!E43</f>
        <v>-0.0541426126692495</v>
      </c>
    </row>
    <row r="35" customFormat="false" ht="15" hidden="false" customHeight="true" outlineLevel="0" collapsed="false">
      <c r="H35" s="64" t="s">
        <v>2014</v>
      </c>
      <c r="I35" s="64"/>
      <c r="J35" s="64"/>
      <c r="K35" s="64"/>
      <c r="L35" s="64"/>
      <c r="M35" s="64"/>
    </row>
    <row r="36" customFormat="false" ht="15" hidden="false" customHeight="false" outlineLevel="0" collapsed="false">
      <c r="H36" s="64"/>
      <c r="I36" s="64"/>
      <c r="J36" s="64"/>
      <c r="K36" s="64"/>
      <c r="L36" s="64"/>
      <c r="M36" s="64"/>
    </row>
    <row r="37" customFormat="false" ht="15" hidden="false" customHeight="false" outlineLevel="0" collapsed="false">
      <c r="H37" s="64"/>
      <c r="I37" s="64"/>
      <c r="J37" s="64"/>
      <c r="K37" s="64"/>
      <c r="L37" s="64"/>
      <c r="M37" s="64"/>
    </row>
    <row r="38" customFormat="false" ht="15" hidden="false" customHeight="false" outlineLevel="0" collapsed="false">
      <c r="H38" s="64"/>
      <c r="I38" s="64"/>
      <c r="J38" s="64"/>
      <c r="K38" s="64"/>
      <c r="L38" s="64"/>
      <c r="M38" s="64"/>
    </row>
    <row r="39" customFormat="false" ht="15" hidden="false" customHeight="false" outlineLevel="0" collapsed="false">
      <c r="H39" s="64"/>
      <c r="I39" s="64"/>
      <c r="J39" s="64"/>
      <c r="K39" s="64"/>
      <c r="L39" s="64"/>
      <c r="M39" s="64"/>
    </row>
    <row r="40" customFormat="false" ht="15" hidden="false" customHeight="false" outlineLevel="0" collapsed="false">
      <c r="H40" s="64"/>
      <c r="I40" s="64"/>
      <c r="J40" s="64"/>
      <c r="K40" s="64"/>
      <c r="L40" s="64"/>
      <c r="M40" s="64"/>
    </row>
    <row r="46" customFormat="false" ht="15" hidden="false" customHeight="false" outlineLevel="0" collapsed="false">
      <c r="B46" s="65" t="s">
        <v>2015</v>
      </c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</row>
  </sheetData>
  <mergeCells count="22">
    <mergeCell ref="B2:M2"/>
    <mergeCell ref="B3:M3"/>
    <mergeCell ref="J5:M5"/>
    <mergeCell ref="B7:D7"/>
    <mergeCell ref="E7:G7"/>
    <mergeCell ref="H7:J7"/>
    <mergeCell ref="K7:M7"/>
    <mergeCell ref="B8:D9"/>
    <mergeCell ref="E8:G9"/>
    <mergeCell ref="H8:J9"/>
    <mergeCell ref="K8:M9"/>
    <mergeCell ref="B10:D10"/>
    <mergeCell ref="E10:G10"/>
    <mergeCell ref="H10:J10"/>
    <mergeCell ref="K10:M10"/>
    <mergeCell ref="H29:M29"/>
    <mergeCell ref="H30:I30"/>
    <mergeCell ref="H31:I31"/>
    <mergeCell ref="H32:I32"/>
    <mergeCell ref="H33:I33"/>
    <mergeCell ref="H35:M40"/>
    <mergeCell ref="B46:M46"/>
  </mergeCells>
  <dataValidations count="3">
    <dataValidation allowBlank="false" errorStyle="stop" operator="between" showDropDown="false" showErrorMessage="false" showInputMessage="false" sqref="C5" type="list">
      <formula1>"All,East,North,South,West"</formula1>
      <formula2>0</formula2>
    </dataValidation>
    <dataValidation allowBlank="false" errorStyle="stop" operator="between" showDropDown="false" showErrorMessage="false" showInputMessage="false" sqref="E5" type="list">
      <formula1>"All,Apparel,Beauty,Electronics,Furniture,Home,Stationery"</formula1>
      <formula2>0</formula2>
    </dataValidation>
    <dataValidation allowBlank="false" error="Enter a date in 2025." errorStyle="stop" errorTitle="Date out of range" operator="between" showDropDown="false" showErrorMessage="true" showInputMessage="false" sqref="G5 I5" type="date">
      <formula1>45658</formula1>
      <formula2>46022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K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5"/>
    <col collapsed="false" customWidth="true" hidden="false" outlineLevel="0" max="7" min="7" style="0" width="4"/>
    <col collapsed="false" customWidth="true" hidden="false" outlineLevel="0" max="11" min="8" style="0" width="15"/>
  </cols>
  <sheetData>
    <row r="1" customFormat="false" ht="19.7" hidden="false" customHeight="false" outlineLevel="0" collapsed="false">
      <c r="A1" s="15" t="s">
        <v>2016</v>
      </c>
    </row>
    <row r="2" customFormat="false" ht="15" hidden="false" customHeight="false" outlineLevel="0" collapsed="false">
      <c r="A2" s="16" t="s">
        <v>2017</v>
      </c>
    </row>
    <row r="4" customFormat="false" ht="15" hidden="false" customHeight="false" outlineLevel="0" collapsed="false">
      <c r="A4" s="20" t="s">
        <v>2018</v>
      </c>
    </row>
    <row r="5" customFormat="false" ht="15" hidden="false" customHeight="false" outlineLevel="0" collapsed="false">
      <c r="A5" s="17" t="s">
        <v>142</v>
      </c>
      <c r="B5" s="17" t="s">
        <v>151</v>
      </c>
    </row>
    <row r="6" customFormat="false" ht="15" hidden="false" customHeight="false" outlineLevel="0" collapsed="false">
      <c r="A6" s="21" t="s">
        <v>323</v>
      </c>
      <c r="B6" s="66" t="n">
        <f aca="false">SUMIFS('Sales Data'!$P$2:$P$1201,'Sales Data'!$G$2:$G$1201,A6)</f>
        <v>333766</v>
      </c>
    </row>
    <row r="7" customFormat="false" ht="15" hidden="false" customHeight="false" outlineLevel="0" collapsed="false">
      <c r="A7" s="21" t="s">
        <v>206</v>
      </c>
      <c r="B7" s="66" t="n">
        <f aca="false">SUMIFS('Sales Data'!$P$2:$P$1201,'Sales Data'!$G$2:$G$1201,A7)</f>
        <v>1155087</v>
      </c>
    </row>
    <row r="8" customFormat="false" ht="15" hidden="false" customHeight="false" outlineLevel="0" collapsed="false">
      <c r="A8" s="21" t="s">
        <v>169</v>
      </c>
      <c r="B8" s="66" t="n">
        <f aca="false">SUMIFS('Sales Data'!$P$2:$P$1201,'Sales Data'!$G$2:$G$1201,A8)</f>
        <v>1747516</v>
      </c>
    </row>
    <row r="9" customFormat="false" ht="15" hidden="false" customHeight="false" outlineLevel="0" collapsed="false">
      <c r="A9" s="21" t="s">
        <v>160</v>
      </c>
      <c r="B9" s="66" t="n">
        <f aca="false">SUMIFS('Sales Data'!$P$2:$P$1201,'Sales Data'!$G$2:$G$1201,A9)</f>
        <v>2190302</v>
      </c>
    </row>
    <row r="10" customFormat="false" ht="15" hidden="false" customHeight="false" outlineLevel="0" collapsed="false">
      <c r="A10" s="67" t="s">
        <v>2019</v>
      </c>
      <c r="B10" s="68" t="n">
        <f aca="false">SUM(B6:B9)</f>
        <v>5426671</v>
      </c>
    </row>
    <row r="12" customFormat="false" ht="15" hidden="false" customHeight="false" outlineLevel="0" collapsed="false">
      <c r="A12" s="20" t="s">
        <v>2020</v>
      </c>
    </row>
    <row r="13" customFormat="false" ht="15" hidden="false" customHeight="false" outlineLevel="0" collapsed="false">
      <c r="A13" s="17" t="s">
        <v>144</v>
      </c>
      <c r="B13" s="17" t="s">
        <v>323</v>
      </c>
      <c r="C13" s="17" t="s">
        <v>206</v>
      </c>
      <c r="D13" s="17" t="s">
        <v>169</v>
      </c>
      <c r="E13" s="17" t="s">
        <v>160</v>
      </c>
      <c r="F13" s="17" t="s">
        <v>2019</v>
      </c>
    </row>
    <row r="14" customFormat="false" ht="15" hidden="false" customHeight="false" outlineLevel="0" collapsed="false">
      <c r="A14" s="21" t="s">
        <v>162</v>
      </c>
      <c r="B14" s="66" t="n">
        <f aca="false">SUMIFS('Sales Data'!$P$2:$P$1201,'Sales Data'!$I$2:$I$1201,$A14,'Sales Data'!$G$2:$G$1201,B$13)</f>
        <v>65872</v>
      </c>
      <c r="C14" s="66" t="n">
        <f aca="false">SUMIFS('Sales Data'!$P$2:$P$1201,'Sales Data'!$I$2:$I$1201,$A14,'Sales Data'!$G$2:$G$1201,C$13)</f>
        <v>170807</v>
      </c>
      <c r="D14" s="66" t="n">
        <f aca="false">SUMIFS('Sales Data'!$P$2:$P$1201,'Sales Data'!$I$2:$I$1201,$A14,'Sales Data'!$G$2:$G$1201,D$13)</f>
        <v>223042</v>
      </c>
      <c r="E14" s="66" t="n">
        <f aca="false">SUMIFS('Sales Data'!$P$2:$P$1201,'Sales Data'!$I$2:$I$1201,$A14,'Sales Data'!$G$2:$G$1201,E$13)</f>
        <v>266310</v>
      </c>
      <c r="F14" s="66" t="n">
        <f aca="false">SUM(B14:E14)</f>
        <v>726031</v>
      </c>
    </row>
    <row r="15" customFormat="false" ht="15" hidden="false" customHeight="false" outlineLevel="0" collapsed="false">
      <c r="A15" s="21" t="s">
        <v>199</v>
      </c>
      <c r="B15" s="66" t="n">
        <f aca="false">SUMIFS('Sales Data'!$P$2:$P$1201,'Sales Data'!$I$2:$I$1201,$A15,'Sales Data'!$G$2:$G$1201,B$13)</f>
        <v>20232</v>
      </c>
      <c r="C15" s="66" t="n">
        <f aca="false">SUMIFS('Sales Data'!$P$2:$P$1201,'Sales Data'!$I$2:$I$1201,$A15,'Sales Data'!$G$2:$G$1201,C$13)</f>
        <v>58381</v>
      </c>
      <c r="D15" s="66" t="n">
        <f aca="false">SUMIFS('Sales Data'!$P$2:$P$1201,'Sales Data'!$I$2:$I$1201,$A15,'Sales Data'!$G$2:$G$1201,D$13)</f>
        <v>101907</v>
      </c>
      <c r="E15" s="66" t="n">
        <f aca="false">SUMIFS('Sales Data'!$P$2:$P$1201,'Sales Data'!$I$2:$I$1201,$A15,'Sales Data'!$G$2:$G$1201,E$13)</f>
        <v>133384</v>
      </c>
      <c r="F15" s="66" t="n">
        <f aca="false">SUM(B15:E15)</f>
        <v>313904</v>
      </c>
    </row>
    <row r="16" customFormat="false" ht="15" hidden="false" customHeight="false" outlineLevel="0" collapsed="false">
      <c r="A16" s="21" t="s">
        <v>208</v>
      </c>
      <c r="B16" s="66" t="n">
        <f aca="false">SUMIFS('Sales Data'!$P$2:$P$1201,'Sales Data'!$I$2:$I$1201,$A16,'Sales Data'!$G$2:$G$1201,B$13)</f>
        <v>55821</v>
      </c>
      <c r="C16" s="66" t="n">
        <f aca="false">SUMIFS('Sales Data'!$P$2:$P$1201,'Sales Data'!$I$2:$I$1201,$A16,'Sales Data'!$G$2:$G$1201,C$13)</f>
        <v>255561</v>
      </c>
      <c r="D16" s="66" t="n">
        <f aca="false">SUMIFS('Sales Data'!$P$2:$P$1201,'Sales Data'!$I$2:$I$1201,$A16,'Sales Data'!$G$2:$G$1201,D$13)</f>
        <v>590693</v>
      </c>
      <c r="E16" s="66" t="n">
        <f aca="false">SUMIFS('Sales Data'!$P$2:$P$1201,'Sales Data'!$I$2:$I$1201,$A16,'Sales Data'!$G$2:$G$1201,E$13)</f>
        <v>766140</v>
      </c>
      <c r="F16" s="66" t="n">
        <f aca="false">SUM(B16:E16)</f>
        <v>1668215</v>
      </c>
    </row>
    <row r="17" customFormat="false" ht="15" hidden="false" customHeight="false" outlineLevel="0" collapsed="false">
      <c r="A17" s="21" t="s">
        <v>192</v>
      </c>
      <c r="B17" s="66" t="n">
        <f aca="false">SUMIFS('Sales Data'!$P$2:$P$1201,'Sales Data'!$I$2:$I$1201,$A17,'Sales Data'!$G$2:$G$1201,B$13)</f>
        <v>109431</v>
      </c>
      <c r="C17" s="66" t="n">
        <f aca="false">SUMIFS('Sales Data'!$P$2:$P$1201,'Sales Data'!$I$2:$I$1201,$A17,'Sales Data'!$G$2:$G$1201,C$13)</f>
        <v>489365</v>
      </c>
      <c r="D17" s="66" t="n">
        <f aca="false">SUMIFS('Sales Data'!$P$2:$P$1201,'Sales Data'!$I$2:$I$1201,$A17,'Sales Data'!$G$2:$G$1201,D$13)</f>
        <v>516346</v>
      </c>
      <c r="E17" s="66" t="n">
        <f aca="false">SUMIFS('Sales Data'!$P$2:$P$1201,'Sales Data'!$I$2:$I$1201,$A17,'Sales Data'!$G$2:$G$1201,E$13)</f>
        <v>556943</v>
      </c>
      <c r="F17" s="66" t="n">
        <f aca="false">SUM(B17:E17)</f>
        <v>1672085</v>
      </c>
    </row>
    <row r="18" customFormat="false" ht="15" hidden="false" customHeight="false" outlineLevel="0" collapsed="false">
      <c r="A18" s="21" t="s">
        <v>171</v>
      </c>
      <c r="B18" s="66" t="n">
        <f aca="false">SUMIFS('Sales Data'!$P$2:$P$1201,'Sales Data'!$I$2:$I$1201,$A18,'Sales Data'!$G$2:$G$1201,B$13)</f>
        <v>63623</v>
      </c>
      <c r="C18" s="66" t="n">
        <f aca="false">SUMIFS('Sales Data'!$P$2:$P$1201,'Sales Data'!$I$2:$I$1201,$A18,'Sales Data'!$G$2:$G$1201,C$13)</f>
        <v>147972</v>
      </c>
      <c r="D18" s="66" t="n">
        <f aca="false">SUMIFS('Sales Data'!$P$2:$P$1201,'Sales Data'!$I$2:$I$1201,$A18,'Sales Data'!$G$2:$G$1201,D$13)</f>
        <v>239056</v>
      </c>
      <c r="E18" s="66" t="n">
        <f aca="false">SUMIFS('Sales Data'!$P$2:$P$1201,'Sales Data'!$I$2:$I$1201,$A18,'Sales Data'!$G$2:$G$1201,E$13)</f>
        <v>369199</v>
      </c>
      <c r="F18" s="66" t="n">
        <f aca="false">SUM(B18:E18)</f>
        <v>819850</v>
      </c>
    </row>
    <row r="19" customFormat="false" ht="15" hidden="false" customHeight="false" outlineLevel="0" collapsed="false">
      <c r="A19" s="21" t="s">
        <v>282</v>
      </c>
      <c r="B19" s="66" t="n">
        <f aca="false">SUMIFS('Sales Data'!$P$2:$P$1201,'Sales Data'!$I$2:$I$1201,$A19,'Sales Data'!$G$2:$G$1201,B$13)</f>
        <v>18787</v>
      </c>
      <c r="C19" s="66" t="n">
        <f aca="false">SUMIFS('Sales Data'!$P$2:$P$1201,'Sales Data'!$I$2:$I$1201,$A19,'Sales Data'!$G$2:$G$1201,C$13)</f>
        <v>33001</v>
      </c>
      <c r="D19" s="66" t="n">
        <f aca="false">SUMIFS('Sales Data'!$P$2:$P$1201,'Sales Data'!$I$2:$I$1201,$A19,'Sales Data'!$G$2:$G$1201,D$13)</f>
        <v>76472</v>
      </c>
      <c r="E19" s="66" t="n">
        <f aca="false">SUMIFS('Sales Data'!$P$2:$P$1201,'Sales Data'!$I$2:$I$1201,$A19,'Sales Data'!$G$2:$G$1201,E$13)</f>
        <v>98326</v>
      </c>
      <c r="F19" s="66" t="n">
        <f aca="false">SUM(B19:E19)</f>
        <v>226586</v>
      </c>
    </row>
    <row r="20" customFormat="false" ht="15" hidden="false" customHeight="false" outlineLevel="0" collapsed="false">
      <c r="A20" s="67" t="s">
        <v>2019</v>
      </c>
      <c r="B20" s="68" t="n">
        <f aca="false">SUM(B14:B19)</f>
        <v>333766</v>
      </c>
      <c r="C20" s="68" t="n">
        <f aca="false">SUM(C14:C19)</f>
        <v>1155087</v>
      </c>
      <c r="D20" s="68" t="n">
        <f aca="false">SUM(D14:D19)</f>
        <v>1747516</v>
      </c>
      <c r="E20" s="68" t="n">
        <f aca="false">SUM(E14:E19)</f>
        <v>2190302</v>
      </c>
      <c r="F20" s="68" t="n">
        <f aca="false">SUM(F14:F19)</f>
        <v>5426671</v>
      </c>
    </row>
    <row r="22" customFormat="false" ht="15" hidden="false" customHeight="false" outlineLevel="0" collapsed="false">
      <c r="A22" s="20" t="s">
        <v>2021</v>
      </c>
    </row>
    <row r="23" customFormat="false" ht="15" hidden="false" customHeight="false" outlineLevel="0" collapsed="false">
      <c r="A23" s="17" t="s">
        <v>2022</v>
      </c>
      <c r="B23" s="17" t="s">
        <v>2023</v>
      </c>
      <c r="C23" s="17" t="s">
        <v>2024</v>
      </c>
      <c r="D23" s="17" t="s">
        <v>151</v>
      </c>
      <c r="E23" s="17" t="s">
        <v>153</v>
      </c>
      <c r="F23" s="17" t="s">
        <v>1951</v>
      </c>
      <c r="H23" s="17" t="s">
        <v>2024</v>
      </c>
      <c r="I23" s="17" t="s">
        <v>151</v>
      </c>
      <c r="J23" s="17" t="s">
        <v>153</v>
      </c>
      <c r="K23" s="17" t="s">
        <v>2025</v>
      </c>
    </row>
    <row r="24" customFormat="false" ht="15" hidden="false" customHeight="false" outlineLevel="0" collapsed="false">
      <c r="A24" s="60" t="n">
        <v>1</v>
      </c>
      <c r="B24" s="66" t="str">
        <f aca="false">TEXT(DATE(2025,A24,1),"mmmm")</f>
        <v>January</v>
      </c>
      <c r="C24" s="66" t="str">
        <f aca="false">"Qtr"&amp;ROUNDUP(A24/3,0)</f>
        <v>Qtr1</v>
      </c>
      <c r="D24" s="66" t="n">
        <f aca="false">SUMPRODUCT((MONTH('Sales Data'!$B$2:$B$1201)=A24)*'Sales Data'!$P$2:$P$1201)</f>
        <v>305327</v>
      </c>
      <c r="E24" s="66" t="n">
        <f aca="false">SUMPRODUCT((MONTH('Sales Data'!$B$2:$B$1201)=A24)*'Sales Data'!$R$2:$R$1201)</f>
        <v>78507</v>
      </c>
      <c r="F24" s="69" t="n">
        <f aca="false">SUMPRODUCT(--(MONTH('Sales Data'!$B$2:$B$1201)=A24))</f>
        <v>85</v>
      </c>
      <c r="H24" s="21" t="s">
        <v>2026</v>
      </c>
      <c r="I24" s="66" t="n">
        <f aca="false">SUMIFS($D$24:$D$35,$C$24:$C$35,H24)</f>
        <v>915428</v>
      </c>
      <c r="J24" s="66" t="n">
        <f aca="false">SUMIFS($E$24:$E$35,$C$24:$C$35,H24)</f>
        <v>180408</v>
      </c>
      <c r="K24" s="70" t="n">
        <f aca="false">I24/$I$28</f>
        <v>0.168690528686924</v>
      </c>
    </row>
    <row r="25" customFormat="false" ht="15" hidden="false" customHeight="false" outlineLevel="0" collapsed="false">
      <c r="A25" s="60" t="n">
        <v>2</v>
      </c>
      <c r="B25" s="66" t="str">
        <f aca="false">TEXT(DATE(2025,A25,1),"mmmm")</f>
        <v>February</v>
      </c>
      <c r="C25" s="66" t="str">
        <f aca="false">"Qtr"&amp;ROUNDUP(A25/3,0)</f>
        <v>Qtr1</v>
      </c>
      <c r="D25" s="66" t="n">
        <f aca="false">SUMPRODUCT((MONTH('Sales Data'!$B$2:$B$1201)=A25)*'Sales Data'!$P$2:$P$1201)</f>
        <v>310888</v>
      </c>
      <c r="E25" s="66" t="n">
        <f aca="false">SUMPRODUCT((MONTH('Sales Data'!$B$2:$B$1201)=A25)*'Sales Data'!$R$2:$R$1201)</f>
        <v>47508</v>
      </c>
      <c r="F25" s="69" t="n">
        <f aca="false">SUMPRODUCT(--(MONTH('Sales Data'!$B$2:$B$1201)=A25))</f>
        <v>64</v>
      </c>
      <c r="H25" s="21" t="s">
        <v>2027</v>
      </c>
      <c r="I25" s="66" t="n">
        <f aca="false">SUMIFS($D$24:$D$35,$C$24:$C$35,H25)</f>
        <v>1367989</v>
      </c>
      <c r="J25" s="66" t="n">
        <f aca="false">SUMIFS($E$24:$E$35,$C$24:$C$35,H25)</f>
        <v>295359</v>
      </c>
      <c r="K25" s="70" t="n">
        <f aca="false">I25/$I$28</f>
        <v>0.252086223764072</v>
      </c>
    </row>
    <row r="26" customFormat="false" ht="15" hidden="false" customHeight="false" outlineLevel="0" collapsed="false">
      <c r="A26" s="60" t="n">
        <v>3</v>
      </c>
      <c r="B26" s="66" t="str">
        <f aca="false">TEXT(DATE(2025,A26,1),"mmmm")</f>
        <v>March</v>
      </c>
      <c r="C26" s="66" t="str">
        <f aca="false">"Qtr"&amp;ROUNDUP(A26/3,0)</f>
        <v>Qtr1</v>
      </c>
      <c r="D26" s="66" t="n">
        <f aca="false">SUMPRODUCT((MONTH('Sales Data'!$B$2:$B$1201)=A26)*'Sales Data'!$P$2:$P$1201)</f>
        <v>299213</v>
      </c>
      <c r="E26" s="66" t="n">
        <f aca="false">SUMPRODUCT((MONTH('Sales Data'!$B$2:$B$1201)=A26)*'Sales Data'!$R$2:$R$1201)</f>
        <v>54393</v>
      </c>
      <c r="F26" s="69" t="n">
        <f aca="false">SUMPRODUCT(--(MONTH('Sales Data'!$B$2:$B$1201)=A26))</f>
        <v>77</v>
      </c>
      <c r="H26" s="21" t="s">
        <v>2028</v>
      </c>
      <c r="I26" s="66" t="n">
        <f aca="false">SUMIFS($D$24:$D$35,$C$24:$C$35,H26)</f>
        <v>1164895</v>
      </c>
      <c r="J26" s="66" t="n">
        <f aca="false">SUMIFS($E$24:$E$35,$C$24:$C$35,H26)</f>
        <v>276095</v>
      </c>
      <c r="K26" s="70" t="n">
        <f aca="false">I26/$I$28</f>
        <v>0.214661069373839</v>
      </c>
    </row>
    <row r="27" customFormat="false" ht="15" hidden="false" customHeight="false" outlineLevel="0" collapsed="false">
      <c r="A27" s="60" t="n">
        <v>4</v>
      </c>
      <c r="B27" s="66" t="str">
        <f aca="false">TEXT(DATE(2025,A27,1),"mmmm")</f>
        <v>April</v>
      </c>
      <c r="C27" s="66" t="str">
        <f aca="false">"Qtr"&amp;ROUNDUP(A27/3,0)</f>
        <v>Qtr2</v>
      </c>
      <c r="D27" s="66" t="n">
        <f aca="false">SUMPRODUCT((MONTH('Sales Data'!$B$2:$B$1201)=A27)*'Sales Data'!$P$2:$P$1201)</f>
        <v>424765</v>
      </c>
      <c r="E27" s="66" t="n">
        <f aca="false">SUMPRODUCT((MONTH('Sales Data'!$B$2:$B$1201)=A27)*'Sales Data'!$R$2:$R$1201)</f>
        <v>90505</v>
      </c>
      <c r="F27" s="69" t="n">
        <f aca="false">SUMPRODUCT(--(MONTH('Sales Data'!$B$2:$B$1201)=A27))</f>
        <v>79</v>
      </c>
      <c r="H27" s="21" t="s">
        <v>2029</v>
      </c>
      <c r="I27" s="66" t="n">
        <f aca="false">SUMIFS($D$24:$D$35,$C$24:$C$35,H27)</f>
        <v>1978359</v>
      </c>
      <c r="J27" s="66" t="n">
        <f aca="false">SUMIFS($E$24:$E$35,$C$24:$C$35,H27)</f>
        <v>460579</v>
      </c>
      <c r="K27" s="70" t="n">
        <f aca="false">I27/$I$28</f>
        <v>0.364562178175165</v>
      </c>
    </row>
    <row r="28" customFormat="false" ht="15" hidden="false" customHeight="false" outlineLevel="0" collapsed="false">
      <c r="A28" s="60" t="n">
        <v>5</v>
      </c>
      <c r="B28" s="66" t="str">
        <f aca="false">TEXT(DATE(2025,A28,1),"mmmm")</f>
        <v>May</v>
      </c>
      <c r="C28" s="66" t="str">
        <f aca="false">"Qtr"&amp;ROUNDUP(A28/3,0)</f>
        <v>Qtr2</v>
      </c>
      <c r="D28" s="66" t="n">
        <f aca="false">SUMPRODUCT((MONTH('Sales Data'!$B$2:$B$1201)=A28)*'Sales Data'!$P$2:$P$1201)</f>
        <v>444324</v>
      </c>
      <c r="E28" s="66" t="n">
        <f aca="false">SUMPRODUCT((MONTH('Sales Data'!$B$2:$B$1201)=A28)*'Sales Data'!$R$2:$R$1201)</f>
        <v>89104</v>
      </c>
      <c r="F28" s="69" t="n">
        <f aca="false">SUMPRODUCT(--(MONTH('Sales Data'!$B$2:$B$1201)=A28))</f>
        <v>94</v>
      </c>
      <c r="H28" s="67" t="s">
        <v>2019</v>
      </c>
      <c r="I28" s="68" t="n">
        <f aca="false">SUM(I24:I27)</f>
        <v>5426671</v>
      </c>
      <c r="J28" s="68" t="n">
        <f aca="false">SUM(J24:J27)</f>
        <v>1212441</v>
      </c>
      <c r="K28" s="71" t="n">
        <f aca="false">SUM(K24:K27)</f>
        <v>1</v>
      </c>
    </row>
    <row r="29" customFormat="false" ht="15" hidden="false" customHeight="false" outlineLevel="0" collapsed="false">
      <c r="A29" s="60" t="n">
        <v>6</v>
      </c>
      <c r="B29" s="66" t="str">
        <f aca="false">TEXT(DATE(2025,A29,1),"mmmm")</f>
        <v>June</v>
      </c>
      <c r="C29" s="66" t="str">
        <f aca="false">"Qtr"&amp;ROUNDUP(A29/3,0)</f>
        <v>Qtr2</v>
      </c>
      <c r="D29" s="66" t="n">
        <f aca="false">SUMPRODUCT((MONTH('Sales Data'!$B$2:$B$1201)=A29)*'Sales Data'!$P$2:$P$1201)</f>
        <v>498900</v>
      </c>
      <c r="E29" s="66" t="n">
        <f aca="false">SUMPRODUCT((MONTH('Sales Data'!$B$2:$B$1201)=A29)*'Sales Data'!$R$2:$R$1201)</f>
        <v>115750</v>
      </c>
      <c r="F29" s="69" t="n">
        <f aca="false">SUMPRODUCT(--(MONTH('Sales Data'!$B$2:$B$1201)=A29))</f>
        <v>83</v>
      </c>
    </row>
    <row r="30" customFormat="false" ht="15" hidden="false" customHeight="false" outlineLevel="0" collapsed="false">
      <c r="A30" s="60" t="n">
        <v>7</v>
      </c>
      <c r="B30" s="66" t="str">
        <f aca="false">TEXT(DATE(2025,A30,1),"mmmm")</f>
        <v>July</v>
      </c>
      <c r="C30" s="66" t="str">
        <f aca="false">"Qtr"&amp;ROUNDUP(A30/3,0)</f>
        <v>Qtr3</v>
      </c>
      <c r="D30" s="66" t="n">
        <f aca="false">SUMPRODUCT((MONTH('Sales Data'!$B$2:$B$1201)=A30)*'Sales Data'!$P$2:$P$1201)</f>
        <v>418685</v>
      </c>
      <c r="E30" s="66" t="n">
        <f aca="false">SUMPRODUCT((MONTH('Sales Data'!$B$2:$B$1201)=A30)*'Sales Data'!$R$2:$R$1201)</f>
        <v>92285</v>
      </c>
      <c r="F30" s="69" t="n">
        <f aca="false">SUMPRODUCT(--(MONTH('Sales Data'!$B$2:$B$1201)=A30))</f>
        <v>94</v>
      </c>
    </row>
    <row r="31" customFormat="false" ht="15" hidden="false" customHeight="false" outlineLevel="0" collapsed="false">
      <c r="A31" s="60" t="n">
        <v>8</v>
      </c>
      <c r="B31" s="66" t="str">
        <f aca="false">TEXT(DATE(2025,A31,1),"mmmm")</f>
        <v>August</v>
      </c>
      <c r="C31" s="66" t="str">
        <f aca="false">"Qtr"&amp;ROUNDUP(A31/3,0)</f>
        <v>Qtr3</v>
      </c>
      <c r="D31" s="66" t="n">
        <f aca="false">SUMPRODUCT((MONTH('Sales Data'!$B$2:$B$1201)=A31)*'Sales Data'!$P$2:$P$1201)</f>
        <v>379426</v>
      </c>
      <c r="E31" s="66" t="n">
        <f aca="false">SUMPRODUCT((MONTH('Sales Data'!$B$2:$B$1201)=A31)*'Sales Data'!$R$2:$R$1201)</f>
        <v>90066</v>
      </c>
      <c r="F31" s="69" t="n">
        <f aca="false">SUMPRODUCT(--(MONTH('Sales Data'!$B$2:$B$1201)=A31))</f>
        <v>98</v>
      </c>
    </row>
    <row r="32" customFormat="false" ht="15" hidden="false" customHeight="false" outlineLevel="0" collapsed="false">
      <c r="A32" s="60" t="n">
        <v>9</v>
      </c>
      <c r="B32" s="66" t="str">
        <f aca="false">TEXT(DATE(2025,A32,1),"mmmm")</f>
        <v>September</v>
      </c>
      <c r="C32" s="66" t="str">
        <f aca="false">"Qtr"&amp;ROUNDUP(A32/3,0)</f>
        <v>Qtr3</v>
      </c>
      <c r="D32" s="66" t="n">
        <f aca="false">SUMPRODUCT((MONTH('Sales Data'!$B$2:$B$1201)=A32)*'Sales Data'!$P$2:$P$1201)</f>
        <v>366784</v>
      </c>
      <c r="E32" s="66" t="n">
        <f aca="false">SUMPRODUCT((MONTH('Sales Data'!$B$2:$B$1201)=A32)*'Sales Data'!$R$2:$R$1201)</f>
        <v>93744</v>
      </c>
      <c r="F32" s="69" t="n">
        <f aca="false">SUMPRODUCT(--(MONTH('Sales Data'!$B$2:$B$1201)=A32))</f>
        <v>97</v>
      </c>
    </row>
    <row r="33" customFormat="false" ht="15" hidden="false" customHeight="false" outlineLevel="0" collapsed="false">
      <c r="A33" s="60" t="n">
        <v>10</v>
      </c>
      <c r="B33" s="66" t="str">
        <f aca="false">TEXT(DATE(2025,A33,1),"mmmm")</f>
        <v>October</v>
      </c>
      <c r="C33" s="66" t="str">
        <f aca="false">"Qtr"&amp;ROUNDUP(A33/3,0)</f>
        <v>Qtr4</v>
      </c>
      <c r="D33" s="66" t="n">
        <f aca="false">SUMPRODUCT((MONTH('Sales Data'!$B$2:$B$1201)=A33)*'Sales Data'!$P$2:$P$1201)</f>
        <v>668213</v>
      </c>
      <c r="E33" s="66" t="n">
        <f aca="false">SUMPRODUCT((MONTH('Sales Data'!$B$2:$B$1201)=A33)*'Sales Data'!$R$2:$R$1201)</f>
        <v>169513</v>
      </c>
      <c r="F33" s="69" t="n">
        <f aca="false">SUMPRODUCT(--(MONTH('Sales Data'!$B$2:$B$1201)=A33))</f>
        <v>149</v>
      </c>
    </row>
    <row r="34" customFormat="false" ht="15" hidden="false" customHeight="false" outlineLevel="0" collapsed="false">
      <c r="A34" s="60" t="n">
        <v>11</v>
      </c>
      <c r="B34" s="66" t="str">
        <f aca="false">TEXT(DATE(2025,A34,1),"mmmm")</f>
        <v>November</v>
      </c>
      <c r="C34" s="66" t="str">
        <f aca="false">"Qtr"&amp;ROUNDUP(A34/3,0)</f>
        <v>Qtr4</v>
      </c>
      <c r="D34" s="66" t="n">
        <f aca="false">SUMPRODUCT((MONTH('Sales Data'!$B$2:$B$1201)=A34)*'Sales Data'!$P$2:$P$1201)</f>
        <v>776952</v>
      </c>
      <c r="E34" s="66" t="n">
        <f aca="false">SUMPRODUCT((MONTH('Sales Data'!$B$2:$B$1201)=A34)*'Sales Data'!$R$2:$R$1201)</f>
        <v>176062</v>
      </c>
      <c r="F34" s="69" t="n">
        <f aca="false">SUMPRODUCT(--(MONTH('Sales Data'!$B$2:$B$1201)=A34))</f>
        <v>168</v>
      </c>
    </row>
    <row r="35" customFormat="false" ht="15" hidden="false" customHeight="false" outlineLevel="0" collapsed="false">
      <c r="A35" s="60" t="n">
        <v>12</v>
      </c>
      <c r="B35" s="66" t="str">
        <f aca="false">TEXT(DATE(2025,A35,1),"mmmm")</f>
        <v>December</v>
      </c>
      <c r="C35" s="66" t="str">
        <f aca="false">"Qtr"&amp;ROUNDUP(A35/3,0)</f>
        <v>Qtr4</v>
      </c>
      <c r="D35" s="66" t="n">
        <f aca="false">SUMPRODUCT((MONTH('Sales Data'!$B$2:$B$1201)=A35)*'Sales Data'!$P$2:$P$1201)</f>
        <v>533194</v>
      </c>
      <c r="E35" s="66" t="n">
        <f aca="false">SUMPRODUCT((MONTH('Sales Data'!$B$2:$B$1201)=A35)*'Sales Data'!$R$2:$R$1201)</f>
        <v>115004</v>
      </c>
      <c r="F35" s="69" t="n">
        <f aca="false">SUMPRODUCT(--(MONTH('Sales Data'!$B$2:$B$1201)=A35))</f>
        <v>112</v>
      </c>
    </row>
    <row r="36" customFormat="false" ht="15" hidden="false" customHeight="false" outlineLevel="0" collapsed="false">
      <c r="A36" s="72" t="s">
        <v>2019</v>
      </c>
      <c r="B36" s="68"/>
      <c r="C36" s="68"/>
      <c r="D36" s="68" t="n">
        <f aca="false">SUM(D24:D35)</f>
        <v>5426671</v>
      </c>
      <c r="E36" s="68" t="n">
        <f aca="false">SUM(E24:E35)</f>
        <v>1212441</v>
      </c>
      <c r="F36" s="73" t="n">
        <f aca="false">SUM(F24:F35)</f>
        <v>1200</v>
      </c>
    </row>
    <row r="38" customFormat="false" ht="15" hidden="false" customHeight="false" outlineLevel="0" collapsed="false">
      <c r="A38" s="20" t="s">
        <v>2030</v>
      </c>
    </row>
    <row r="39" customFormat="false" ht="15" hidden="false" customHeight="false" outlineLevel="0" collapsed="false">
      <c r="A39" s="17" t="s">
        <v>145</v>
      </c>
      <c r="B39" s="17" t="s">
        <v>153</v>
      </c>
    </row>
    <row r="40" customFormat="false" ht="15" hidden="false" customHeight="false" outlineLevel="0" collapsed="false">
      <c r="A40" s="21" t="s">
        <v>232</v>
      </c>
      <c r="B40" s="74" t="n">
        <f aca="false">SUMIFS('Sales Data'!$R$2:$R$1201,'Sales Data'!$J$2:$J$1201,A40)</f>
        <v>305967</v>
      </c>
    </row>
    <row r="41" customFormat="false" ht="15" hidden="false" customHeight="false" outlineLevel="0" collapsed="false">
      <c r="A41" s="21" t="s">
        <v>304</v>
      </c>
      <c r="B41" s="74" t="n">
        <f aca="false">SUMIFS('Sales Data'!$R$2:$R$1201,'Sales Data'!$J$2:$J$1201,A41)</f>
        <v>142631</v>
      </c>
    </row>
    <row r="42" customFormat="false" ht="15" hidden="false" customHeight="false" outlineLevel="0" collapsed="false">
      <c r="A42" s="21" t="s">
        <v>209</v>
      </c>
      <c r="B42" s="74" t="n">
        <f aca="false">SUMIFS('Sales Data'!$R$2:$R$1201,'Sales Data'!$J$2:$J$1201,A42)</f>
        <v>92704</v>
      </c>
    </row>
    <row r="43" customFormat="false" ht="15" hidden="false" customHeight="false" outlineLevel="0" collapsed="false">
      <c r="A43" s="21" t="s">
        <v>185</v>
      </c>
      <c r="B43" s="74" t="n">
        <f aca="false">SUMIFS('Sales Data'!$R$2:$R$1201,'Sales Data'!$J$2:$J$1201,A43)</f>
        <v>92095</v>
      </c>
    </row>
    <row r="44" customFormat="false" ht="15" hidden="false" customHeight="false" outlineLevel="0" collapsed="false">
      <c r="A44" s="21" t="s">
        <v>172</v>
      </c>
      <c r="B44" s="74" t="n">
        <f aca="false">SUMIFS('Sales Data'!$R$2:$R$1201,'Sales Data'!$J$2:$J$1201,A44)</f>
        <v>82731</v>
      </c>
    </row>
    <row r="45" customFormat="false" ht="15" hidden="false" customHeight="false" outlineLevel="0" collapsed="false">
      <c r="A45" s="21" t="s">
        <v>387</v>
      </c>
      <c r="B45" s="74" t="n">
        <f aca="false">SUMIFS('Sales Data'!$R$2:$R$1201,'Sales Data'!$J$2:$J$1201,A45)</f>
        <v>72277</v>
      </c>
    </row>
    <row r="46" customFormat="false" ht="15" hidden="false" customHeight="false" outlineLevel="0" collapsed="false">
      <c r="A46" s="21" t="s">
        <v>292</v>
      </c>
      <c r="B46" s="74" t="n">
        <f aca="false">SUMIFS('Sales Data'!$R$2:$R$1201,'Sales Data'!$J$2:$J$1201,A46)</f>
        <v>60437</v>
      </c>
    </row>
    <row r="47" customFormat="false" ht="15" hidden="false" customHeight="false" outlineLevel="0" collapsed="false">
      <c r="A47" s="21" t="s">
        <v>163</v>
      </c>
      <c r="B47" s="74" t="n">
        <f aca="false">SUMIFS('Sales Data'!$R$2:$R$1201,'Sales Data'!$J$2:$J$1201,A47)</f>
        <v>50622</v>
      </c>
    </row>
    <row r="48" customFormat="false" ht="15" hidden="false" customHeight="false" outlineLevel="0" collapsed="false">
      <c r="A48" s="21" t="s">
        <v>421</v>
      </c>
      <c r="B48" s="74" t="n">
        <f aca="false">SUMIFS('Sales Data'!$R$2:$R$1201,'Sales Data'!$J$2:$J$1201,A48)</f>
        <v>49064</v>
      </c>
    </row>
    <row r="49" customFormat="false" ht="15" hidden="false" customHeight="false" outlineLevel="0" collapsed="false">
      <c r="A49" s="21" t="s">
        <v>223</v>
      </c>
      <c r="B49" s="74" t="n">
        <f aca="false">SUMIFS('Sales Data'!$R$2:$R$1201,'Sales Data'!$J$2:$J$1201,A49)</f>
        <v>42913</v>
      </c>
    </row>
    <row r="50" customFormat="false" ht="15" hidden="false" customHeight="false" outlineLevel="0" collapsed="false">
      <c r="A50" s="21" t="s">
        <v>193</v>
      </c>
      <c r="B50" s="74" t="n">
        <f aca="false">SUMIFS('Sales Data'!$R$2:$R$1201,'Sales Data'!$J$2:$J$1201,A50)</f>
        <v>42030</v>
      </c>
    </row>
    <row r="51" customFormat="false" ht="15" hidden="false" customHeight="false" outlineLevel="0" collapsed="false">
      <c r="A51" s="21" t="s">
        <v>251</v>
      </c>
      <c r="B51" s="74" t="n">
        <f aca="false">SUMIFS('Sales Data'!$R$2:$R$1201,'Sales Data'!$J$2:$J$1201,A51)</f>
        <v>31164</v>
      </c>
    </row>
    <row r="52" customFormat="false" ht="15" hidden="false" customHeight="false" outlineLevel="0" collapsed="false">
      <c r="A52" s="21" t="s">
        <v>314</v>
      </c>
      <c r="B52" s="74" t="n">
        <f aca="false">SUMIFS('Sales Data'!$R$2:$R$1201,'Sales Data'!$J$2:$J$1201,A52)</f>
        <v>30798</v>
      </c>
    </row>
    <row r="53" customFormat="false" ht="15" hidden="false" customHeight="false" outlineLevel="0" collapsed="false">
      <c r="A53" s="21" t="s">
        <v>398</v>
      </c>
      <c r="B53" s="74" t="n">
        <f aca="false">SUMIFS('Sales Data'!$R$2:$R$1201,'Sales Data'!$J$2:$J$1201,A53)</f>
        <v>27448</v>
      </c>
    </row>
    <row r="54" customFormat="false" ht="15" hidden="false" customHeight="false" outlineLevel="0" collapsed="false">
      <c r="A54" s="21" t="s">
        <v>325</v>
      </c>
      <c r="B54" s="74" t="n">
        <f aca="false">SUMIFS('Sales Data'!$R$2:$R$1201,'Sales Data'!$J$2:$J$1201,A54)</f>
        <v>26160</v>
      </c>
    </row>
    <row r="55" customFormat="false" ht="15" hidden="false" customHeight="false" outlineLevel="0" collapsed="false">
      <c r="A55" s="21" t="s">
        <v>502</v>
      </c>
      <c r="B55" s="74" t="n">
        <f aca="false">SUMIFS('Sales Data'!$R$2:$R$1201,'Sales Data'!$J$2:$J$1201,A55)</f>
        <v>24690</v>
      </c>
    </row>
    <row r="56" customFormat="false" ht="15" hidden="false" customHeight="false" outlineLevel="0" collapsed="false">
      <c r="A56" s="21" t="s">
        <v>200</v>
      </c>
      <c r="B56" s="74" t="n">
        <f aca="false">SUMIFS('Sales Data'!$R$2:$R$1201,'Sales Data'!$J$2:$J$1201,A56)</f>
        <v>23906</v>
      </c>
    </row>
    <row r="57" customFormat="false" ht="15" hidden="false" customHeight="false" outlineLevel="0" collapsed="false">
      <c r="A57" s="21" t="s">
        <v>283</v>
      </c>
      <c r="B57" s="74" t="n">
        <f aca="false">SUMIFS('Sales Data'!$R$2:$R$1201,'Sales Data'!$J$2:$J$1201,A57)</f>
        <v>15135</v>
      </c>
    </row>
    <row r="58" customFormat="false" ht="15" hidden="false" customHeight="false" outlineLevel="0" collapsed="false">
      <c r="A58" s="21" t="s">
        <v>427</v>
      </c>
      <c r="B58" s="74" t="n">
        <f aca="false">SUMIFS('Sales Data'!$R$2:$R$1201,'Sales Data'!$J$2:$J$1201,A58)</f>
        <v>9604</v>
      </c>
    </row>
    <row r="59" customFormat="false" ht="15" hidden="false" customHeight="false" outlineLevel="0" collapsed="false">
      <c r="A59" s="21" t="s">
        <v>213</v>
      </c>
      <c r="B59" s="74" t="n">
        <f aca="false">SUMIFS('Sales Data'!$R$2:$R$1201,'Sales Data'!$J$2:$J$1201,A59)</f>
        <v>-9935</v>
      </c>
    </row>
    <row r="60" customFormat="false" ht="15" hidden="false" customHeight="false" outlineLevel="0" collapsed="false">
      <c r="A60" s="67" t="s">
        <v>2019</v>
      </c>
      <c r="B60" s="75" t="n">
        <f aca="false">SUM(B40:B59)</f>
        <v>1212441</v>
      </c>
    </row>
    <row r="62" customFormat="false" ht="15" hidden="false" customHeight="false" outlineLevel="0" collapsed="false">
      <c r="A62" s="20" t="s">
        <v>2031</v>
      </c>
    </row>
    <row r="63" customFormat="false" ht="23.85" hidden="false" customHeight="false" outlineLevel="0" collapsed="false">
      <c r="A63" s="17" t="s">
        <v>144</v>
      </c>
      <c r="B63" s="17" t="s">
        <v>151</v>
      </c>
      <c r="C63" s="17" t="s">
        <v>153</v>
      </c>
      <c r="D63" s="17" t="s">
        <v>2032</v>
      </c>
      <c r="E63" s="17" t="s">
        <v>1930</v>
      </c>
    </row>
    <row r="64" customFormat="false" ht="15" hidden="false" customHeight="false" outlineLevel="0" collapsed="false">
      <c r="A64" s="21" t="s">
        <v>162</v>
      </c>
      <c r="B64" s="66" t="n">
        <f aca="false">SUMIFS('Sales Data'!$P$2:$P$1201,'Sales Data'!$I$2:$I$1201,A64)</f>
        <v>726031</v>
      </c>
      <c r="C64" s="66" t="n">
        <f aca="false">SUMIFS('Sales Data'!$R$2:$R$1201,'Sales Data'!$I$2:$I$1201,A64)</f>
        <v>200041</v>
      </c>
      <c r="D64" s="70" t="n">
        <f aca="false">C64/$C$70</f>
        <v>0.164990296435043</v>
      </c>
      <c r="E64" s="70" t="n">
        <f aca="false">IF(B64=0,0,C64/B64)</f>
        <v>0.275526802574546</v>
      </c>
    </row>
    <row r="65" customFormat="false" ht="15" hidden="false" customHeight="false" outlineLevel="0" collapsed="false">
      <c r="A65" s="21" t="s">
        <v>199</v>
      </c>
      <c r="B65" s="66" t="n">
        <f aca="false">SUMIFS('Sales Data'!$P$2:$P$1201,'Sales Data'!$I$2:$I$1201,A65)</f>
        <v>313904</v>
      </c>
      <c r="C65" s="66" t="n">
        <f aca="false">SUMIFS('Sales Data'!$R$2:$R$1201,'Sales Data'!$I$2:$I$1201,A65)</f>
        <v>154704</v>
      </c>
      <c r="D65" s="70" t="n">
        <f aca="false">C65/$C$70</f>
        <v>0.127597136685414</v>
      </c>
      <c r="E65" s="70" t="n">
        <f aca="false">IF(B65=0,0,C65/B65)</f>
        <v>0.49283857485091</v>
      </c>
    </row>
    <row r="66" customFormat="false" ht="15" hidden="false" customHeight="false" outlineLevel="0" collapsed="false">
      <c r="A66" s="21" t="s">
        <v>208</v>
      </c>
      <c r="B66" s="66" t="n">
        <f aca="false">SUMIFS('Sales Data'!$P$2:$P$1201,'Sales Data'!$I$2:$I$1201,A66)</f>
        <v>1668215</v>
      </c>
      <c r="C66" s="66" t="n">
        <f aca="false">SUMIFS('Sales Data'!$R$2:$R$1201,'Sales Data'!$I$2:$I$1201,A66)</f>
        <v>447735</v>
      </c>
      <c r="D66" s="70" t="n">
        <f aca="false">C66/$C$70</f>
        <v>0.369283948662244</v>
      </c>
      <c r="E66" s="70" t="n">
        <f aca="false">IF(B66=0,0,C66/B66)</f>
        <v>0.26839166414401</v>
      </c>
    </row>
    <row r="67" customFormat="false" ht="15" hidden="false" customHeight="false" outlineLevel="0" collapsed="false">
      <c r="A67" s="21" t="s">
        <v>192</v>
      </c>
      <c r="B67" s="66" t="n">
        <f aca="false">SUMIFS('Sales Data'!$P$2:$P$1201,'Sales Data'!$I$2:$I$1201,A67)</f>
        <v>1672085</v>
      </c>
      <c r="C67" s="66" t="n">
        <f aca="false">SUMIFS('Sales Data'!$R$2:$R$1201,'Sales Data'!$I$2:$I$1201,A67)</f>
        <v>56785</v>
      </c>
      <c r="D67" s="70" t="n">
        <f aca="false">C67/$C$70</f>
        <v>0.0468352686852391</v>
      </c>
      <c r="E67" s="70" t="n">
        <f aca="false">IF(B67=0,0,C67/B67)</f>
        <v>0.0339605941085531</v>
      </c>
    </row>
    <row r="68" customFormat="false" ht="15" hidden="false" customHeight="false" outlineLevel="0" collapsed="false">
      <c r="A68" s="21" t="s">
        <v>171</v>
      </c>
      <c r="B68" s="66" t="n">
        <f aca="false">SUMIFS('Sales Data'!$P$2:$P$1201,'Sales Data'!$I$2:$I$1201,A68)</f>
        <v>819850</v>
      </c>
      <c r="C68" s="66" t="n">
        <f aca="false">SUMIFS('Sales Data'!$R$2:$R$1201,'Sales Data'!$I$2:$I$1201,A68)</f>
        <v>256160</v>
      </c>
      <c r="D68" s="70" t="n">
        <f aca="false">C68/$C$70</f>
        <v>0.211276260040695</v>
      </c>
      <c r="E68" s="70" t="n">
        <f aca="false">IF(B68=0,0,C68/B68)</f>
        <v>0.312447398914436</v>
      </c>
    </row>
    <row r="69" customFormat="false" ht="15" hidden="false" customHeight="false" outlineLevel="0" collapsed="false">
      <c r="A69" s="21" t="s">
        <v>282</v>
      </c>
      <c r="B69" s="66" t="n">
        <f aca="false">SUMIFS('Sales Data'!$P$2:$P$1201,'Sales Data'!$I$2:$I$1201,A69)</f>
        <v>226586</v>
      </c>
      <c r="C69" s="66" t="n">
        <f aca="false">SUMIFS('Sales Data'!$R$2:$R$1201,'Sales Data'!$I$2:$I$1201,A69)</f>
        <v>97016</v>
      </c>
      <c r="D69" s="70" t="n">
        <f aca="false">C69/$C$70</f>
        <v>0.0800170894913649</v>
      </c>
      <c r="E69" s="70" t="n">
        <f aca="false">IF(B69=0,0,C69/B69)</f>
        <v>0.428164140767744</v>
      </c>
    </row>
    <row r="70" customFormat="false" ht="15" hidden="false" customHeight="false" outlineLevel="0" collapsed="false">
      <c r="A70" s="67" t="s">
        <v>2019</v>
      </c>
      <c r="B70" s="68" t="n">
        <f aca="false">SUM(B64:B69)</f>
        <v>5426671</v>
      </c>
      <c r="C70" s="68" t="n">
        <f aca="false">SUM(C64:C69)</f>
        <v>1212441</v>
      </c>
      <c r="D70" s="71" t="n">
        <f aca="false">SUM(D64:D69)</f>
        <v>1</v>
      </c>
      <c r="E70" s="71" t="n">
        <f aca="false">C70/B70</f>
        <v>0.22342261028907</v>
      </c>
    </row>
    <row r="72" customFormat="false" ht="15" hidden="false" customHeight="false" outlineLevel="0" collapsed="false">
      <c r="A72" s="20" t="s">
        <v>2033</v>
      </c>
    </row>
    <row r="73" customFormat="false" ht="15" hidden="false" customHeight="false" outlineLevel="0" collapsed="false">
      <c r="A73" s="17" t="s">
        <v>155</v>
      </c>
      <c r="B73" s="17" t="s">
        <v>1951</v>
      </c>
      <c r="C73" s="17" t="s">
        <v>151</v>
      </c>
      <c r="D73" s="17" t="s">
        <v>153</v>
      </c>
      <c r="E73" s="17" t="s">
        <v>1930</v>
      </c>
    </row>
    <row r="74" customFormat="false" ht="15" hidden="false" customHeight="false" outlineLevel="0" collapsed="false">
      <c r="A74" s="21" t="s">
        <v>2034</v>
      </c>
      <c r="B74" s="69" t="n">
        <f aca="false">COUNTIF('Sales Data'!$T$2:$T$1201,A74)</f>
        <v>367</v>
      </c>
      <c r="C74" s="66" t="n">
        <f aca="false">SUMIFS('Sales Data'!$P$2:$P$1201,'Sales Data'!$T$2:$T$1201,A74)</f>
        <v>1494101</v>
      </c>
      <c r="D74" s="74" t="n">
        <f aca="false">SUMIFS('Sales Data'!$R$2:$R$1201,'Sales Data'!$T$2:$T$1201,A74)</f>
        <v>541151</v>
      </c>
      <c r="E74" s="76" t="n">
        <f aca="false">IF(C74=0,0,D74/C74)</f>
        <v>0.362191712608452</v>
      </c>
    </row>
    <row r="75" customFormat="false" ht="15" hidden="false" customHeight="false" outlineLevel="0" collapsed="false">
      <c r="A75" s="21" t="s">
        <v>2035</v>
      </c>
      <c r="B75" s="69" t="n">
        <f aca="false">COUNTIF('Sales Data'!$T$2:$T$1201,A75)</f>
        <v>643</v>
      </c>
      <c r="C75" s="66" t="n">
        <f aca="false">SUMIFS('Sales Data'!$P$2:$P$1201,'Sales Data'!$T$2:$T$1201,A75)</f>
        <v>3062479</v>
      </c>
      <c r="D75" s="74" t="n">
        <f aca="false">SUMIFS('Sales Data'!$R$2:$R$1201,'Sales Data'!$T$2:$T$1201,A75)</f>
        <v>718399</v>
      </c>
      <c r="E75" s="76" t="n">
        <f aca="false">IF(C75=0,0,D75/C75)</f>
        <v>0.234580873860686</v>
      </c>
    </row>
    <row r="76" customFormat="false" ht="15" hidden="false" customHeight="false" outlineLevel="0" collapsed="false">
      <c r="A76" s="21" t="s">
        <v>2036</v>
      </c>
      <c r="B76" s="69" t="n">
        <f aca="false">COUNTIF('Sales Data'!$T$2:$T$1201,A76)</f>
        <v>190</v>
      </c>
      <c r="C76" s="66" t="n">
        <f aca="false">SUMIFS('Sales Data'!$P$2:$P$1201,'Sales Data'!$T$2:$T$1201,A76)</f>
        <v>870091</v>
      </c>
      <c r="D76" s="74" t="n">
        <f aca="false">SUMIFS('Sales Data'!$R$2:$R$1201,'Sales Data'!$T$2:$T$1201,A76)</f>
        <v>-47109</v>
      </c>
      <c r="E76" s="76" t="n">
        <f aca="false">IF(C76=0,0,D76/C76)</f>
        <v>-0.0541426126692495</v>
      </c>
    </row>
    <row r="77" customFormat="false" ht="15" hidden="false" customHeight="false" outlineLevel="0" collapsed="false">
      <c r="A77" s="67" t="s">
        <v>2019</v>
      </c>
      <c r="B77" s="73" t="n">
        <f aca="false">SUM(B74:B76)</f>
        <v>1200</v>
      </c>
      <c r="C77" s="68" t="n">
        <f aca="false">SUM(C74:C76)</f>
        <v>5426671</v>
      </c>
      <c r="D77" s="75" t="n">
        <f aca="false">SUM(D74:D76)</f>
        <v>1212441</v>
      </c>
      <c r="E77" s="77" t="n">
        <f aca="false">D77/C77</f>
        <v>0.22342261028907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4"/>
    <col collapsed="false" customWidth="true" hidden="false" outlineLevel="0" max="3" min="3" style="1" width="40"/>
    <col collapsed="false" customWidth="true" hidden="false" outlineLevel="0" max="4" min="4" style="1" width="52"/>
    <col collapsed="false" customWidth="true" hidden="false" outlineLevel="0" max="5" min="5" style="1" width="20"/>
  </cols>
  <sheetData>
    <row r="1" customFormat="false" ht="19.5" hidden="false" customHeight="true" outlineLevel="0" collapsed="false">
      <c r="A1" s="2" t="s">
        <v>2037</v>
      </c>
    </row>
    <row r="2" customFormat="false" ht="15" hidden="false" customHeight="true" outlineLevel="0" collapsed="false">
      <c r="A2" s="3" t="s">
        <v>2038</v>
      </c>
    </row>
    <row r="4" customFormat="false" ht="23.25" hidden="false" customHeight="true" outlineLevel="0" collapsed="false">
      <c r="A4" s="4" t="s">
        <v>72</v>
      </c>
      <c r="B4" s="4" t="s">
        <v>2039</v>
      </c>
      <c r="C4" s="4" t="s">
        <v>2040</v>
      </c>
      <c r="D4" s="4" t="s">
        <v>2041</v>
      </c>
      <c r="E4" s="4" t="s">
        <v>2042</v>
      </c>
    </row>
    <row r="5" customFormat="false" ht="43.5" hidden="false" customHeight="true" outlineLevel="0" collapsed="false">
      <c r="A5" s="10" t="s">
        <v>2043</v>
      </c>
      <c r="B5" s="78" t="s">
        <v>2044</v>
      </c>
      <c r="C5" s="78" t="str">
        <f aca="false">"Orders with a discount above 20% lost ₹"&amp;TEXT(-SUMIFS('Sales Data'!$R$2:$R$1201,'Sales Data'!$O$2:$O$1201,"&gt;0.2"),"#,##0")&amp;" in total."</f>
        <v>Orders with a discount above 20% lost ₹47,109 in total.</v>
      </c>
      <c r="D5" s="78" t="s">
        <v>2045</v>
      </c>
      <c r="E5" s="79" t="n">
        <f aca="false">-SUMIFS('Sales Data'!$R$2:$R$1201,'Sales Data'!$O$2:$O$1201,"&gt;0.2")</f>
        <v>47109</v>
      </c>
    </row>
    <row r="6" customFormat="false" ht="91.5" hidden="false" customHeight="true" outlineLevel="0" collapsed="false">
      <c r="A6" s="11" t="n">
        <v>1</v>
      </c>
      <c r="B6" s="80" t="s">
        <v>2046</v>
      </c>
      <c r="C6" s="80" t="str">
        <f aca="false">"Orders above 20% discount: "&amp;Pivots!$B$76&amp;" ("&amp;TEXT(Pivots!$B$76/Pivots!$B$77,"0%")&amp;" of all orders) with a profit of -₹"&amp;TEXT(-Pivots!$D$76,"#,##0")&amp;" (margin "&amp;TEXT(Pivots!$E$76,"0.0%")&amp;"). No-discount orders earned "&amp;TEXT(Pivots!$E$74,"0.0%")&amp;"."</f>
        <v>Orders above 20% discount: 190 (16% of all orders) with a profit of -₹47,109 (margin -5.4%). No-discount orders earned 36.2%.</v>
      </c>
      <c r="D6" s="80" t="s">
        <v>2047</v>
      </c>
      <c r="E6" s="81" t="n">
        <f aca="false">-SUMIFS('Sales Data'!$R$2:$R$1201,'Sales Data'!$O$2:$O$1201,"&gt;0.2")</f>
        <v>47109</v>
      </c>
    </row>
    <row r="7" customFormat="false" ht="91.5" hidden="false" customHeight="true" outlineLevel="0" collapsed="false">
      <c r="A7" s="11" t="n">
        <v>2</v>
      </c>
      <c r="B7" s="80" t="s">
        <v>2048</v>
      </c>
      <c r="C7" s="80" t="str">
        <f aca="false">"Furniture is "&amp;TEXT(Pivots!$B$67/Pivots!$B$70,"0%")&amp;" of sales but only "&amp;TEXT(Pivots!$E$67,"0.0%")&amp;" margin (₹"&amp;TEXT(Pivots!$C$67,"#,##0")&amp;"). Bookshelf: ₹"&amp;TEXT(Products!$I$39,"#,##0")&amp;" sales, a loss of ₹"&amp;TEXT(-Products!$J$39,"#,##0")&amp;"."</f>
        <v>Furniture is 31% of sales but only 3.4% margin (₹56,785). Bookshelf: ₹432,523 sales, a loss of ₹22,877.</v>
      </c>
      <c r="D7" s="80" t="s">
        <v>2049</v>
      </c>
      <c r="E7" s="81" t="n">
        <f aca="false">-SUMIFS('Sales Data'!$R$2:$R$1201,'Sales Data'!$I$2:$I$1201,"Furniture",'Sales Data'!$R$2:$R$1201,"&lt;0")</f>
        <v>77802</v>
      </c>
    </row>
    <row r="8" customFormat="false" ht="91.5" hidden="false" customHeight="true" outlineLevel="0" collapsed="false">
      <c r="A8" s="11" t="n">
        <v>3</v>
      </c>
      <c r="B8" s="80" t="s">
        <v>2050</v>
      </c>
      <c r="C8" s="80" t="str">
        <f aca="false">COUNTIF(Products!$N$5:$N$44,"A")&amp;" of "&amp;COUNTIF(Products!$H$5:$H$44,"&gt;0")&amp;" products sold are Class A and make "&amp;TEXT(SUMIF(Products!$N$5:$N$44,"A",Products!$I$5:$I$44)/SUM(Products!$I$5:$I$44),"0.0%")&amp;" of sales. Noise-Cancelling Headphones alone: "&amp;TEXT(Products!$L$22,"0.0%")&amp;" of sales, ₹"&amp;TEXT(Products!$J$22,"#,##0")&amp;" profit. "&amp;COUNTIF(Products!$H$5:$H$44,"&lt;10")&amp;" products sold under 10 units."</f>
        <v>13 of 38 products sold are Class A and make 79.2% of sales. Noise-Cancelling Headphones alone: 20.2% of sales, ₹275,057 profit. 4 products sold under 10 units.</v>
      </c>
      <c r="D8" s="80" t="s">
        <v>2051</v>
      </c>
      <c r="E8" s="81" t="n">
        <f aca="false">$C$14*SUMIF(Products!$N$5:$N$44,"A",Products!$J$5:$J$44)</f>
        <v>37023.55</v>
      </c>
    </row>
    <row r="9" customFormat="false" ht="91.5" hidden="false" customHeight="true" outlineLevel="0" collapsed="false">
      <c r="A9" s="11" t="n">
        <v>4</v>
      </c>
      <c r="B9" s="80" t="s">
        <v>2052</v>
      </c>
      <c r="C9" s="80" t="str">
        <f aca="false">"Q4 is "&amp;TEXT(Pivots!$K$27,"0.0%")&amp;" of annual sales (₹"&amp;TEXT(Pivots!$I$27,"#,##0")&amp;"). November is the peak month (₹"&amp;TEXT(Pivots!$D$34,"#,##0")&amp;") and December falls "&amp;TEXT(-(Pivots!$D$35-Pivots!$D$34)/Pivots!$D$34,"0.0%")&amp;". Q1 sales: ₹"&amp;TEXT(Pivots!$I$24,"#,##0")&amp;"."</f>
        <v>Q4 is 36.5% of annual sales (₹1,978,359). November is the peak month (₹776,952) and December falls 31.4%. Q1 sales: ₹915,428.</v>
      </c>
      <c r="D9" s="80" t="s">
        <v>2053</v>
      </c>
      <c r="E9" s="81" t="n">
        <f aca="false">$C$15*Pivots!$J$24</f>
        <v>18040.8</v>
      </c>
    </row>
    <row r="10" customFormat="false" ht="91.5" hidden="false" customHeight="true" outlineLevel="0" collapsed="false">
      <c r="A10" s="11" t="n">
        <v>5</v>
      </c>
      <c r="B10" s="80" t="s">
        <v>2054</v>
      </c>
      <c r="C10" s="80" t="str">
        <f aca="false">COUNTIF(Customers!$N$5:$N$224,"Champion")&amp;" Champions ("&amp;TEXT(COUNTIF(Customers!$N$5:$N$224,"Champion")/COUNTA(Customers!$A$5:$A$224),"0%")&amp;" of customers) generate "&amp;TEXT('4 RFM Tasks'!$C$13,"0.0%")&amp;" of sales. "&amp;COUNTIF(Customers!$N$5:$N$224,"At Risk")&amp;" At Risk customers have spent ₹"&amp;TEXT(SUMIF(Customers!$N$5:$N$224,"At Risk",Customers!$I$5:$I$224),"#,##0")&amp;"."</f>
        <v>67 Champions (30% of customers) generate 62.6% of sales. 56 At Risk customers have spent ₹457,582.</v>
      </c>
      <c r="D10" s="80" t="s">
        <v>2055</v>
      </c>
      <c r="E10" s="81" t="n">
        <f aca="false">$C$16*SUMIF(Customers!$N$5:$N$224,"At Risk",Customers!$I$5:$I$224)*SUM('Sales Data'!$R$2:$R$1201)/SUM('Sales Data'!$P$2:$P$1201)</f>
        <v>20446.8329722587</v>
      </c>
    </row>
    <row r="13" customFormat="false" ht="15" hidden="false" customHeight="false" outlineLevel="0" collapsed="false">
      <c r="B13" s="82" t="s">
        <v>2056</v>
      </c>
    </row>
    <row r="14" customFormat="false" ht="15" hidden="false" customHeight="false" outlineLevel="0" collapsed="false">
      <c r="B14" s="83" t="s">
        <v>2057</v>
      </c>
      <c r="C14" s="84" t="n">
        <v>0.05</v>
      </c>
    </row>
    <row r="15" customFormat="false" ht="15" hidden="false" customHeight="false" outlineLevel="0" collapsed="false">
      <c r="B15" s="83" t="s">
        <v>2058</v>
      </c>
      <c r="C15" s="84" t="n">
        <v>0.1</v>
      </c>
    </row>
    <row r="16" customFormat="false" ht="15" hidden="false" customHeight="false" outlineLevel="0" collapsed="false">
      <c r="B16" s="83" t="s">
        <v>2059</v>
      </c>
      <c r="C16" s="84" t="n">
        <v>0.2</v>
      </c>
    </row>
    <row r="17" customFormat="false" ht="15" hidden="false" customHeight="false" outlineLevel="0" collapsed="false">
      <c r="B17" s="16" t="s">
        <v>2060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E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66"/>
    <col collapsed="false" customWidth="true" hidden="false" outlineLevel="0" max="4" min="3" style="1" width="24"/>
    <col collapsed="false" customWidth="true" hidden="false" outlineLevel="0" max="5" min="5" style="1" width="12"/>
  </cols>
  <sheetData>
    <row r="1" customFormat="false" ht="19.5" hidden="false" customHeight="true" outlineLevel="0" collapsed="false">
      <c r="A1" s="2" t="s">
        <v>30</v>
      </c>
    </row>
    <row r="2" customFormat="false" ht="15" hidden="false" customHeight="true" outlineLevel="0" collapsed="false">
      <c r="A2" s="3" t="s">
        <v>2061</v>
      </c>
    </row>
    <row r="3" customFormat="false" ht="15" hidden="false" customHeight="true" outlineLevel="0" collapsed="false">
      <c r="A3" s="6" t="s">
        <v>2062</v>
      </c>
      <c r="B3" s="85" t="str">
        <f aca="false">SUM(E5:E64)&amp;" out of 44"</f>
        <v>44 out of 44</v>
      </c>
    </row>
    <row r="5" customFormat="false" ht="15" hidden="false" customHeight="true" outlineLevel="0" collapsed="false">
      <c r="A5" s="8" t="s">
        <v>2063</v>
      </c>
    </row>
    <row r="6" customFormat="false" ht="23.25" hidden="false" customHeight="true" outlineLevel="0" collapsed="false">
      <c r="A6" s="4" t="s">
        <v>2064</v>
      </c>
      <c r="B6" s="4" t="s">
        <v>2065</v>
      </c>
      <c r="C6" s="4" t="s">
        <v>2066</v>
      </c>
      <c r="D6" s="4" t="s">
        <v>74</v>
      </c>
      <c r="E6" s="4" t="s">
        <v>2067</v>
      </c>
    </row>
    <row r="7" customFormat="false" ht="24" hidden="false" customHeight="true" outlineLevel="0" collapsed="false">
      <c r="A7" s="11" t="s">
        <v>2068</v>
      </c>
      <c r="B7" s="86" t="s">
        <v>2069</v>
      </c>
      <c r="C7" s="87" t="n">
        <f aca="false">COUNTA('Sales Data'!$A$2:$A$1201)+Helpers!$B$6</f>
        <v>1210</v>
      </c>
      <c r="D7" s="87" t="n">
        <f aca="false">IF('1 Clean Check'!C5="","",'1 Clean Check'!C5)</f>
        <v>1210</v>
      </c>
      <c r="E7" s="11" t="n">
        <f aca="false">IF(D7="","",IF(ISNUMBER(C7),IF(ISNUMBER(D7),IF(ABS(D7-C7)&lt;=IF(ABS(C7)&lt;=1,0.005,0.5),1,0),0),IF(UPPER(TRIM(D7))=UPPER(TRIM(C7)),1,0)))</f>
        <v>1</v>
      </c>
    </row>
    <row r="8" customFormat="false" ht="24" hidden="false" customHeight="true" outlineLevel="0" collapsed="false">
      <c r="A8" s="11" t="s">
        <v>2070</v>
      </c>
      <c r="B8" s="86" t="s">
        <v>2071</v>
      </c>
      <c r="C8" s="87" t="n">
        <f aca="false">Helpers!$B$6</f>
        <v>10</v>
      </c>
      <c r="D8" s="87" t="n">
        <f aca="false">IF('1 Clean Check'!C6="","",'1 Clean Check'!C6)</f>
        <v>10</v>
      </c>
      <c r="E8" s="11" t="n">
        <f aca="false">IF(D8="","",IF(ISNUMBER(C8),IF(ISNUMBER(D8),IF(ABS(D8-C8)&lt;=IF(ABS(C8)&lt;=1,0.005,0.5),1,0),0),IF(UPPER(TRIM(D8))=UPPER(TRIM(C8)),1,0)))</f>
        <v>1</v>
      </c>
    </row>
    <row r="9" customFormat="false" ht="24" hidden="false" customHeight="true" outlineLevel="0" collapsed="false">
      <c r="A9" s="11" t="s">
        <v>2072</v>
      </c>
      <c r="B9" s="86" t="s">
        <v>2073</v>
      </c>
      <c r="C9" s="87" t="n">
        <f aca="false">COUNTA('Sales Data'!$A$2:$A$1201)</f>
        <v>1200</v>
      </c>
      <c r="D9" s="87" t="n">
        <f aca="false">IF('1 Clean Check'!C7="","",'1 Clean Check'!C7)</f>
        <v>1200</v>
      </c>
      <c r="E9" s="11" t="n">
        <f aca="false">IF(D9="","",IF(ISNUMBER(C9),IF(ISNUMBER(D9),IF(ABS(D9-C9)&lt;=IF(ABS(C9)&lt;=1,0.005,0.5),1,0),0),IF(UPPER(TRIM(D9))=UPPER(TRIM(C9)),1,0)))</f>
        <v>1</v>
      </c>
    </row>
    <row r="10" customFormat="false" ht="24" hidden="false" customHeight="true" outlineLevel="0" collapsed="false">
      <c r="A10" s="11" t="s">
        <v>2074</v>
      </c>
      <c r="B10" s="86" t="s">
        <v>2075</v>
      </c>
      <c r="C10" s="31" t="n">
        <f aca="false">SUM('Sales Data'!$P$2:$P$1201)</f>
        <v>5426671</v>
      </c>
      <c r="D10" s="31" t="n">
        <f aca="false">IF('1 Clean Check'!C8="","",'1 Clean Check'!C8)</f>
        <v>5426671</v>
      </c>
      <c r="E10" s="11" t="n">
        <f aca="false">IF(D10="","",IF(ISNUMBER(C10),IF(ISNUMBER(D10),IF(ABS(D10-C10)&lt;=IF(ABS(C10)&lt;=1,0.005,0.5),1,0),0),IF(UPPER(TRIM(D10))=UPPER(TRIM(C10)),1,0)))</f>
        <v>1</v>
      </c>
    </row>
    <row r="11" customFormat="false" ht="24" hidden="false" customHeight="true" outlineLevel="0" collapsed="false">
      <c r="A11" s="11" t="s">
        <v>2076</v>
      </c>
      <c r="B11" s="86" t="s">
        <v>2077</v>
      </c>
      <c r="C11" s="87" t="n">
        <f aca="false">COUNTA(Customers!$B$5:$B$224)</f>
        <v>220</v>
      </c>
      <c r="D11" s="87" t="n">
        <f aca="false">IF('1 Clean Check'!C9="","",'1 Clean Check'!C9)</f>
        <v>220</v>
      </c>
      <c r="E11" s="11" t="n">
        <f aca="false">IF(D11="","",IF(ISNUMBER(C11),IF(ISNUMBER(D11),IF(ABS(D11-C11)&lt;=IF(ABS(C11)&lt;=1,0.005,0.5),1,0),0),IF(UPPER(TRIM(D11))=UPPER(TRIM(C11)),1,0)))</f>
        <v>1</v>
      </c>
    </row>
    <row r="12" customFormat="false" ht="24" hidden="false" customHeight="true" outlineLevel="0" collapsed="false">
      <c r="A12" s="11" t="s">
        <v>2078</v>
      </c>
      <c r="B12" s="86" t="s">
        <v>2079</v>
      </c>
      <c r="C12" s="88" t="n">
        <f aca="false">ROUND(SUMPRODUCT(1/COUNTIF('Sales Data'!$G$2:$G$1201,'Sales Data'!$G$2:$G$1201)),0)</f>
        <v>4</v>
      </c>
      <c r="D12" s="88" t="n">
        <f aca="false">IF('1 Clean Check'!C10="","",'1 Clean Check'!C10)</f>
        <v>4</v>
      </c>
      <c r="E12" s="11" t="n">
        <f aca="false">IF(D12="","",IF(ISNUMBER(C12),IF(ISNUMBER(D12),IF(ABS(D12-C12)&lt;=IF(ABS(C12)&lt;=1,0.005,0.5),1,0),0),IF(UPPER(TRIM(D12))=UPPER(TRIM(C12)),1,0)))</f>
        <v>1</v>
      </c>
    </row>
    <row r="13" customFormat="false" ht="24" hidden="false" customHeight="true" outlineLevel="0" collapsed="false">
      <c r="A13" s="11" t="s">
        <v>2080</v>
      </c>
      <c r="B13" s="86" t="s">
        <v>2081</v>
      </c>
      <c r="C13" s="87" t="n">
        <f aca="false">COUNTIF('Sales Data'!$S$2:$S$1201,"Y")</f>
        <v>48</v>
      </c>
      <c r="D13" s="87" t="n">
        <f aca="false">IF('1 Clean Check'!C11="","",'1 Clean Check'!C11)</f>
        <v>48</v>
      </c>
      <c r="E13" s="11" t="n">
        <f aca="false">IF(D13="","",IF(ISNUMBER(C13),IF(ISNUMBER(D13),IF(ABS(D13-C13)&lt;=IF(ABS(C13)&lt;=1,0.005,0.5),1,0),0),IF(UPPER(TRIM(D13))=UPPER(TRIM(C13)),1,0)))</f>
        <v>1</v>
      </c>
    </row>
    <row r="15" customFormat="false" ht="15" hidden="false" customHeight="true" outlineLevel="0" collapsed="false">
      <c r="A15" s="8" t="s">
        <v>2082</v>
      </c>
    </row>
    <row r="16" customFormat="false" ht="23.25" hidden="false" customHeight="true" outlineLevel="0" collapsed="false">
      <c r="A16" s="4" t="s">
        <v>2064</v>
      </c>
      <c r="B16" s="4" t="s">
        <v>2083</v>
      </c>
      <c r="C16" s="4" t="s">
        <v>2066</v>
      </c>
      <c r="D16" s="4" t="s">
        <v>74</v>
      </c>
      <c r="E16" s="4" t="s">
        <v>2067</v>
      </c>
    </row>
    <row r="17" customFormat="false" ht="24" hidden="false" customHeight="true" outlineLevel="0" collapsed="false">
      <c r="A17" s="11" t="s">
        <v>2084</v>
      </c>
      <c r="B17" s="86" t="s">
        <v>2085</v>
      </c>
      <c r="C17" s="31" t="n">
        <f aca="false">SUM('Sales Data'!$P$2:$P$1201)</f>
        <v>5426671</v>
      </c>
      <c r="D17" s="31" t="n">
        <f aca="false">IF('2 KPI Tasks'!C5="","",'2 KPI Tasks'!C5)</f>
        <v>5426671</v>
      </c>
      <c r="E17" s="11" t="n">
        <f aca="false">IF(D17="","",IF(ISNUMBER(C17),IF(ISNUMBER(D17),IF(ABS(D17-C17)&lt;=IF(ABS(C17)&lt;=1,0.005,0.5),1,0),0),IF(UPPER(TRIM(D17))=UPPER(TRIM(C17)),1,0)))</f>
        <v>1</v>
      </c>
    </row>
    <row r="18" customFormat="false" ht="24" hidden="false" customHeight="true" outlineLevel="0" collapsed="false">
      <c r="A18" s="11" t="s">
        <v>2086</v>
      </c>
      <c r="B18" s="86" t="s">
        <v>2087</v>
      </c>
      <c r="C18" s="31" t="n">
        <f aca="false">SUM('Sales Data'!$R$2:$R$1201)</f>
        <v>1212441</v>
      </c>
      <c r="D18" s="31" t="n">
        <f aca="false">IF('2 KPI Tasks'!C6="","",'2 KPI Tasks'!C6)</f>
        <v>1212441</v>
      </c>
      <c r="E18" s="11" t="n">
        <f aca="false">IF(D18="","",IF(ISNUMBER(C18),IF(ISNUMBER(D18),IF(ABS(D18-C18)&lt;=IF(ABS(C18)&lt;=1,0.005,0.5),1,0),0),IF(UPPER(TRIM(D18))=UPPER(TRIM(C18)),1,0)))</f>
        <v>1</v>
      </c>
    </row>
    <row r="19" customFormat="false" ht="24" hidden="false" customHeight="true" outlineLevel="0" collapsed="false">
      <c r="A19" s="11" t="s">
        <v>2088</v>
      </c>
      <c r="B19" s="86" t="s">
        <v>68</v>
      </c>
      <c r="C19" s="89" t="n">
        <f aca="false">SUM('Sales Data'!$R$2:$R$1201)/SUM('Sales Data'!$P$2:$P$1201)</f>
        <v>0.22342261028907</v>
      </c>
      <c r="D19" s="89" t="n">
        <f aca="false">IF('2 KPI Tasks'!C7="","",'2 KPI Tasks'!C7)</f>
        <v>0.22342261028907</v>
      </c>
      <c r="E19" s="11" t="n">
        <f aca="false">IF(D19="","",IF(ISNUMBER(C19),IF(ISNUMBER(D19),IF(ABS(D19-C19)&lt;=IF(ABS(C19)&lt;=1,0.005,0.5),1,0),0),IF(UPPER(TRIM(D19))=UPPER(TRIM(C19)),1,0)))</f>
        <v>1</v>
      </c>
    </row>
    <row r="20" customFormat="false" ht="24" hidden="false" customHeight="true" outlineLevel="0" collapsed="false">
      <c r="A20" s="11" t="s">
        <v>2089</v>
      </c>
      <c r="B20" s="86" t="s">
        <v>2090</v>
      </c>
      <c r="C20" s="87" t="n">
        <f aca="false">COUNTA('Sales Data'!$A$2:$A$1201)</f>
        <v>1200</v>
      </c>
      <c r="D20" s="87" t="n">
        <f aca="false">IF('2 KPI Tasks'!C8="","",'2 KPI Tasks'!C8)</f>
        <v>1200</v>
      </c>
      <c r="E20" s="11" t="n">
        <f aca="false">IF(D20="","",IF(ISNUMBER(C20),IF(ISNUMBER(D20),IF(ABS(D20-C20)&lt;=IF(ABS(C20)&lt;=1,0.005,0.5),1,0),0),IF(UPPER(TRIM(D20))=UPPER(TRIM(C20)),1,0)))</f>
        <v>1</v>
      </c>
    </row>
    <row r="21" customFormat="false" ht="24" hidden="false" customHeight="true" outlineLevel="0" collapsed="false">
      <c r="A21" s="11" t="s">
        <v>2091</v>
      </c>
      <c r="B21" s="86" t="s">
        <v>2092</v>
      </c>
      <c r="C21" s="31" t="n">
        <f aca="false">SUM('Sales Data'!$P$2:$P$1201)/COUNTA('Sales Data'!$A$2:$A$1201)</f>
        <v>4522.22583333333</v>
      </c>
      <c r="D21" s="31" t="n">
        <f aca="false">IF('2 KPI Tasks'!C9="","",'2 KPI Tasks'!C9)</f>
        <v>4522.22583333333</v>
      </c>
      <c r="E21" s="11" t="n">
        <f aca="false">IF(D21="","",IF(ISNUMBER(C21),IF(ISNUMBER(D21),IF(ABS(D21-C21)&lt;=IF(ABS(C21)&lt;=1,0.005,0.5),1,0),0),IF(UPPER(TRIM(D21))=UPPER(TRIM(C21)),1,0)))</f>
        <v>1</v>
      </c>
    </row>
    <row r="22" customFormat="false" ht="24" hidden="false" customHeight="true" outlineLevel="0" collapsed="false">
      <c r="A22" s="11" t="s">
        <v>2093</v>
      </c>
      <c r="B22" s="86" t="s">
        <v>2094</v>
      </c>
      <c r="C22" s="89" t="n">
        <f aca="false">COUNTIF('Sales Data'!$S$2:$S$1201,"Y")/COUNTA('Sales Data'!$A$2:$A$1201)</f>
        <v>0.04</v>
      </c>
      <c r="D22" s="89" t="n">
        <f aca="false">IF('2 KPI Tasks'!C10="","",'2 KPI Tasks'!C10)</f>
        <v>0.04</v>
      </c>
      <c r="E22" s="11" t="n">
        <f aca="false">IF(D22="","",IF(ISNUMBER(C22),IF(ISNUMBER(D22),IF(ABS(D22-C22)&lt;=IF(ABS(C22)&lt;=1,0.005,0.5),1,0),0),IF(UPPER(TRIM(D22))=UPPER(TRIM(C22)),1,0)))</f>
        <v>1</v>
      </c>
    </row>
    <row r="23" customFormat="false" ht="27.75" hidden="false" customHeight="true" outlineLevel="0" collapsed="false">
      <c r="A23" s="11" t="s">
        <v>2095</v>
      </c>
      <c r="B23" s="86" t="s">
        <v>2096</v>
      </c>
      <c r="C23" s="90" t="str">
        <f aca="false">INDEX(Helpers!$B$11:$B$22,MATCH(MAX(Helpers!$C$11:$C$22),Helpers!$C$11:$C$22,0))</f>
        <v>November</v>
      </c>
      <c r="D23" s="11" t="str">
        <f aca="false">IF('2 KPI Tasks'!C11="","",'2 KPI Tasks'!C11)</f>
        <v>November</v>
      </c>
      <c r="E23" s="11" t="n">
        <f aca="false">IF(D23="","",IF(ISNUMBER(C23),IF(ISNUMBER(D23),IF(ABS(D23-C23)&lt;=IF(ABS(C23)&lt;=1,0.005,0.5),1,0),0),IF(UPPER(TRIM(D23))=UPPER(TRIM(C23)),1,0)))</f>
        <v>1</v>
      </c>
    </row>
    <row r="24" customFormat="false" ht="24" hidden="false" customHeight="true" outlineLevel="0" collapsed="false">
      <c r="A24" s="11" t="s">
        <v>2097</v>
      </c>
      <c r="B24" s="86" t="s">
        <v>2098</v>
      </c>
      <c r="C24" s="89" t="n">
        <f aca="false">(Helpers!$C$22-Helpers!$C$21)/Helpers!$C$21</f>
        <v>-0.313736241106272</v>
      </c>
      <c r="D24" s="89" t="n">
        <f aca="false">IF('2 KPI Tasks'!C12="","",'2 KPI Tasks'!C12)</f>
        <v>-0.313736241106272</v>
      </c>
      <c r="E24" s="11" t="n">
        <f aca="false">IF(D24="","",IF(ISNUMBER(C24),IF(ISNUMBER(D24),IF(ABS(D24-C24)&lt;=IF(ABS(C24)&lt;=1,0.005,0.5),1,0),0),IF(UPPER(TRIM(D24))=UPPER(TRIM(C24)),1,0)))</f>
        <v>1</v>
      </c>
    </row>
    <row r="25" customFormat="false" ht="24" hidden="false" customHeight="true" outlineLevel="0" collapsed="false">
      <c r="A25" s="11" t="s">
        <v>2099</v>
      </c>
      <c r="B25" s="86" t="s">
        <v>2100</v>
      </c>
      <c r="C25" s="31" t="n">
        <f aca="false">SUMIFS('Sales Data'!$P$2:$P$1201,'Sales Data'!$G$2:$G$1201,"West",'Sales Data'!$O$2:$O$1201,"&gt;=0.2")</f>
        <v>698690</v>
      </c>
      <c r="D25" s="31" t="n">
        <f aca="false">IF('2 KPI Tasks'!C13="","",'2 KPI Tasks'!C13)</f>
        <v>698690</v>
      </c>
      <c r="E25" s="11" t="n">
        <f aca="false">IF(D25="","",IF(ISNUMBER(C25),IF(ISNUMBER(D25),IF(ABS(D25-C25)&lt;=IF(ABS(C25)&lt;=1,0.005,0.5),1,0),0),IF(UPPER(TRIM(D25))=UPPER(TRIM(C25)),1,0)))</f>
        <v>1</v>
      </c>
    </row>
    <row r="26" customFormat="false" ht="24" hidden="false" customHeight="true" outlineLevel="0" collapsed="false">
      <c r="A26" s="11" t="s">
        <v>2101</v>
      </c>
      <c r="B26" s="86" t="s">
        <v>2102</v>
      </c>
      <c r="C26" s="87" t="n">
        <f aca="false">COUNTIF('Sales Data'!$R$2:$R$1201,"&lt;0")</f>
        <v>92</v>
      </c>
      <c r="D26" s="87" t="n">
        <f aca="false">IF('2 KPI Tasks'!C14="","",'2 KPI Tasks'!C14)</f>
        <v>92</v>
      </c>
      <c r="E26" s="11" t="n">
        <f aca="false">IF(D26="","",IF(ISNUMBER(C26),IF(ISNUMBER(D26),IF(ABS(D26-C26)&lt;=IF(ABS(C26)&lt;=1,0.005,0.5),1,0),0),IF(UPPER(TRIM(D26))=UPPER(TRIM(C26)),1,0)))</f>
        <v>1</v>
      </c>
    </row>
    <row r="27" customFormat="false" ht="24" hidden="false" customHeight="true" outlineLevel="0" collapsed="false">
      <c r="A27" s="11" t="s">
        <v>2103</v>
      </c>
      <c r="B27" s="86" t="s">
        <v>2104</v>
      </c>
      <c r="C27" s="31" t="n">
        <f aca="false">-SUMIF('Sales Data'!$R$2:$R$1201,"&lt;0")</f>
        <v>85926</v>
      </c>
      <c r="D27" s="31" t="n">
        <f aca="false">IF('2 KPI Tasks'!C15="","",'2 KPI Tasks'!C15)</f>
        <v>85926</v>
      </c>
      <c r="E27" s="11" t="n">
        <f aca="false">IF(D27="","",IF(ISNUMBER(C27),IF(ISNUMBER(D27),IF(ABS(D27-C27)&lt;=IF(ABS(C27)&lt;=1,0.005,0.5),1,0),0),IF(UPPER(TRIM(D27))=UPPER(TRIM(C27)),1,0)))</f>
        <v>1</v>
      </c>
    </row>
    <row r="28" customFormat="false" ht="24" hidden="false" customHeight="true" outlineLevel="0" collapsed="false">
      <c r="A28" s="11" t="s">
        <v>2105</v>
      </c>
      <c r="B28" s="86" t="s">
        <v>2106</v>
      </c>
      <c r="C28" s="91" t="n">
        <f aca="false">ROUND(SUMPRODUCT('Sales Data'!$C$2:$C$1201-'Sales Data'!$B$2:$B$1201)/COUNTA('Sales Data'!$A$2:$A$1201),2)</f>
        <v>4</v>
      </c>
      <c r="D28" s="91" t="n">
        <f aca="false">IF('2 KPI Tasks'!C16="","",'2 KPI Tasks'!C16)</f>
        <v>4</v>
      </c>
      <c r="E28" s="11" t="n">
        <f aca="false">IF(D28="","",IF(ISNUMBER(C28),IF(ISNUMBER(D28),IF(ABS(D28-C28)&lt;=IF(ABS(C28)&lt;=1,0.005,0.5),1,0),0),IF(UPPER(TRIM(D28))=UPPER(TRIM(C28)),1,0)))</f>
        <v>1</v>
      </c>
    </row>
    <row r="30" customFormat="false" ht="15" hidden="false" customHeight="true" outlineLevel="0" collapsed="false">
      <c r="A30" s="8" t="s">
        <v>2107</v>
      </c>
    </row>
    <row r="31" customFormat="false" ht="23.25" hidden="false" customHeight="true" outlineLevel="0" collapsed="false">
      <c r="A31" s="4" t="s">
        <v>2064</v>
      </c>
      <c r="B31" s="4" t="s">
        <v>2083</v>
      </c>
      <c r="C31" s="4" t="s">
        <v>2066</v>
      </c>
      <c r="D31" s="4" t="s">
        <v>74</v>
      </c>
      <c r="E31" s="4" t="s">
        <v>2067</v>
      </c>
    </row>
    <row r="32" customFormat="false" ht="90" hidden="false" customHeight="true" outlineLevel="0" collapsed="false">
      <c r="A32" s="11" t="s">
        <v>2108</v>
      </c>
      <c r="B32" s="86" t="s">
        <v>2109</v>
      </c>
      <c r="C32" s="31" t="n">
        <f aca="false">SUM(Helpers!$C$59:$C$98)</f>
        <v>5426671</v>
      </c>
      <c r="D32" s="31" t="n">
        <f aca="false">IF('3 ABC Tasks'!C5="","",'3 ABC Tasks'!C5)</f>
        <v>5426671</v>
      </c>
      <c r="E32" s="11" t="n">
        <f aca="false">IF(D32="","",IF(ISNUMBER(C32),IF(ISNUMBER(D32),IF(ABS(D32-C32)&lt;=IF(ABS(C32)&lt;=1,0.005,0.5),1,0),0),IF(UPPER(TRIM(D32))=UPPER(TRIM(C32)),1,0)))</f>
        <v>1</v>
      </c>
    </row>
    <row r="33" customFormat="false" ht="24" hidden="false" customHeight="true" outlineLevel="0" collapsed="false">
      <c r="A33" s="11" t="s">
        <v>2110</v>
      </c>
      <c r="B33" s="86" t="s">
        <v>2111</v>
      </c>
      <c r="C33" s="90" t="str">
        <f aca="false">INDEX(Products!$B$5:$B$44,MATCH(MAX(Helpers!$C$59:$C$98),Helpers!$C$59:$C$98,0))</f>
        <v>Noise-Cancelling Headphones</v>
      </c>
      <c r="D33" s="11" t="str">
        <f aca="false">IF('3 ABC Tasks'!C6="","",'3 ABC Tasks'!C6)</f>
        <v>Noise-Cancelling Headphones</v>
      </c>
      <c r="E33" s="11" t="n">
        <f aca="false">IF(D33="","",IF(ISNUMBER(C33),IF(ISNUMBER(D33),IF(ABS(D33-C33)&lt;=IF(ABS(C33)&lt;=1,0.005,0.5),1,0),0),IF(UPPER(TRIM(D33))=UPPER(TRIM(C33)),1,0)))</f>
        <v>1</v>
      </c>
    </row>
    <row r="34" customFormat="false" ht="24" hidden="false" customHeight="true" outlineLevel="0" collapsed="false">
      <c r="A34" s="11" t="s">
        <v>2112</v>
      </c>
      <c r="B34" s="86" t="s">
        <v>2113</v>
      </c>
      <c r="C34" s="90" t="str">
        <f aca="false">INDEX(Products!$B$5:$B$44,MATCH(MAX(Helpers!$D$59:$D$98),Helpers!$D$59:$D$98,0))</f>
        <v>Noise-Cancelling Headphones</v>
      </c>
      <c r="D34" s="11" t="str">
        <f aca="false">IF('3 ABC Tasks'!C7="","",'3 ABC Tasks'!C7)</f>
        <v>Noise-Cancelling Headphones</v>
      </c>
      <c r="E34" s="11" t="n">
        <f aca="false">IF(D34="","",IF(ISNUMBER(C34),IF(ISNUMBER(D34),IF(ABS(D34-C34)&lt;=IF(ABS(C34)&lt;=1,0.005,0.5),1,0),0),IF(UPPER(TRIM(D34))=UPPER(TRIM(C34)),1,0)))</f>
        <v>1</v>
      </c>
    </row>
    <row r="35" customFormat="false" ht="24" hidden="false" customHeight="true" outlineLevel="0" collapsed="false">
      <c r="A35" s="11" t="s">
        <v>2114</v>
      </c>
      <c r="B35" s="86" t="s">
        <v>2115</v>
      </c>
      <c r="C35" s="88" t="n">
        <f aca="false">COUNTIF(Helpers!$D$59:$D$98,"&lt;0")</f>
        <v>1</v>
      </c>
      <c r="D35" s="88" t="n">
        <f aca="false">IF('3 ABC Tasks'!C8="","",'3 ABC Tasks'!C8)</f>
        <v>1</v>
      </c>
      <c r="E35" s="11" t="n">
        <f aca="false">IF(D35="","",IF(ISNUMBER(C35),IF(ISNUMBER(D35),IF(ABS(D35-C35)&lt;=IF(ABS(C35)&lt;=1,0.005,0.5),1,0),0),IF(UPPER(TRIM(D35))=UPPER(TRIM(C35)),1,0)))</f>
        <v>1</v>
      </c>
    </row>
    <row r="36" customFormat="false" ht="52.5" hidden="false" customHeight="true" outlineLevel="0" collapsed="false">
      <c r="A36" s="11" t="s">
        <v>2116</v>
      </c>
      <c r="B36" s="86" t="s">
        <v>2117</v>
      </c>
      <c r="C36" s="88" t="n">
        <f aca="false">COUNTIF(Helpers!$H$59:$H$98,"A")</f>
        <v>13</v>
      </c>
      <c r="D36" s="88" t="n">
        <f aca="false">IF('3 ABC Tasks'!C9="","",'3 ABC Tasks'!C9)</f>
        <v>13</v>
      </c>
      <c r="E36" s="11" t="n">
        <f aca="false">IF(D36="","",IF(ISNUMBER(C36),IF(ISNUMBER(D36),IF(ABS(D36-C36)&lt;=IF(ABS(C36)&lt;=1,0.005,0.5),1,0),0),IF(UPPER(TRIM(D36))=UPPER(TRIM(C36)),1,0)))</f>
        <v>1</v>
      </c>
    </row>
    <row r="37" customFormat="false" ht="24" hidden="false" customHeight="true" outlineLevel="0" collapsed="false">
      <c r="A37" s="11" t="s">
        <v>2118</v>
      </c>
      <c r="B37" s="86" t="s">
        <v>2119</v>
      </c>
      <c r="C37" s="89" t="n">
        <f aca="false">SUMIF(Helpers!$H$59:$H$98,"A",Helpers!$C$59:$C$98)/SUM(Helpers!$C$59:$C$98)</f>
        <v>0.792471295938154</v>
      </c>
      <c r="D37" s="89" t="n">
        <f aca="false">IF('3 ABC Tasks'!C10="","",'3 ABC Tasks'!C10)</f>
        <v>0.792471295938154</v>
      </c>
      <c r="E37" s="11" t="n">
        <f aca="false">IF(D37="","",IF(ISNUMBER(C37),IF(ISNUMBER(D37),IF(ABS(D37-C37)&lt;=IF(ABS(C37)&lt;=1,0.005,0.5),1,0),0),IF(UPPER(TRIM(D37))=UPPER(TRIM(C37)),1,0)))</f>
        <v>1</v>
      </c>
    </row>
    <row r="38" customFormat="false" ht="24" hidden="false" customHeight="true" outlineLevel="0" collapsed="false">
      <c r="A38" s="11" t="s">
        <v>2120</v>
      </c>
      <c r="B38" s="86" t="s">
        <v>2121</v>
      </c>
      <c r="C38" s="88" t="n">
        <f aca="false">COUNTIF(Helpers!$B$59:$B$98,"&lt;10")</f>
        <v>4</v>
      </c>
      <c r="D38" s="88" t="n">
        <f aca="false">IF('3 ABC Tasks'!C11="","",'3 ABC Tasks'!C11)</f>
        <v>4</v>
      </c>
      <c r="E38" s="11" t="n">
        <f aca="false">IF(D38="","",IF(ISNUMBER(C38),IF(ISNUMBER(D38),IF(ABS(D38-C38)&lt;=IF(ABS(C38)&lt;=1,0.005,0.5),1,0),0),IF(UPPER(TRIM(D38))=UPPER(TRIM(C38)),1,0)))</f>
        <v>1</v>
      </c>
    </row>
    <row r="39" customFormat="false" ht="40.5" hidden="false" customHeight="true" outlineLevel="0" collapsed="false">
      <c r="A39" s="11" t="s">
        <v>2122</v>
      </c>
      <c r="B39" s="86" t="s">
        <v>2123</v>
      </c>
      <c r="C39" s="90" t="str">
        <f aca="false">INDEX(Helpers!$A$27:$A$32,MATCH(MAX(Helpers!$D$27:$D$32),Helpers!$D$27:$D$32,0))</f>
        <v>Beauty</v>
      </c>
      <c r="D39" s="11" t="str">
        <f aca="false">IF('3 ABC Tasks'!C12="","",'3 ABC Tasks'!C12)</f>
        <v>Beauty</v>
      </c>
      <c r="E39" s="11" t="n">
        <f aca="false">IF(D39="","",IF(ISNUMBER(C39),IF(ISNUMBER(D39),IF(ABS(D39-C39)&lt;=IF(ABS(C39)&lt;=1,0.005,0.5),1,0),0),IF(UPPER(TRIM(D39))=UPPER(TRIM(C39)),1,0)))</f>
        <v>1</v>
      </c>
    </row>
    <row r="40" customFormat="false" ht="24" hidden="false" customHeight="true" outlineLevel="0" collapsed="false">
      <c r="A40" s="11" t="s">
        <v>2124</v>
      </c>
      <c r="B40" s="86" t="s">
        <v>2125</v>
      </c>
      <c r="C40" s="31" t="n">
        <f aca="false">SUMIFS('Sales Data'!$R$2:$R$1201,'Sales Data'!$I$2:$I$1201,"Furniture")</f>
        <v>56785</v>
      </c>
      <c r="D40" s="31" t="n">
        <f aca="false">IF('3 ABC Tasks'!C13="","",'3 ABC Tasks'!C13)</f>
        <v>56785</v>
      </c>
      <c r="E40" s="11" t="n">
        <f aca="false">IF(D40="","",IF(ISNUMBER(C40),IF(ISNUMBER(D40),IF(ABS(D40-C40)&lt;=IF(ABS(C40)&lt;=1,0.005,0.5),1,0),0),IF(UPPER(TRIM(D40))=UPPER(TRIM(C40)),1,0)))</f>
        <v>1</v>
      </c>
    </row>
    <row r="42" customFormat="false" ht="15" hidden="false" customHeight="true" outlineLevel="0" collapsed="false">
      <c r="A42" s="8" t="s">
        <v>2126</v>
      </c>
    </row>
    <row r="43" customFormat="false" ht="23.25" hidden="false" customHeight="true" outlineLevel="0" collapsed="false">
      <c r="A43" s="4" t="s">
        <v>2064</v>
      </c>
      <c r="B43" s="4" t="s">
        <v>2083</v>
      </c>
      <c r="C43" s="4" t="s">
        <v>2066</v>
      </c>
      <c r="D43" s="4" t="s">
        <v>74</v>
      </c>
      <c r="E43" s="4" t="s">
        <v>2067</v>
      </c>
    </row>
    <row r="44" customFormat="false" ht="90" hidden="false" customHeight="true" outlineLevel="0" collapsed="false">
      <c r="A44" s="11" t="s">
        <v>2127</v>
      </c>
      <c r="B44" s="86" t="s">
        <v>2128</v>
      </c>
      <c r="C44" s="88" t="n">
        <f aca="false">COUNTIF(Helpers!$B$102:$B$321,1)</f>
        <v>29</v>
      </c>
      <c r="D44" s="88" t="n">
        <f aca="false">IF('4 RFM Tasks'!C5="","",'4 RFM Tasks'!C5)</f>
        <v>29</v>
      </c>
      <c r="E44" s="11" t="n">
        <f aca="false">IF(D44="","",IF(ISNUMBER(C44),IF(ISNUMBER(D44),IF(ABS(D44-C44)&lt;=IF(ABS(C44)&lt;=1,0.005,0.5),1,0),0),IF(UPPER(TRIM(D44))=UPPER(TRIM(C44)),1,0)))</f>
        <v>1</v>
      </c>
    </row>
    <row r="45" customFormat="false" ht="24" hidden="false" customHeight="true" outlineLevel="0" collapsed="false">
      <c r="A45" s="11" t="s">
        <v>2129</v>
      </c>
      <c r="B45" s="86" t="s">
        <v>2130</v>
      </c>
      <c r="C45" s="90" t="str">
        <f aca="false">INDEX(Helpers!$A$102:$A$321,MATCH(MAX(Helpers!$E$102:$E$321),Helpers!$E$102:$E$321,0))</f>
        <v>C166</v>
      </c>
      <c r="D45" s="11" t="str">
        <f aca="false">IF('4 RFM Tasks'!C6="","",'4 RFM Tasks'!C6)</f>
        <v>C166</v>
      </c>
      <c r="E45" s="11" t="n">
        <f aca="false">IF(D45="","",IF(ISNUMBER(C45),IF(ISNUMBER(D45),IF(ABS(D45-C45)&lt;=IF(ABS(C45)&lt;=1,0.005,0.5),1,0),0),IF(UPPER(TRIM(D45))=UPPER(TRIM(C45)),1,0)))</f>
        <v>1</v>
      </c>
    </row>
    <row r="46" customFormat="false" ht="24" hidden="false" customHeight="true" outlineLevel="0" collapsed="false">
      <c r="A46" s="11" t="s">
        <v>2131</v>
      </c>
      <c r="B46" s="86" t="s">
        <v>2132</v>
      </c>
      <c r="C46" s="88" t="n">
        <f aca="false">MAX(Helpers!$B$102:$B$321)</f>
        <v>20</v>
      </c>
      <c r="D46" s="88" t="n">
        <f aca="false">IF('4 RFM Tasks'!C7="","",'4 RFM Tasks'!C7)</f>
        <v>20</v>
      </c>
      <c r="E46" s="11" t="n">
        <f aca="false">IF(D46="","",IF(ISNUMBER(C46),IF(ISNUMBER(D46),IF(ABS(D46-C46)&lt;=IF(ABS(C46)&lt;=1,0.005,0.5),1,0),0),IF(UPPER(TRIM(D46))=UPPER(TRIM(C46)),1,0)))</f>
        <v>1</v>
      </c>
    </row>
    <row r="47" customFormat="false" ht="78" hidden="false" customHeight="true" outlineLevel="0" collapsed="false">
      <c r="A47" s="11" t="s">
        <v>2133</v>
      </c>
      <c r="B47" s="86" t="s">
        <v>2134</v>
      </c>
      <c r="C47" s="88" t="n">
        <f aca="false">COUNTIF(Helpers!$J$102:$J$321,"Champion")</f>
        <v>67</v>
      </c>
      <c r="D47" s="88" t="n">
        <f aca="false">IF('4 RFM Tasks'!C8="","",'4 RFM Tasks'!C8)</f>
        <v>67</v>
      </c>
      <c r="E47" s="11" t="n">
        <f aca="false">IF(D47="","",IF(ISNUMBER(C47),IF(ISNUMBER(D47),IF(ABS(D47-C47)&lt;=IF(ABS(C47)&lt;=1,0.005,0.5),1,0),0),IF(UPPER(TRIM(D47))=UPPER(TRIM(C47)),1,0)))</f>
        <v>1</v>
      </c>
    </row>
    <row r="48" customFormat="false" ht="24" hidden="false" customHeight="true" outlineLevel="0" collapsed="false">
      <c r="A48" s="11" t="s">
        <v>2135</v>
      </c>
      <c r="B48" s="86" t="s">
        <v>2136</v>
      </c>
      <c r="C48" s="88" t="n">
        <f aca="false">COUNTIF(Helpers!$J$102:$J$321,"Loyal")</f>
        <v>76</v>
      </c>
      <c r="D48" s="88" t="n">
        <f aca="false">IF('4 RFM Tasks'!C9="","",'4 RFM Tasks'!C9)</f>
        <v>76</v>
      </c>
      <c r="E48" s="11" t="n">
        <f aca="false">IF(D48="","",IF(ISNUMBER(C48),IF(ISNUMBER(D48),IF(ABS(D48-C48)&lt;=IF(ABS(C48)&lt;=1,0.005,0.5),1,0),0),IF(UPPER(TRIM(D48))=UPPER(TRIM(C48)),1,0)))</f>
        <v>1</v>
      </c>
    </row>
    <row r="49" customFormat="false" ht="24" hidden="false" customHeight="true" outlineLevel="0" collapsed="false">
      <c r="A49" s="11" t="s">
        <v>2137</v>
      </c>
      <c r="B49" s="86" t="s">
        <v>2138</v>
      </c>
      <c r="C49" s="88" t="n">
        <f aca="false">COUNTIF(Helpers!$J$102:$J$321,"At Risk")</f>
        <v>56</v>
      </c>
      <c r="D49" s="88" t="n">
        <f aca="false">IF('4 RFM Tasks'!C10="","",'4 RFM Tasks'!C10)</f>
        <v>56</v>
      </c>
      <c r="E49" s="11" t="n">
        <f aca="false">IF(D49="","",IF(ISNUMBER(C49),IF(ISNUMBER(D49),IF(ABS(D49-C49)&lt;=IF(ABS(C49)&lt;=1,0.005,0.5),1,0),0),IF(UPPER(TRIM(D49))=UPPER(TRIM(C49)),1,0)))</f>
        <v>1</v>
      </c>
    </row>
    <row r="50" customFormat="false" ht="24" hidden="false" customHeight="true" outlineLevel="0" collapsed="false">
      <c r="A50" s="11" t="s">
        <v>2139</v>
      </c>
      <c r="B50" s="86" t="s">
        <v>2140</v>
      </c>
      <c r="C50" s="88" t="n">
        <f aca="false">COUNTIF(Helpers!$J$102:$J$321,"Lost")</f>
        <v>21</v>
      </c>
      <c r="D50" s="88" t="n">
        <f aca="false">IF('4 RFM Tasks'!C11="","",'4 RFM Tasks'!C11)</f>
        <v>21</v>
      </c>
      <c r="E50" s="11" t="n">
        <f aca="false">IF(D50="","",IF(ISNUMBER(C50),IF(ISNUMBER(D50),IF(ABS(D50-C50)&lt;=IF(ABS(C50)&lt;=1,0.005,0.5),1,0),0),IF(UPPER(TRIM(D50))=UPPER(TRIM(C50)),1,0)))</f>
        <v>1</v>
      </c>
    </row>
    <row r="51" customFormat="false" ht="24" hidden="false" customHeight="true" outlineLevel="0" collapsed="false">
      <c r="A51" s="11" t="s">
        <v>2141</v>
      </c>
      <c r="B51" s="86" t="s">
        <v>2142</v>
      </c>
      <c r="C51" s="31" t="n">
        <f aca="false">SUMIF(Helpers!$J$102:$J$321,"Champion",Helpers!$E$102:$E$321)</f>
        <v>3394545</v>
      </c>
      <c r="D51" s="31" t="n">
        <f aca="false">IF('4 RFM Tasks'!C12="","",'4 RFM Tasks'!C12)</f>
        <v>3394545</v>
      </c>
      <c r="E51" s="11" t="n">
        <f aca="false">IF(D51="","",IF(ISNUMBER(C51),IF(ISNUMBER(D51),IF(ABS(D51-C51)&lt;=IF(ABS(C51)&lt;=1,0.005,0.5),1,0),0),IF(UPPER(TRIM(D51))=UPPER(TRIM(C51)),1,0)))</f>
        <v>1</v>
      </c>
    </row>
    <row r="52" customFormat="false" ht="24" hidden="false" customHeight="true" outlineLevel="0" collapsed="false">
      <c r="A52" s="11" t="s">
        <v>2143</v>
      </c>
      <c r="B52" s="86" t="s">
        <v>2144</v>
      </c>
      <c r="C52" s="89" t="n">
        <f aca="false">SUMIF(Helpers!$J$102:$J$321,"Champion",Helpers!$E$102:$E$321)/SUM(Helpers!$E$102:$E$321)</f>
        <v>0.625529905903638</v>
      </c>
      <c r="D52" s="89" t="n">
        <f aca="false">IF('4 RFM Tasks'!C13="","",'4 RFM Tasks'!C13)</f>
        <v>0.625529905903638</v>
      </c>
      <c r="E52" s="11" t="n">
        <f aca="false">IF(D52="","",IF(ISNUMBER(C52),IF(ISNUMBER(D52),IF(ABS(D52-C52)&lt;=IF(ABS(C52)&lt;=1,0.005,0.5),1,0),0),IF(UPPER(TRIM(D52))=UPPER(TRIM(C52)),1,0)))</f>
        <v>1</v>
      </c>
    </row>
    <row r="54" customFormat="false" ht="15" hidden="false" customHeight="true" outlineLevel="0" collapsed="false">
      <c r="A54" s="8" t="s">
        <v>2145</v>
      </c>
    </row>
    <row r="55" customFormat="false" ht="23.25" hidden="false" customHeight="true" outlineLevel="0" collapsed="false">
      <c r="A55" s="4" t="s">
        <v>2064</v>
      </c>
      <c r="B55" s="4" t="s">
        <v>2065</v>
      </c>
      <c r="C55" s="4" t="s">
        <v>2066</v>
      </c>
      <c r="D55" s="4" t="s">
        <v>74</v>
      </c>
      <c r="E55" s="4" t="s">
        <v>2067</v>
      </c>
    </row>
    <row r="56" customFormat="false" ht="27.75" hidden="false" customHeight="true" outlineLevel="0" collapsed="false">
      <c r="A56" s="11" t="s">
        <v>2146</v>
      </c>
      <c r="B56" s="86" t="s">
        <v>2147</v>
      </c>
      <c r="C56" s="31" t="n">
        <f aca="false">SUMIFS('Sales Data'!$P$2:$P$1201,'Sales Data'!$G$2:$G$1201,"West")</f>
        <v>2190302</v>
      </c>
      <c r="D56" s="31" t="n">
        <f aca="false">IF('5 Dashboard Tasks'!C5="","",'5 Dashboard Tasks'!C5)</f>
        <v>2190302</v>
      </c>
      <c r="E56" s="11" t="n">
        <f aca="false">IF(D56="","",IF(ISNUMBER(C56),IF(ISNUMBER(D56),IF(ABS(D56-C56)&lt;=IF(ABS(C56)&lt;=1,0.005,0.5),1,0),0),IF(UPPER(TRIM(D56))=UPPER(TRIM(C56)),1,0)))</f>
        <v>1</v>
      </c>
    </row>
    <row r="57" customFormat="false" ht="24" hidden="false" customHeight="true" outlineLevel="0" collapsed="false">
      <c r="A57" s="11" t="s">
        <v>2148</v>
      </c>
      <c r="B57" s="86" t="s">
        <v>2149</v>
      </c>
      <c r="C57" s="31" t="n">
        <f aca="false">SUMIFS('Sales Data'!$P$2:$P$1201,'Sales Data'!$I$2:$I$1201,"Electronics",'Sales Data'!$G$2:$G$1201,"South")</f>
        <v>590693</v>
      </c>
      <c r="D57" s="31" t="n">
        <f aca="false">IF('5 Dashboard Tasks'!C6="","",'5 Dashboard Tasks'!C6)</f>
        <v>590693</v>
      </c>
      <c r="E57" s="11" t="n">
        <f aca="false">IF(D57="","",IF(ISNUMBER(C57),IF(ISNUMBER(D57),IF(ABS(D57-C57)&lt;=IF(ABS(C57)&lt;=1,0.005,0.5),1,0),0),IF(UPPER(TRIM(D57))=UPPER(TRIM(C57)),1,0)))</f>
        <v>1</v>
      </c>
    </row>
    <row r="58" customFormat="false" ht="24" hidden="false" customHeight="true" outlineLevel="0" collapsed="false">
      <c r="A58" s="11" t="s">
        <v>2150</v>
      </c>
      <c r="B58" s="86" t="s">
        <v>2151</v>
      </c>
      <c r="C58" s="31" t="n">
        <f aca="false">SUMIFS('Sales Data'!$P$2:$P$1201,'Sales Data'!$B$2:$B$1201,"&gt;="&amp;DATE(2025,10,1),'Sales Data'!$B$2:$B$1201,"&lt;="&amp;DATE(2025,12,31))</f>
        <v>1978359</v>
      </c>
      <c r="D58" s="31" t="n">
        <f aca="false">IF('5 Dashboard Tasks'!C7="","",'5 Dashboard Tasks'!C7)</f>
        <v>1978359</v>
      </c>
      <c r="E58" s="11" t="n">
        <f aca="false">IF(D58="","",IF(ISNUMBER(C58),IF(ISNUMBER(D58),IF(ABS(D58-C58)&lt;=IF(ABS(C58)&lt;=1,0.005,0.5),1,0),0),IF(UPPER(TRIM(D58))=UPPER(TRIM(C58)),1,0)))</f>
        <v>1</v>
      </c>
    </row>
    <row r="59" customFormat="false" ht="27.75" hidden="false" customHeight="true" outlineLevel="0" collapsed="false">
      <c r="A59" s="11" t="s">
        <v>2152</v>
      </c>
      <c r="B59" s="86" t="s">
        <v>2153</v>
      </c>
      <c r="C59" s="90" t="str">
        <f aca="false">INDEX(Helpers!$A$36:$A$55,MATCH(MAX(Helpers!$B$36:$B$55),Helpers!$B$36:$B$55,0))</f>
        <v>Audio</v>
      </c>
      <c r="D59" s="11" t="str">
        <f aca="false">IF('5 Dashboard Tasks'!C8="","",'5 Dashboard Tasks'!C8)</f>
        <v>Audio</v>
      </c>
      <c r="E59" s="11" t="n">
        <f aca="false">IF(D59="","",IF(ISNUMBER(C59),IF(ISNUMBER(D59),IF(ABS(D59-C59)&lt;=IF(ABS(C59)&lt;=1,0.005,0.5),1,0),0),IF(UPPER(TRIM(D59))=UPPER(TRIM(C59)),1,0)))</f>
        <v>1</v>
      </c>
    </row>
    <row r="60" customFormat="false" ht="27.75" hidden="false" customHeight="true" outlineLevel="0" collapsed="false">
      <c r="A60" s="11" t="s">
        <v>2154</v>
      </c>
      <c r="B60" s="86" t="s">
        <v>2155</v>
      </c>
      <c r="C60" s="89" t="n">
        <f aca="false">SUMIFS('Sales Data'!$R$2:$R$1201,'Sales Data'!$I$2:$I$1201,"Electronics")/SUM('Sales Data'!$R$2:$R$1201)</f>
        <v>0.369283948662244</v>
      </c>
      <c r="D60" s="89" t="n">
        <f aca="false">IF('5 Dashboard Tasks'!C9="","",'5 Dashboard Tasks'!C9)</f>
        <v>0.369283948662244</v>
      </c>
      <c r="E60" s="11" t="n">
        <f aca="false">IF(D60="","",IF(ISNUMBER(C60),IF(ISNUMBER(D60),IF(ABS(D60-C60)&lt;=IF(ABS(C60)&lt;=1,0.005,0.5),1,0),0),IF(UPPER(TRIM(D60))=UPPER(TRIM(C60)),1,0)))</f>
        <v>1</v>
      </c>
    </row>
    <row r="61" customFormat="false" ht="27.75" hidden="false" customHeight="true" outlineLevel="0" collapsed="false">
      <c r="A61" s="11" t="s">
        <v>2156</v>
      </c>
      <c r="B61" s="86" t="s">
        <v>2157</v>
      </c>
      <c r="C61" s="89" t="n">
        <f aca="false">SUMIFS('Sales Data'!$R$2:$R$1201,'Sales Data'!$I$2:$I$1201,"Furniture")/SUMIFS('Sales Data'!$P$2:$P$1201,'Sales Data'!$I$2:$I$1201,"Furniture")</f>
        <v>0.0339605941085531</v>
      </c>
      <c r="D61" s="89" t="n">
        <f aca="false">IF('5 Dashboard Tasks'!C10="","",'5 Dashboard Tasks'!C10)</f>
        <v>0.0339605941085531</v>
      </c>
      <c r="E61" s="11" t="n">
        <f aca="false">IF(D61="","",IF(ISNUMBER(C61),IF(ISNUMBER(D61),IF(ABS(D61-C61)&lt;=IF(ABS(C61)&lt;=1,0.005,0.5),1,0),0),IF(UPPER(TRIM(D61))=UPPER(TRIM(C61)),1,0)))</f>
        <v>1</v>
      </c>
    </row>
    <row r="62" customFormat="false" ht="27.75" hidden="false" customHeight="true" outlineLevel="0" collapsed="false">
      <c r="A62" s="11" t="s">
        <v>2158</v>
      </c>
      <c r="B62" s="86" t="s">
        <v>2159</v>
      </c>
      <c r="C62" s="31" t="n">
        <f aca="false">SUMIFS('Sales Data'!$R$2:$R$1201,'Sales Data'!$O$2:$O$1201,"&gt;0.2")</f>
        <v>-47109</v>
      </c>
      <c r="D62" s="31" t="n">
        <f aca="false">IF('5 Dashboard Tasks'!C11="","",'5 Dashboard Tasks'!C11)</f>
        <v>-47109</v>
      </c>
      <c r="E62" s="11" t="n">
        <f aca="false">IF(D62="","",IF(ISNUMBER(C62),IF(ISNUMBER(D62),IF(ABS(D62-C62)&lt;=IF(ABS(C62)&lt;=1,0.005,0.5),1,0),0),IF(UPPER(TRIM(D62))=UPPER(TRIM(C62)),1,0)))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J3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5" min="4" style="1" width="16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9" min="8" style="1" width="12"/>
    <col collapsed="false" customWidth="true" hidden="false" outlineLevel="0" max="10" min="10" style="1" width="14"/>
  </cols>
  <sheetData>
    <row r="1" customFormat="false" ht="19.5" hidden="false" customHeight="true" outlineLevel="0" collapsed="false">
      <c r="A1" s="2" t="s">
        <v>2160</v>
      </c>
    </row>
    <row r="2" customFormat="false" ht="15" hidden="false" customHeight="true" outlineLevel="0" collapsed="false">
      <c r="A2" s="3" t="s">
        <v>2161</v>
      </c>
    </row>
    <row r="4" customFormat="false" ht="15" hidden="false" customHeight="true" outlineLevel="0" collapsed="false">
      <c r="A4" s="8" t="s">
        <v>2162</v>
      </c>
    </row>
    <row r="5" customFormat="false" ht="15" hidden="false" customHeight="true" outlineLevel="0" collapsed="false">
      <c r="A5" s="4" t="s">
        <v>2163</v>
      </c>
      <c r="B5" s="4" t="s">
        <v>130</v>
      </c>
      <c r="C5" s="4" t="s">
        <v>2164</v>
      </c>
    </row>
    <row r="6" customFormat="false" ht="34.5" hidden="false" customHeight="true" outlineLevel="0" collapsed="false">
      <c r="A6" s="11" t="s">
        <v>2165</v>
      </c>
      <c r="B6" s="41" t="n">
        <v>10</v>
      </c>
      <c r="C6" s="5" t="s">
        <v>2166</v>
      </c>
    </row>
    <row r="9" customFormat="false" ht="15" hidden="false" customHeight="true" outlineLevel="0" collapsed="false">
      <c r="A9" s="8" t="s">
        <v>2167</v>
      </c>
    </row>
    <row r="10" customFormat="false" ht="15" hidden="false" customHeight="true" outlineLevel="0" collapsed="false">
      <c r="A10" s="4" t="s">
        <v>2022</v>
      </c>
      <c r="B10" s="4" t="s">
        <v>2023</v>
      </c>
      <c r="C10" s="4" t="s">
        <v>151</v>
      </c>
    </row>
    <row r="11" customFormat="false" ht="15" hidden="false" customHeight="true" outlineLevel="0" collapsed="false">
      <c r="A11" s="11" t="n">
        <v>1</v>
      </c>
      <c r="B11" s="11" t="str">
        <f aca="false">TEXT(DATE(2025,A11,1),"mmmm")</f>
        <v>January</v>
      </c>
      <c r="C11" s="31" t="n">
        <f aca="false">SUMPRODUCT((MONTH('Sales Data'!$B$2:$B$1201)=A11)*'Sales Data'!$P$2:$P$1201)</f>
        <v>305327</v>
      </c>
    </row>
    <row r="12" customFormat="false" ht="15" hidden="false" customHeight="true" outlineLevel="0" collapsed="false">
      <c r="A12" s="11" t="n">
        <v>2</v>
      </c>
      <c r="B12" s="11" t="str">
        <f aca="false">TEXT(DATE(2025,A12,1),"mmmm")</f>
        <v>February</v>
      </c>
      <c r="C12" s="31" t="n">
        <f aca="false">SUMPRODUCT((MONTH('Sales Data'!$B$2:$B$1201)=A12)*'Sales Data'!$P$2:$P$1201)</f>
        <v>310888</v>
      </c>
    </row>
    <row r="13" customFormat="false" ht="15" hidden="false" customHeight="true" outlineLevel="0" collapsed="false">
      <c r="A13" s="11" t="n">
        <v>3</v>
      </c>
      <c r="B13" s="11" t="str">
        <f aca="false">TEXT(DATE(2025,A13,1),"mmmm")</f>
        <v>March</v>
      </c>
      <c r="C13" s="31" t="n">
        <f aca="false">SUMPRODUCT((MONTH('Sales Data'!$B$2:$B$1201)=A13)*'Sales Data'!$P$2:$P$1201)</f>
        <v>299213</v>
      </c>
    </row>
    <row r="14" customFormat="false" ht="15" hidden="false" customHeight="true" outlineLevel="0" collapsed="false">
      <c r="A14" s="11" t="n">
        <v>4</v>
      </c>
      <c r="B14" s="11" t="str">
        <f aca="false">TEXT(DATE(2025,A14,1),"mmmm")</f>
        <v>April</v>
      </c>
      <c r="C14" s="31" t="n">
        <f aca="false">SUMPRODUCT((MONTH('Sales Data'!$B$2:$B$1201)=A14)*'Sales Data'!$P$2:$P$1201)</f>
        <v>424765</v>
      </c>
    </row>
    <row r="15" customFormat="false" ht="15" hidden="false" customHeight="true" outlineLevel="0" collapsed="false">
      <c r="A15" s="11" t="n">
        <v>5</v>
      </c>
      <c r="B15" s="11" t="str">
        <f aca="false">TEXT(DATE(2025,A15,1),"mmmm")</f>
        <v>May</v>
      </c>
      <c r="C15" s="31" t="n">
        <f aca="false">SUMPRODUCT((MONTH('Sales Data'!$B$2:$B$1201)=A15)*'Sales Data'!$P$2:$P$1201)</f>
        <v>444324</v>
      </c>
    </row>
    <row r="16" customFormat="false" ht="15" hidden="false" customHeight="true" outlineLevel="0" collapsed="false">
      <c r="A16" s="11" t="n">
        <v>6</v>
      </c>
      <c r="B16" s="11" t="str">
        <f aca="false">TEXT(DATE(2025,A16,1),"mmmm")</f>
        <v>June</v>
      </c>
      <c r="C16" s="31" t="n">
        <f aca="false">SUMPRODUCT((MONTH('Sales Data'!$B$2:$B$1201)=A16)*'Sales Data'!$P$2:$P$1201)</f>
        <v>498900</v>
      </c>
    </row>
    <row r="17" customFormat="false" ht="15" hidden="false" customHeight="true" outlineLevel="0" collapsed="false">
      <c r="A17" s="11" t="n">
        <v>7</v>
      </c>
      <c r="B17" s="11" t="str">
        <f aca="false">TEXT(DATE(2025,A17,1),"mmmm")</f>
        <v>July</v>
      </c>
      <c r="C17" s="31" t="n">
        <f aca="false">SUMPRODUCT((MONTH('Sales Data'!$B$2:$B$1201)=A17)*'Sales Data'!$P$2:$P$1201)</f>
        <v>418685</v>
      </c>
    </row>
    <row r="18" customFormat="false" ht="15" hidden="false" customHeight="true" outlineLevel="0" collapsed="false">
      <c r="A18" s="11" t="n">
        <v>8</v>
      </c>
      <c r="B18" s="11" t="str">
        <f aca="false">TEXT(DATE(2025,A18,1),"mmmm")</f>
        <v>August</v>
      </c>
      <c r="C18" s="31" t="n">
        <f aca="false">SUMPRODUCT((MONTH('Sales Data'!$B$2:$B$1201)=A18)*'Sales Data'!$P$2:$P$1201)</f>
        <v>379426</v>
      </c>
    </row>
    <row r="19" customFormat="false" ht="15" hidden="false" customHeight="true" outlineLevel="0" collapsed="false">
      <c r="A19" s="11" t="n">
        <v>9</v>
      </c>
      <c r="B19" s="11" t="str">
        <f aca="false">TEXT(DATE(2025,A19,1),"mmmm")</f>
        <v>September</v>
      </c>
      <c r="C19" s="31" t="n">
        <f aca="false">SUMPRODUCT((MONTH('Sales Data'!$B$2:$B$1201)=A19)*'Sales Data'!$P$2:$P$1201)</f>
        <v>366784</v>
      </c>
    </row>
    <row r="20" customFormat="false" ht="15" hidden="false" customHeight="true" outlineLevel="0" collapsed="false">
      <c r="A20" s="11" t="n">
        <v>10</v>
      </c>
      <c r="B20" s="11" t="str">
        <f aca="false">TEXT(DATE(2025,A20,1),"mmmm")</f>
        <v>October</v>
      </c>
      <c r="C20" s="31" t="n">
        <f aca="false">SUMPRODUCT((MONTH('Sales Data'!$B$2:$B$1201)=A20)*'Sales Data'!$P$2:$P$1201)</f>
        <v>668213</v>
      </c>
    </row>
    <row r="21" customFormat="false" ht="15" hidden="false" customHeight="true" outlineLevel="0" collapsed="false">
      <c r="A21" s="11" t="n">
        <v>11</v>
      </c>
      <c r="B21" s="11" t="str">
        <f aca="false">TEXT(DATE(2025,A21,1),"mmmm")</f>
        <v>November</v>
      </c>
      <c r="C21" s="31" t="n">
        <f aca="false">SUMPRODUCT((MONTH('Sales Data'!$B$2:$B$1201)=A21)*'Sales Data'!$P$2:$P$1201)</f>
        <v>776952</v>
      </c>
    </row>
    <row r="22" customFormat="false" ht="15" hidden="false" customHeight="true" outlineLevel="0" collapsed="false">
      <c r="A22" s="11" t="n">
        <v>12</v>
      </c>
      <c r="B22" s="11" t="str">
        <f aca="false">TEXT(DATE(2025,A22,1),"mmmm")</f>
        <v>December</v>
      </c>
      <c r="C22" s="31" t="n">
        <f aca="false">SUMPRODUCT((MONTH('Sales Data'!$B$2:$B$1201)=A22)*'Sales Data'!$P$2:$P$1201)</f>
        <v>533194</v>
      </c>
    </row>
    <row r="25" customFormat="false" ht="15" hidden="false" customHeight="true" outlineLevel="0" collapsed="false">
      <c r="A25" s="8" t="s">
        <v>2168</v>
      </c>
    </row>
    <row r="26" customFormat="false" ht="15" hidden="false" customHeight="true" outlineLevel="0" collapsed="false">
      <c r="A26" s="4" t="s">
        <v>144</v>
      </c>
      <c r="B26" s="4" t="s">
        <v>151</v>
      </c>
      <c r="C26" s="4" t="s">
        <v>153</v>
      </c>
      <c r="D26" s="4" t="s">
        <v>1930</v>
      </c>
    </row>
    <row r="27" customFormat="false" ht="15" hidden="false" customHeight="true" outlineLevel="0" collapsed="false">
      <c r="A27" s="11" t="s">
        <v>208</v>
      </c>
      <c r="B27" s="31" t="n">
        <f aca="false">SUMIFS('Sales Data'!$P$2:$P$1201,'Sales Data'!$I$2:$I$1201,A27)</f>
        <v>1668215</v>
      </c>
      <c r="C27" s="31" t="n">
        <f aca="false">SUMIFS('Sales Data'!$R$2:$R$1201,'Sales Data'!$I$2:$I$1201,A27)</f>
        <v>447735</v>
      </c>
      <c r="D27" s="89" t="n">
        <f aca="false">C27/B27</f>
        <v>0.26839166414401</v>
      </c>
    </row>
    <row r="28" customFormat="false" ht="15" hidden="false" customHeight="true" outlineLevel="0" collapsed="false">
      <c r="A28" s="11" t="s">
        <v>162</v>
      </c>
      <c r="B28" s="31" t="n">
        <f aca="false">SUMIFS('Sales Data'!$P$2:$P$1201,'Sales Data'!$I$2:$I$1201,A28)</f>
        <v>726031</v>
      </c>
      <c r="C28" s="31" t="n">
        <f aca="false">SUMIFS('Sales Data'!$R$2:$R$1201,'Sales Data'!$I$2:$I$1201,A28)</f>
        <v>200041</v>
      </c>
      <c r="D28" s="89" t="n">
        <f aca="false">C28/B28</f>
        <v>0.275526802574546</v>
      </c>
    </row>
    <row r="29" customFormat="false" ht="15" hidden="false" customHeight="true" outlineLevel="0" collapsed="false">
      <c r="A29" s="11" t="s">
        <v>171</v>
      </c>
      <c r="B29" s="31" t="n">
        <f aca="false">SUMIFS('Sales Data'!$P$2:$P$1201,'Sales Data'!$I$2:$I$1201,A29)</f>
        <v>819850</v>
      </c>
      <c r="C29" s="31" t="n">
        <f aca="false">SUMIFS('Sales Data'!$R$2:$R$1201,'Sales Data'!$I$2:$I$1201,A29)</f>
        <v>256160</v>
      </c>
      <c r="D29" s="89" t="n">
        <f aca="false">C29/B29</f>
        <v>0.312447398914436</v>
      </c>
    </row>
    <row r="30" customFormat="false" ht="15" hidden="false" customHeight="true" outlineLevel="0" collapsed="false">
      <c r="A30" s="11" t="s">
        <v>199</v>
      </c>
      <c r="B30" s="31" t="n">
        <f aca="false">SUMIFS('Sales Data'!$P$2:$P$1201,'Sales Data'!$I$2:$I$1201,A30)</f>
        <v>313904</v>
      </c>
      <c r="C30" s="31" t="n">
        <f aca="false">SUMIFS('Sales Data'!$R$2:$R$1201,'Sales Data'!$I$2:$I$1201,A30)</f>
        <v>154704</v>
      </c>
      <c r="D30" s="89" t="n">
        <f aca="false">C30/B30</f>
        <v>0.49283857485091</v>
      </c>
    </row>
    <row r="31" customFormat="false" ht="15" hidden="false" customHeight="true" outlineLevel="0" collapsed="false">
      <c r="A31" s="11" t="s">
        <v>282</v>
      </c>
      <c r="B31" s="31" t="n">
        <f aca="false">SUMIFS('Sales Data'!$P$2:$P$1201,'Sales Data'!$I$2:$I$1201,A31)</f>
        <v>226586</v>
      </c>
      <c r="C31" s="31" t="n">
        <f aca="false">SUMIFS('Sales Data'!$R$2:$R$1201,'Sales Data'!$I$2:$I$1201,A31)</f>
        <v>97016</v>
      </c>
      <c r="D31" s="89" t="n">
        <f aca="false">C31/B31</f>
        <v>0.428164140767744</v>
      </c>
    </row>
    <row r="32" customFormat="false" ht="15" hidden="false" customHeight="true" outlineLevel="0" collapsed="false">
      <c r="A32" s="11" t="s">
        <v>192</v>
      </c>
      <c r="B32" s="31" t="n">
        <f aca="false">SUMIFS('Sales Data'!$P$2:$P$1201,'Sales Data'!$I$2:$I$1201,A32)</f>
        <v>1672085</v>
      </c>
      <c r="C32" s="31" t="n">
        <f aca="false">SUMIFS('Sales Data'!$R$2:$R$1201,'Sales Data'!$I$2:$I$1201,A32)</f>
        <v>56785</v>
      </c>
      <c r="D32" s="89" t="n">
        <f aca="false">C32/B32</f>
        <v>0.0339605941085531</v>
      </c>
    </row>
    <row r="34" customFormat="false" ht="15" hidden="false" customHeight="true" outlineLevel="0" collapsed="false">
      <c r="A34" s="8" t="s">
        <v>2169</v>
      </c>
    </row>
    <row r="35" customFormat="false" ht="15" hidden="false" customHeight="true" outlineLevel="0" collapsed="false">
      <c r="A35" s="4" t="s">
        <v>145</v>
      </c>
      <c r="B35" s="4" t="s">
        <v>153</v>
      </c>
    </row>
    <row r="36" customFormat="false" ht="15" hidden="false" customHeight="true" outlineLevel="0" collapsed="false">
      <c r="A36" s="11" t="s">
        <v>232</v>
      </c>
      <c r="B36" s="31" t="n">
        <f aca="false">SUMIFS('Sales Data'!$R$2:$R$1201,'Sales Data'!$J$2:$J$1201,A36)</f>
        <v>305967</v>
      </c>
    </row>
    <row r="37" customFormat="false" ht="15" hidden="false" customHeight="true" outlineLevel="0" collapsed="false">
      <c r="A37" s="11" t="s">
        <v>421</v>
      </c>
      <c r="B37" s="31" t="n">
        <f aca="false">SUMIFS('Sales Data'!$R$2:$R$1201,'Sales Data'!$J$2:$J$1201,A37)</f>
        <v>49064</v>
      </c>
    </row>
    <row r="38" customFormat="false" ht="15" hidden="false" customHeight="true" outlineLevel="0" collapsed="false">
      <c r="A38" s="11" t="s">
        <v>209</v>
      </c>
      <c r="B38" s="31" t="n">
        <f aca="false">SUMIFS('Sales Data'!$R$2:$R$1201,'Sales Data'!$J$2:$J$1201,A38)</f>
        <v>92704</v>
      </c>
    </row>
    <row r="39" customFormat="false" ht="15" hidden="false" customHeight="true" outlineLevel="0" collapsed="false">
      <c r="A39" s="11" t="s">
        <v>325</v>
      </c>
      <c r="B39" s="31" t="n">
        <f aca="false">SUMIFS('Sales Data'!$R$2:$R$1201,'Sales Data'!$J$2:$J$1201,A39)</f>
        <v>26160</v>
      </c>
    </row>
    <row r="40" customFormat="false" ht="15" hidden="false" customHeight="true" outlineLevel="0" collapsed="false">
      <c r="A40" s="11" t="s">
        <v>163</v>
      </c>
      <c r="B40" s="31" t="n">
        <f aca="false">SUMIFS('Sales Data'!$R$2:$R$1201,'Sales Data'!$J$2:$J$1201,A40)</f>
        <v>50622</v>
      </c>
    </row>
    <row r="41" customFormat="false" ht="15" hidden="false" customHeight="true" outlineLevel="0" collapsed="false">
      <c r="A41" s="11" t="s">
        <v>314</v>
      </c>
      <c r="B41" s="31" t="n">
        <f aca="false">SUMIFS('Sales Data'!$R$2:$R$1201,'Sales Data'!$J$2:$J$1201,A41)</f>
        <v>30798</v>
      </c>
    </row>
    <row r="42" customFormat="false" ht="15" hidden="false" customHeight="true" outlineLevel="0" collapsed="false">
      <c r="A42" s="11" t="s">
        <v>304</v>
      </c>
      <c r="B42" s="31" t="n">
        <f aca="false">SUMIFS('Sales Data'!$R$2:$R$1201,'Sales Data'!$J$2:$J$1201,A42)</f>
        <v>142631</v>
      </c>
    </row>
    <row r="43" customFormat="false" ht="15" hidden="false" customHeight="true" outlineLevel="0" collapsed="false">
      <c r="A43" s="11" t="s">
        <v>172</v>
      </c>
      <c r="B43" s="31" t="n">
        <f aca="false">SUMIFS('Sales Data'!$R$2:$R$1201,'Sales Data'!$J$2:$J$1201,A43)</f>
        <v>82731</v>
      </c>
    </row>
    <row r="44" customFormat="false" ht="15" hidden="false" customHeight="true" outlineLevel="0" collapsed="false">
      <c r="A44" s="11" t="s">
        <v>223</v>
      </c>
      <c r="B44" s="31" t="n">
        <f aca="false">SUMIFS('Sales Data'!$R$2:$R$1201,'Sales Data'!$J$2:$J$1201,A44)</f>
        <v>42913</v>
      </c>
    </row>
    <row r="45" customFormat="false" ht="15" hidden="false" customHeight="true" outlineLevel="0" collapsed="false">
      <c r="A45" s="11" t="s">
        <v>292</v>
      </c>
      <c r="B45" s="31" t="n">
        <f aca="false">SUMIFS('Sales Data'!$R$2:$R$1201,'Sales Data'!$J$2:$J$1201,A45)</f>
        <v>60437</v>
      </c>
    </row>
    <row r="46" customFormat="false" ht="15" hidden="false" customHeight="true" outlineLevel="0" collapsed="false">
      <c r="A46" s="11" t="s">
        <v>427</v>
      </c>
      <c r="B46" s="31" t="n">
        <f aca="false">SUMIFS('Sales Data'!$R$2:$R$1201,'Sales Data'!$J$2:$J$1201,A46)</f>
        <v>9604</v>
      </c>
    </row>
    <row r="47" customFormat="false" ht="15" hidden="false" customHeight="true" outlineLevel="0" collapsed="false">
      <c r="A47" s="11" t="s">
        <v>283</v>
      </c>
      <c r="B47" s="31" t="n">
        <f aca="false">SUMIFS('Sales Data'!$R$2:$R$1201,'Sales Data'!$J$2:$J$1201,A47)</f>
        <v>15135</v>
      </c>
    </row>
    <row r="48" customFormat="false" ht="15" hidden="false" customHeight="true" outlineLevel="0" collapsed="false">
      <c r="A48" s="11" t="s">
        <v>387</v>
      </c>
      <c r="B48" s="31" t="n">
        <f aca="false">SUMIFS('Sales Data'!$R$2:$R$1201,'Sales Data'!$J$2:$J$1201,A48)</f>
        <v>72277</v>
      </c>
    </row>
    <row r="49" customFormat="false" ht="15" hidden="false" customHeight="true" outlineLevel="0" collapsed="false">
      <c r="A49" s="11" t="s">
        <v>185</v>
      </c>
      <c r="B49" s="31" t="n">
        <f aca="false">SUMIFS('Sales Data'!$R$2:$R$1201,'Sales Data'!$J$2:$J$1201,A49)</f>
        <v>92095</v>
      </c>
    </row>
    <row r="50" customFormat="false" ht="15" hidden="false" customHeight="true" outlineLevel="0" collapsed="false">
      <c r="A50" s="11" t="s">
        <v>251</v>
      </c>
      <c r="B50" s="31" t="n">
        <f aca="false">SUMIFS('Sales Data'!$R$2:$R$1201,'Sales Data'!$J$2:$J$1201,A50)</f>
        <v>31164</v>
      </c>
    </row>
    <row r="51" customFormat="false" ht="15" hidden="false" customHeight="true" outlineLevel="0" collapsed="false">
      <c r="A51" s="11" t="s">
        <v>200</v>
      </c>
      <c r="B51" s="31" t="n">
        <f aca="false">SUMIFS('Sales Data'!$R$2:$R$1201,'Sales Data'!$J$2:$J$1201,A51)</f>
        <v>23906</v>
      </c>
    </row>
    <row r="52" customFormat="false" ht="15" hidden="false" customHeight="true" outlineLevel="0" collapsed="false">
      <c r="A52" s="11" t="s">
        <v>398</v>
      </c>
      <c r="B52" s="31" t="n">
        <f aca="false">SUMIFS('Sales Data'!$R$2:$R$1201,'Sales Data'!$J$2:$J$1201,A52)</f>
        <v>27448</v>
      </c>
    </row>
    <row r="53" customFormat="false" ht="15" hidden="false" customHeight="true" outlineLevel="0" collapsed="false">
      <c r="A53" s="11" t="s">
        <v>193</v>
      </c>
      <c r="B53" s="31" t="n">
        <f aca="false">SUMIFS('Sales Data'!$R$2:$R$1201,'Sales Data'!$J$2:$J$1201,A53)</f>
        <v>42030</v>
      </c>
    </row>
    <row r="54" customFormat="false" ht="15" hidden="false" customHeight="true" outlineLevel="0" collapsed="false">
      <c r="A54" s="11" t="s">
        <v>502</v>
      </c>
      <c r="B54" s="31" t="n">
        <f aca="false">SUMIFS('Sales Data'!$R$2:$R$1201,'Sales Data'!$J$2:$J$1201,A54)</f>
        <v>24690</v>
      </c>
    </row>
    <row r="55" customFormat="false" ht="15" hidden="false" customHeight="true" outlineLevel="0" collapsed="false">
      <c r="A55" s="11" t="s">
        <v>213</v>
      </c>
      <c r="B55" s="31" t="n">
        <f aca="false">SUMIFS('Sales Data'!$R$2:$R$1201,'Sales Data'!$J$2:$J$1201,A55)</f>
        <v>-9935</v>
      </c>
    </row>
    <row r="57" customFormat="false" ht="15" hidden="false" customHeight="true" outlineLevel="0" collapsed="false">
      <c r="A57" s="8" t="s">
        <v>2170</v>
      </c>
    </row>
    <row r="58" customFormat="false" ht="15" hidden="false" customHeight="true" outlineLevel="0" collapsed="false">
      <c r="A58" s="4" t="s">
        <v>146</v>
      </c>
      <c r="B58" s="4" t="s">
        <v>1929</v>
      </c>
      <c r="C58" s="4" t="s">
        <v>151</v>
      </c>
      <c r="D58" s="4" t="s">
        <v>153</v>
      </c>
      <c r="E58" s="4" t="s">
        <v>1930</v>
      </c>
      <c r="F58" s="4" t="s">
        <v>1931</v>
      </c>
      <c r="G58" s="4" t="s">
        <v>1932</v>
      </c>
      <c r="H58" s="4" t="s">
        <v>1933</v>
      </c>
    </row>
    <row r="59" customFormat="false" ht="15" hidden="false" customHeight="true" outlineLevel="0" collapsed="false">
      <c r="A59" s="11" t="str">
        <f aca="false">Products!A5</f>
        <v>P001</v>
      </c>
      <c r="B59" s="87" t="n">
        <f aca="false">SUMIFS('Sales Data'!$M$2:$M$1201,'Sales Data'!$K$2:$K$1201,A59)</f>
        <v>10</v>
      </c>
      <c r="C59" s="31" t="n">
        <f aca="false">SUMIFS('Sales Data'!$P$2:$P$1201,'Sales Data'!$K$2:$K$1201,A59)</f>
        <v>24240</v>
      </c>
      <c r="D59" s="31" t="n">
        <f aca="false">SUMIFS('Sales Data'!$R$2:$R$1201,'Sales Data'!$K$2:$K$1201,A59)</f>
        <v>9240</v>
      </c>
      <c r="E59" s="89" t="n">
        <f aca="false">IF(C59=0,0,D59/C59)</f>
        <v>0.381188118811881</v>
      </c>
      <c r="F59" s="89" t="n">
        <f aca="false">C59/SUM($C$59:$C$98)</f>
        <v>0.00446682689995395</v>
      </c>
      <c r="G59" s="89" t="n">
        <f aca="false">SUMIF($C$59:$C$98,"&gt;="&amp;C59)/SUM($C$59:$C$98)</f>
        <v>0.979164205827108</v>
      </c>
      <c r="H59" s="11" t="str">
        <f aca="false">IF(G59&lt;=0.8,"A",IF(G59&lt;=0.95,"B","C"))</f>
        <v>C</v>
      </c>
    </row>
    <row r="60" customFormat="false" ht="15" hidden="false" customHeight="true" outlineLevel="0" collapsed="false">
      <c r="A60" s="11" t="str">
        <f aca="false">Products!A6</f>
        <v>P002</v>
      </c>
      <c r="B60" s="87" t="n">
        <f aca="false">SUMIFS('Sales Data'!$M$2:$M$1201,'Sales Data'!$K$2:$K$1201,A60)</f>
        <v>37</v>
      </c>
      <c r="C60" s="31" t="n">
        <f aca="false">SUMIFS('Sales Data'!$P$2:$P$1201,'Sales Data'!$K$2:$K$1201,A60)</f>
        <v>208164</v>
      </c>
      <c r="D60" s="31" t="n">
        <f aca="false">SUMIFS('Sales Data'!$R$2:$R$1201,'Sales Data'!$K$2:$K$1201,A60)</f>
        <v>49064</v>
      </c>
      <c r="E60" s="89" t="n">
        <f aca="false">IF(C60=0,0,D60/C60)</f>
        <v>0.235698775965104</v>
      </c>
      <c r="F60" s="89" t="n">
        <f aca="false">C60/SUM($C$59:$C$98)</f>
        <v>0.0383594288284659</v>
      </c>
      <c r="G60" s="89" t="n">
        <f aca="false">SUMIF($C$59:$C$98,"&gt;="&amp;C60)/SUM($C$59:$C$98)</f>
        <v>0.661305061611437</v>
      </c>
      <c r="H60" s="11" t="str">
        <f aca="false">IF(G60&lt;=0.8,"A",IF(G60&lt;=0.95,"B","C"))</f>
        <v>A</v>
      </c>
    </row>
    <row r="61" customFormat="false" ht="15" hidden="false" customHeight="true" outlineLevel="0" collapsed="false">
      <c r="A61" s="11" t="str">
        <f aca="false">Products!A7</f>
        <v>P003</v>
      </c>
      <c r="B61" s="87" t="n">
        <f aca="false">SUMIFS('Sales Data'!$M$2:$M$1201,'Sales Data'!$K$2:$K$1201,A61)</f>
        <v>23</v>
      </c>
      <c r="C61" s="31" t="n">
        <f aca="false">SUMIFS('Sales Data'!$P$2:$P$1201,'Sales Data'!$K$2:$K$1201,A61)</f>
        <v>31852</v>
      </c>
      <c r="D61" s="31" t="n">
        <f aca="false">SUMIFS('Sales Data'!$R$2:$R$1201,'Sales Data'!$K$2:$K$1201,A61)</f>
        <v>11152</v>
      </c>
      <c r="E61" s="89" t="n">
        <f aca="false">IF(C61=0,0,D61/C61)</f>
        <v>0.350119301770689</v>
      </c>
      <c r="F61" s="89" t="n">
        <f aca="false">C61/SUM($C$59:$C$98)</f>
        <v>0.00586952848256325</v>
      </c>
      <c r="G61" s="89" t="n">
        <f aca="false">SUMIF($C$59:$C$98,"&gt;="&amp;C61)/SUM($C$59:$C$98)</f>
        <v>0.964759057624831</v>
      </c>
      <c r="H61" s="11" t="str">
        <f aca="false">IF(G61&lt;=0.8,"A",IF(G61&lt;=0.95,"B","C"))</f>
        <v>C</v>
      </c>
    </row>
    <row r="62" customFormat="false" ht="15" hidden="false" customHeight="true" outlineLevel="0" collapsed="false">
      <c r="A62" s="11" t="str">
        <f aca="false">Products!A8</f>
        <v>P004</v>
      </c>
      <c r="B62" s="87" t="n">
        <f aca="false">SUMIFS('Sales Data'!$M$2:$M$1201,'Sales Data'!$K$2:$K$1201,A62)</f>
        <v>20</v>
      </c>
      <c r="C62" s="31" t="n">
        <f aca="false">SUMIFS('Sales Data'!$P$2:$P$1201,'Sales Data'!$K$2:$K$1201,A62)</f>
        <v>63670</v>
      </c>
      <c r="D62" s="31" t="n">
        <f aca="false">SUMIFS('Sales Data'!$R$2:$R$1201,'Sales Data'!$K$2:$K$1201,A62)</f>
        <v>21670</v>
      </c>
      <c r="E62" s="89" t="n">
        <f aca="false">IF(C62=0,0,D62/C62)</f>
        <v>0.340348672844354</v>
      </c>
      <c r="F62" s="89" t="n">
        <f aca="false">C62/SUM($C$59:$C$98)</f>
        <v>0.0117327916138642</v>
      </c>
      <c r="G62" s="89" t="n">
        <f aca="false">SUMIF($C$59:$C$98,"&gt;="&amp;C62)/SUM($C$59:$C$98)</f>
        <v>0.908466350733258</v>
      </c>
      <c r="H62" s="11" t="str">
        <f aca="false">IF(G62&lt;=0.8,"A",IF(G62&lt;=0.95,"B","C"))</f>
        <v>B</v>
      </c>
    </row>
    <row r="63" customFormat="false" ht="15" hidden="false" customHeight="true" outlineLevel="0" collapsed="false">
      <c r="A63" s="11" t="str">
        <f aca="false">Products!A9</f>
        <v>P005</v>
      </c>
      <c r="B63" s="87" t="n">
        <f aca="false">SUMIFS('Sales Data'!$M$2:$M$1201,'Sales Data'!$K$2:$K$1201,A63)</f>
        <v>13</v>
      </c>
      <c r="C63" s="31" t="n">
        <f aca="false">SUMIFS('Sales Data'!$P$2:$P$1201,'Sales Data'!$K$2:$K$1201,A63)</f>
        <v>7830</v>
      </c>
      <c r="D63" s="31" t="n">
        <f aca="false">SUMIFS('Sales Data'!$R$2:$R$1201,'Sales Data'!$K$2:$K$1201,A63)</f>
        <v>2890</v>
      </c>
      <c r="E63" s="89" t="n">
        <f aca="false">IF(C63=0,0,D63/C63)</f>
        <v>0.369093231162197</v>
      </c>
      <c r="F63" s="89" t="n">
        <f aca="false">C63/SUM($C$59:$C$98)</f>
        <v>0.00144287354070295</v>
      </c>
      <c r="G63" s="89" t="n">
        <f aca="false">SUMIF($C$59:$C$98,"&gt;="&amp;C63)/SUM($C$59:$C$98)</f>
        <v>0.999685442511625</v>
      </c>
      <c r="H63" s="11" t="str">
        <f aca="false">IF(G63&lt;=0.8,"A",IF(G63&lt;=0.95,"B","C"))</f>
        <v>C</v>
      </c>
    </row>
    <row r="64" customFormat="false" ht="15" hidden="false" customHeight="true" outlineLevel="0" collapsed="false">
      <c r="A64" s="11" t="str">
        <f aca="false">Products!A10</f>
        <v>P006</v>
      </c>
      <c r="B64" s="87" t="n">
        <f aca="false">SUMIFS('Sales Data'!$M$2:$M$1201,'Sales Data'!$K$2:$K$1201,A64)</f>
        <v>85</v>
      </c>
      <c r="C64" s="31" t="n">
        <f aca="false">SUMIFS('Sales Data'!$P$2:$P$1201,'Sales Data'!$K$2:$K$1201,A64)</f>
        <v>131131</v>
      </c>
      <c r="D64" s="31" t="n">
        <f aca="false">SUMIFS('Sales Data'!$R$2:$R$1201,'Sales Data'!$K$2:$K$1201,A64)</f>
        <v>41881</v>
      </c>
      <c r="E64" s="89" t="n">
        <f aca="false">IF(C64=0,0,D64/C64)</f>
        <v>0.319382907169167</v>
      </c>
      <c r="F64" s="89" t="n">
        <f aca="false">C64/SUM($C$59:$C$98)</f>
        <v>0.0241641698934761</v>
      </c>
      <c r="G64" s="89" t="n">
        <f aca="false">SUMIF($C$59:$C$98,"&gt;="&amp;C64)/SUM($C$59:$C$98)</f>
        <v>0.792471295938154</v>
      </c>
      <c r="H64" s="11" t="str">
        <f aca="false">IF(G64&lt;=0.8,"A",IF(G64&lt;=0.95,"B","C"))</f>
        <v>A</v>
      </c>
    </row>
    <row r="65" customFormat="false" ht="15" hidden="false" customHeight="true" outlineLevel="0" collapsed="false">
      <c r="A65" s="11" t="str">
        <f aca="false">Products!A11</f>
        <v>P007</v>
      </c>
      <c r="B65" s="87" t="n">
        <f aca="false">SUMIFS('Sales Data'!$M$2:$M$1201,'Sales Data'!$K$2:$K$1201,A65)</f>
        <v>36</v>
      </c>
      <c r="C65" s="31" t="n">
        <f aca="false">SUMIFS('Sales Data'!$P$2:$P$1201,'Sales Data'!$K$2:$K$1201,A65)</f>
        <v>53429</v>
      </c>
      <c r="D65" s="31" t="n">
        <f aca="false">SUMIFS('Sales Data'!$R$2:$R$1201,'Sales Data'!$K$2:$K$1201,A65)</f>
        <v>19229</v>
      </c>
      <c r="E65" s="89" t="n">
        <f aca="false">IF(C65=0,0,D65/C65)</f>
        <v>0.359898182634899</v>
      </c>
      <c r="F65" s="89" t="n">
        <f aca="false">C65/SUM($C$59:$C$98)</f>
        <v>0.0098456309586485</v>
      </c>
      <c r="G65" s="89" t="n">
        <f aca="false">SUMIF($C$59:$C$98,"&gt;="&amp;C65)/SUM($C$59:$C$98)</f>
        <v>0.928787649002492</v>
      </c>
      <c r="H65" s="11" t="str">
        <f aca="false">IF(G65&lt;=0.8,"A",IF(G65&lt;=0.95,"B","C"))</f>
        <v>B</v>
      </c>
    </row>
    <row r="66" customFormat="false" ht="15" hidden="false" customHeight="true" outlineLevel="0" collapsed="false">
      <c r="A66" s="11" t="str">
        <f aca="false">Products!A12</f>
        <v>P008</v>
      </c>
      <c r="B66" s="87" t="n">
        <f aca="false">SUMIFS('Sales Data'!$M$2:$M$1201,'Sales Data'!$K$2:$K$1201,A66)</f>
        <v>64</v>
      </c>
      <c r="C66" s="31" t="n">
        <f aca="false">SUMIFS('Sales Data'!$P$2:$P$1201,'Sales Data'!$K$2:$K$1201,A66)</f>
        <v>75598</v>
      </c>
      <c r="D66" s="31" t="n">
        <f aca="false">SUMIFS('Sales Data'!$R$2:$R$1201,'Sales Data'!$K$2:$K$1201,A66)</f>
        <v>30798</v>
      </c>
      <c r="E66" s="89" t="n">
        <f aca="false">IF(C66=0,0,D66/C66)</f>
        <v>0.407391729939946</v>
      </c>
      <c r="F66" s="89" t="n">
        <f aca="false">C66/SUM($C$59:$C$98)</f>
        <v>0.0139308242567128</v>
      </c>
      <c r="G66" s="89" t="n">
        <f aca="false">SUMIF($C$59:$C$98,"&gt;="&amp;C66)/SUM($C$59:$C$98)</f>
        <v>0.896733559119394</v>
      </c>
      <c r="H66" s="11" t="str">
        <f aca="false">IF(G66&lt;=0.8,"A",IF(G66&lt;=0.95,"B","C"))</f>
        <v>B</v>
      </c>
    </row>
    <row r="67" customFormat="false" ht="15" hidden="false" customHeight="true" outlineLevel="0" collapsed="false">
      <c r="A67" s="11" t="str">
        <f aca="false">Products!A13</f>
        <v>P009</v>
      </c>
      <c r="B67" s="87" t="n">
        <f aca="false">SUMIFS('Sales Data'!$M$2:$M$1201,'Sales Data'!$K$2:$K$1201,A67)</f>
        <v>105</v>
      </c>
      <c r="C67" s="31" t="n">
        <f aca="false">SUMIFS('Sales Data'!$P$2:$P$1201,'Sales Data'!$K$2:$K$1201,A67)</f>
        <v>287750</v>
      </c>
      <c r="D67" s="31" t="n">
        <f aca="false">SUMIFS('Sales Data'!$R$2:$R$1201,'Sales Data'!$K$2:$K$1201,A67)</f>
        <v>77750</v>
      </c>
      <c r="E67" s="89" t="n">
        <f aca="false">IF(C67=0,0,D67/C67)</f>
        <v>0.270199826238054</v>
      </c>
      <c r="F67" s="89" t="n">
        <f aca="false">C67/SUM($C$59:$C$98)</f>
        <v>0.0530251419332405</v>
      </c>
      <c r="G67" s="89" t="n">
        <f aca="false">SUMIF($C$59:$C$98,"&gt;="&amp;C67)/SUM($C$59:$C$98)</f>
        <v>0.572330071235201</v>
      </c>
      <c r="H67" s="11" t="str">
        <f aca="false">IF(G67&lt;=0.8,"A",IF(G67&lt;=0.95,"B","C"))</f>
        <v>A</v>
      </c>
    </row>
    <row r="68" customFormat="false" ht="15" hidden="false" customHeight="true" outlineLevel="0" collapsed="false">
      <c r="A68" s="11" t="str">
        <f aca="false">Products!A14</f>
        <v>P010</v>
      </c>
      <c r="B68" s="87" t="n">
        <f aca="false">SUMIFS('Sales Data'!$M$2:$M$1201,'Sales Data'!$K$2:$K$1201,A68)</f>
        <v>81</v>
      </c>
      <c r="C68" s="31" t="n">
        <f aca="false">SUMIFS('Sales Data'!$P$2:$P$1201,'Sales Data'!$K$2:$K$1201,A68)</f>
        <v>75622</v>
      </c>
      <c r="D68" s="31" t="n">
        <f aca="false">SUMIFS('Sales Data'!$R$2:$R$1201,'Sales Data'!$K$2:$K$1201,A68)</f>
        <v>33502</v>
      </c>
      <c r="E68" s="89" t="n">
        <f aca="false">IF(C68=0,0,D68/C68)</f>
        <v>0.443019227209013</v>
      </c>
      <c r="F68" s="89" t="n">
        <f aca="false">C68/SUM($C$59:$C$98)</f>
        <v>0.0139352468576039</v>
      </c>
      <c r="G68" s="89" t="n">
        <f aca="false">SUMIF($C$59:$C$98,"&gt;="&amp;C68)/SUM($C$59:$C$98)</f>
        <v>0.882802734862681</v>
      </c>
      <c r="H68" s="11" t="str">
        <f aca="false">IF(G68&lt;=0.8,"A",IF(G68&lt;=0.95,"B","C"))</f>
        <v>B</v>
      </c>
    </row>
    <row r="69" customFormat="false" ht="15" hidden="false" customHeight="true" outlineLevel="0" collapsed="false">
      <c r="A69" s="11" t="str">
        <f aca="false">Products!A15</f>
        <v>P011</v>
      </c>
      <c r="B69" s="87" t="n">
        <f aca="false">SUMIFS('Sales Data'!$M$2:$M$1201,'Sales Data'!$K$2:$K$1201,A69)</f>
        <v>63</v>
      </c>
      <c r="C69" s="31" t="n">
        <f aca="false">SUMIFS('Sales Data'!$P$2:$P$1201,'Sales Data'!$K$2:$K$1201,A69)</f>
        <v>49487</v>
      </c>
      <c r="D69" s="31" t="n">
        <f aca="false">SUMIFS('Sales Data'!$R$2:$R$1201,'Sales Data'!$K$2:$K$1201,A69)</f>
        <v>25547</v>
      </c>
      <c r="E69" s="89" t="n">
        <f aca="false">IF(C69=0,0,D69/C69)</f>
        <v>0.516236587386586</v>
      </c>
      <c r="F69" s="89" t="n">
        <f aca="false">C69/SUM($C$59:$C$98)</f>
        <v>0.0091192187622946</v>
      </c>
      <c r="G69" s="89" t="n">
        <f aca="false">SUMIF($C$59:$C$98,"&gt;="&amp;C69)/SUM($C$59:$C$98)</f>
        <v>0.937906867764786</v>
      </c>
      <c r="H69" s="11" t="str">
        <f aca="false">IF(G69&lt;=0.8,"A",IF(G69&lt;=0.95,"B","C"))</f>
        <v>B</v>
      </c>
    </row>
    <row r="70" customFormat="false" ht="15" hidden="false" customHeight="true" outlineLevel="0" collapsed="false">
      <c r="A70" s="11" t="str">
        <f aca="false">Products!A16</f>
        <v>P012</v>
      </c>
      <c r="B70" s="87" t="n">
        <f aca="false">SUMIFS('Sales Data'!$M$2:$M$1201,'Sales Data'!$K$2:$K$1201,A70)</f>
        <v>92</v>
      </c>
      <c r="C70" s="31" t="n">
        <f aca="false">SUMIFS('Sales Data'!$P$2:$P$1201,'Sales Data'!$K$2:$K$1201,A70)</f>
        <v>129437</v>
      </c>
      <c r="D70" s="31" t="n">
        <f aca="false">SUMIFS('Sales Data'!$R$2:$R$1201,'Sales Data'!$K$2:$K$1201,A70)</f>
        <v>60437</v>
      </c>
      <c r="E70" s="89" t="n">
        <f aca="false">IF(C70=0,0,D70/C70)</f>
        <v>0.466922132002441</v>
      </c>
      <c r="F70" s="89" t="n">
        <f aca="false">C70/SUM($C$59:$C$98)</f>
        <v>0.0238520079805833</v>
      </c>
      <c r="G70" s="89" t="n">
        <f aca="false">SUMIF($C$59:$C$98,"&gt;="&amp;C70)/SUM($C$59:$C$98)</f>
        <v>0.816323303918738</v>
      </c>
      <c r="H70" s="11" t="str">
        <f aca="false">IF(G70&lt;=0.8,"A",IF(G70&lt;=0.95,"B","C"))</f>
        <v>B</v>
      </c>
    </row>
    <row r="71" customFormat="false" ht="15" hidden="false" customHeight="true" outlineLevel="0" collapsed="false">
      <c r="A71" s="11" t="str">
        <f aca="false">Products!A17</f>
        <v>P013</v>
      </c>
      <c r="B71" s="87" t="n">
        <f aca="false">SUMIFS('Sales Data'!$M$2:$M$1201,'Sales Data'!$K$2:$K$1201,A71)</f>
        <v>127</v>
      </c>
      <c r="C71" s="31" t="n">
        <f aca="false">SUMIFS('Sales Data'!$P$2:$P$1201,'Sales Data'!$K$2:$K$1201,A71)</f>
        <v>18494</v>
      </c>
      <c r="D71" s="31" t="n">
        <f aca="false">SUMIFS('Sales Data'!$R$2:$R$1201,'Sales Data'!$K$2:$K$1201,A71)</f>
        <v>9604</v>
      </c>
      <c r="E71" s="89" t="n">
        <f aca="false">IF(C71=0,0,D71/C71)</f>
        <v>0.519303557910674</v>
      </c>
      <c r="F71" s="89" t="n">
        <f aca="false">C71/SUM($C$59:$C$98)</f>
        <v>0.00340798253662328</v>
      </c>
      <c r="G71" s="89" t="n">
        <f aca="false">SUMIF($C$59:$C$98,"&gt;="&amp;C71)/SUM($C$59:$C$98)</f>
        <v>0.990950990026851</v>
      </c>
      <c r="H71" s="11" t="str">
        <f aca="false">IF(G71&lt;=0.8,"A",IF(G71&lt;=0.95,"B","C"))</f>
        <v>C</v>
      </c>
    </row>
    <row r="72" customFormat="false" ht="15" hidden="false" customHeight="true" outlineLevel="0" collapsed="false">
      <c r="A72" s="11" t="str">
        <f aca="false">Products!A18</f>
        <v>P014</v>
      </c>
      <c r="B72" s="87" t="n">
        <f aca="false">SUMIFS('Sales Data'!$M$2:$M$1201,'Sales Data'!$K$2:$K$1201,A72)</f>
        <v>146</v>
      </c>
      <c r="C72" s="31" t="n">
        <f aca="false">SUMIFS('Sales Data'!$P$2:$P$1201,'Sales Data'!$K$2:$K$1201,A72)</f>
        <v>28275</v>
      </c>
      <c r="D72" s="31" t="n">
        <f aca="false">SUMIFS('Sales Data'!$R$2:$R$1201,'Sales Data'!$K$2:$K$1201,A72)</f>
        <v>15135</v>
      </c>
      <c r="E72" s="89" t="n">
        <f aca="false">IF(C72=0,0,D72/C72)</f>
        <v>0.535278514588859</v>
      </c>
      <c r="F72" s="89" t="n">
        <f aca="false">C72/SUM($C$59:$C$98)</f>
        <v>0.00521037667476064</v>
      </c>
      <c r="G72" s="89" t="n">
        <f aca="false">SUMIF($C$59:$C$98,"&gt;="&amp;C72)/SUM($C$59:$C$98)</f>
        <v>0.969969434299592</v>
      </c>
      <c r="H72" s="11" t="str">
        <f aca="false">IF(G72&lt;=0.8,"A",IF(G72&lt;=0.95,"B","C"))</f>
        <v>C</v>
      </c>
    </row>
    <row r="73" customFormat="false" ht="15" hidden="false" customHeight="true" outlineLevel="0" collapsed="false">
      <c r="A73" s="11" t="str">
        <f aca="false">Products!A19</f>
        <v>P015</v>
      </c>
      <c r="B73" s="87" t="n">
        <f aca="false">SUMIFS('Sales Data'!$M$2:$M$1201,'Sales Data'!$K$2:$K$1201,A73)</f>
        <v>49</v>
      </c>
      <c r="C73" s="31" t="n">
        <f aca="false">SUMIFS('Sales Data'!$P$2:$P$1201,'Sales Data'!$K$2:$K$1201,A73)</f>
        <v>23528</v>
      </c>
      <c r="D73" s="31" t="n">
        <f aca="false">SUMIFS('Sales Data'!$R$2:$R$1201,'Sales Data'!$K$2:$K$1201,A73)</f>
        <v>10788</v>
      </c>
      <c r="E73" s="89" t="n">
        <f aca="false">IF(C73=0,0,D73/C73)</f>
        <v>0.458517511050663</v>
      </c>
      <c r="F73" s="89" t="n">
        <f aca="false">C73/SUM($C$59:$C$98)</f>
        <v>0.00433562307351966</v>
      </c>
      <c r="G73" s="89" t="n">
        <f aca="false">SUMIF($C$59:$C$98,"&gt;="&amp;C73)/SUM($C$59:$C$98)</f>
        <v>0.983499828900628</v>
      </c>
      <c r="H73" s="11" t="str">
        <f aca="false">IF(G73&lt;=0.8,"A",IF(G73&lt;=0.95,"B","C"))</f>
        <v>C</v>
      </c>
    </row>
    <row r="74" customFormat="false" ht="15" hidden="false" customHeight="true" outlineLevel="0" collapsed="false">
      <c r="A74" s="11" t="str">
        <f aca="false">Products!A20</f>
        <v>P016</v>
      </c>
      <c r="B74" s="87" t="n">
        <f aca="false">SUMIFS('Sales Data'!$M$2:$M$1201,'Sales Data'!$K$2:$K$1201,A74)</f>
        <v>41</v>
      </c>
      <c r="C74" s="31" t="n">
        <f aca="false">SUMIFS('Sales Data'!$P$2:$P$1201,'Sales Data'!$K$2:$K$1201,A74)</f>
        <v>35734</v>
      </c>
      <c r="D74" s="31" t="n">
        <f aca="false">SUMIFS('Sales Data'!$R$2:$R$1201,'Sales Data'!$K$2:$K$1201,A74)</f>
        <v>16054</v>
      </c>
      <c r="E74" s="89" t="n">
        <f aca="false">IF(C74=0,0,D74/C74)</f>
        <v>0.44926400626854</v>
      </c>
      <c r="F74" s="89" t="n">
        <f aca="false">C74/SUM($C$59:$C$98)</f>
        <v>0.00658488417668954</v>
      </c>
      <c r="G74" s="89" t="n">
        <f aca="false">SUMIF($C$59:$C$98,"&gt;="&amp;C74)/SUM($C$59:$C$98)</f>
        <v>0.952405627685924</v>
      </c>
      <c r="H74" s="11" t="str">
        <f aca="false">IF(G74&lt;=0.8,"A",IF(G74&lt;=0.95,"B","C"))</f>
        <v>C</v>
      </c>
    </row>
    <row r="75" customFormat="false" ht="15" hidden="false" customHeight="true" outlineLevel="0" collapsed="false">
      <c r="A75" s="11" t="str">
        <f aca="false">Products!A21</f>
        <v>P017</v>
      </c>
      <c r="B75" s="87" t="n">
        <f aca="false">SUMIFS('Sales Data'!$M$2:$M$1201,'Sales Data'!$K$2:$K$1201,A75)</f>
        <v>29</v>
      </c>
      <c r="C75" s="31" t="n">
        <f aca="false">SUMIFS('Sales Data'!$P$2:$P$1201,'Sales Data'!$K$2:$K$1201,A75)</f>
        <v>92722</v>
      </c>
      <c r="D75" s="31" t="n">
        <f aca="false">SUMIFS('Sales Data'!$R$2:$R$1201,'Sales Data'!$K$2:$K$1201,A75)</f>
        <v>28922</v>
      </c>
      <c r="E75" s="89" t="n">
        <f aca="false">IF(C75=0,0,D75/C75)</f>
        <v>0.311921658290373</v>
      </c>
      <c r="F75" s="89" t="n">
        <f aca="false">C75/SUM($C$59:$C$98)</f>
        <v>0.0170863499924724</v>
      </c>
      <c r="G75" s="89" t="n">
        <f aca="false">SUMIF($C$59:$C$98,"&gt;="&amp;C75)/SUM($C$59:$C$98)</f>
        <v>0.854338875527925</v>
      </c>
      <c r="H75" s="11" t="str">
        <f aca="false">IF(G75&lt;=0.8,"A",IF(G75&lt;=0.95,"B","C"))</f>
        <v>B</v>
      </c>
    </row>
    <row r="76" customFormat="false" ht="15" hidden="false" customHeight="true" outlineLevel="0" collapsed="false">
      <c r="A76" s="11" t="str">
        <f aca="false">Products!A22</f>
        <v>P018</v>
      </c>
      <c r="B76" s="87" t="n">
        <f aca="false">SUMIFS('Sales Data'!$M$2:$M$1201,'Sales Data'!$K$2:$K$1201,A76)</f>
        <v>147</v>
      </c>
      <c r="C76" s="31" t="n">
        <f aca="false">SUMIFS('Sales Data'!$P$2:$P$1201,'Sales Data'!$K$2:$K$1201,A76)</f>
        <v>1098257</v>
      </c>
      <c r="D76" s="31" t="n">
        <f aca="false">SUMIFS('Sales Data'!$R$2:$R$1201,'Sales Data'!$K$2:$K$1201,A76)</f>
        <v>275057</v>
      </c>
      <c r="E76" s="89" t="n">
        <f aca="false">IF(C76=0,0,D76/C76)</f>
        <v>0.250448665476296</v>
      </c>
      <c r="F76" s="89" t="n">
        <f aca="false">C76/SUM($C$59:$C$98)</f>
        <v>0.202381349449782</v>
      </c>
      <c r="G76" s="89" t="n">
        <f aca="false">SUMIF($C$59:$C$98,"&gt;="&amp;C76)/SUM($C$59:$C$98)</f>
        <v>0.202381349449782</v>
      </c>
      <c r="H76" s="11" t="str">
        <f aca="false">IF(G76&lt;=0.8,"A",IF(G76&lt;=0.95,"B","C"))</f>
        <v>A</v>
      </c>
    </row>
    <row r="77" customFormat="false" ht="15" hidden="false" customHeight="true" outlineLevel="0" collapsed="false">
      <c r="A77" s="11" t="str">
        <f aca="false">Products!A23</f>
        <v>P019</v>
      </c>
      <c r="B77" s="87" t="n">
        <f aca="false">SUMIFS('Sales Data'!$M$2:$M$1201,'Sales Data'!$K$2:$K$1201,A77)</f>
        <v>55</v>
      </c>
      <c r="C77" s="31" t="n">
        <f aca="false">SUMIFS('Sales Data'!$P$2:$P$1201,'Sales Data'!$K$2:$K$1201,A77)</f>
        <v>113576</v>
      </c>
      <c r="D77" s="31" t="n">
        <f aca="false">SUMIFS('Sales Data'!$R$2:$R$1201,'Sales Data'!$K$2:$K$1201,A77)</f>
        <v>36576</v>
      </c>
      <c r="E77" s="89" t="n">
        <f aca="false">IF(C77=0,0,D77/C77)</f>
        <v>0.322039867577657</v>
      </c>
      <c r="F77" s="89" t="n">
        <f aca="false">C77/SUM($C$59:$C$98)</f>
        <v>0.0209292216167149</v>
      </c>
      <c r="G77" s="89" t="n">
        <f aca="false">SUMIF($C$59:$C$98,"&gt;="&amp;C77)/SUM($C$59:$C$98)</f>
        <v>0.837252525535453</v>
      </c>
      <c r="H77" s="11" t="str">
        <f aca="false">IF(G77&lt;=0.8,"A",IF(G77&lt;=0.95,"B","C"))</f>
        <v>B</v>
      </c>
    </row>
    <row r="78" customFormat="false" ht="15" hidden="false" customHeight="true" outlineLevel="0" collapsed="false">
      <c r="A78" s="11" t="str">
        <f aca="false">Products!A24</f>
        <v>P020</v>
      </c>
      <c r="B78" s="87" t="n">
        <f aca="false">SUMIFS('Sales Data'!$M$2:$M$1201,'Sales Data'!$K$2:$K$1201,A78)</f>
        <v>142</v>
      </c>
      <c r="C78" s="31" t="n">
        <f aca="false">SUMIFS('Sales Data'!$P$2:$P$1201,'Sales Data'!$K$2:$K$1201,A78)</f>
        <v>361895</v>
      </c>
      <c r="D78" s="31" t="n">
        <f aca="false">SUMIFS('Sales Data'!$R$2:$R$1201,'Sales Data'!$K$2:$K$1201,A78)</f>
        <v>92095</v>
      </c>
      <c r="E78" s="89" t="n">
        <f aca="false">IF(C78=0,0,D78/C78)</f>
        <v>0.254479890575996</v>
      </c>
      <c r="F78" s="89" t="n">
        <f aca="false">C78/SUM($C$59:$C$98)</f>
        <v>0.066688214561008</v>
      </c>
      <c r="G78" s="89" t="n">
        <f aca="false">SUMIF($C$59:$C$98,"&gt;="&amp;C78)/SUM($C$59:$C$98)</f>
        <v>0.455234157368302</v>
      </c>
      <c r="H78" s="11" t="str">
        <f aca="false">IF(G78&lt;=0.8,"A",IF(G78&lt;=0.95,"B","C"))</f>
        <v>A</v>
      </c>
    </row>
    <row r="79" customFormat="false" ht="15" hidden="false" customHeight="true" outlineLevel="0" collapsed="false">
      <c r="A79" s="11" t="str">
        <f aca="false">Products!A25</f>
        <v>P021</v>
      </c>
      <c r="B79" s="87" t="n">
        <f aca="false">SUMIFS('Sales Data'!$M$2:$M$1201,'Sales Data'!$K$2:$K$1201,A79)</f>
        <v>12</v>
      </c>
      <c r="C79" s="31" t="n">
        <f aca="false">SUMIFS('Sales Data'!$P$2:$P$1201,'Sales Data'!$K$2:$K$1201,A79)</f>
        <v>13041</v>
      </c>
      <c r="D79" s="31" t="n">
        <f aca="false">SUMIFS('Sales Data'!$R$2:$R$1201,'Sales Data'!$K$2:$K$1201,A79)</f>
        <v>4041</v>
      </c>
      <c r="E79" s="89" t="n">
        <f aca="false">IF(C79=0,0,D79/C79)</f>
        <v>0.309868875086266</v>
      </c>
      <c r="F79" s="89" t="n">
        <f aca="false">C79/SUM($C$59:$C$98)</f>
        <v>0.00240313075917077</v>
      </c>
      <c r="G79" s="89" t="n">
        <f aca="false">SUMIF($C$59:$C$98,"&gt;="&amp;C79)/SUM($C$59:$C$98)</f>
        <v>0.996086735311575</v>
      </c>
      <c r="H79" s="11" t="str">
        <f aca="false">IF(G79&lt;=0.8,"A",IF(G79&lt;=0.95,"B","C"))</f>
        <v>C</v>
      </c>
    </row>
    <row r="80" customFormat="false" ht="15" hidden="false" customHeight="true" outlineLevel="0" collapsed="false">
      <c r="A80" s="11" t="str">
        <f aca="false">Products!A26</f>
        <v>P022</v>
      </c>
      <c r="B80" s="87" t="n">
        <f aca="false">SUMIFS('Sales Data'!$M$2:$M$1201,'Sales Data'!$K$2:$K$1201,A80)</f>
        <v>44</v>
      </c>
      <c r="C80" s="31" t="n">
        <f aca="false">SUMIFS('Sales Data'!$P$2:$P$1201,'Sales Data'!$K$2:$K$1201,A80)</f>
        <v>136764</v>
      </c>
      <c r="D80" s="31" t="n">
        <f aca="false">SUMIFS('Sales Data'!$R$2:$R$1201,'Sales Data'!$K$2:$K$1201,A80)</f>
        <v>31164</v>
      </c>
      <c r="E80" s="89" t="n">
        <f aca="false">IF(C80=0,0,D80/C80)</f>
        <v>0.227866982539265</v>
      </c>
      <c r="F80" s="89" t="n">
        <f aca="false">C80/SUM($C$59:$C$98)</f>
        <v>0.0252021911776115</v>
      </c>
      <c r="G80" s="89" t="n">
        <f aca="false">SUMIF($C$59:$C$98,"&gt;="&amp;C80)/SUM($C$59:$C$98)</f>
        <v>0.768307126044678</v>
      </c>
      <c r="H80" s="11" t="str">
        <f aca="false">IF(G80&lt;=0.8,"A",IF(G80&lt;=0.95,"B","C"))</f>
        <v>A</v>
      </c>
    </row>
    <row r="81" customFormat="false" ht="15" hidden="false" customHeight="true" outlineLevel="0" collapsed="false">
      <c r="A81" s="11" t="str">
        <f aca="false">Products!A27</f>
        <v>P023</v>
      </c>
      <c r="B81" s="87" t="n">
        <f aca="false">SUMIFS('Sales Data'!$M$2:$M$1201,'Sales Data'!$K$2:$K$1201,A81)</f>
        <v>22</v>
      </c>
      <c r="C81" s="31" t="n">
        <f aca="false">SUMIFS('Sales Data'!$P$2:$P$1201,'Sales Data'!$K$2:$K$1201,A81)</f>
        <v>21941</v>
      </c>
      <c r="D81" s="31" t="n">
        <f aca="false">SUMIFS('Sales Data'!$R$2:$R$1201,'Sales Data'!$K$2:$K$1201,A81)</f>
        <v>8741</v>
      </c>
      <c r="E81" s="89" t="n">
        <f aca="false">IF(C81=0,0,D81/C81)</f>
        <v>0.398386582197712</v>
      </c>
      <c r="F81" s="89" t="n">
        <f aca="false">C81/SUM($C$59:$C$98)</f>
        <v>0.00404317858959941</v>
      </c>
      <c r="G81" s="89" t="n">
        <f aca="false">SUMIF($C$59:$C$98,"&gt;="&amp;C81)/SUM($C$59:$C$98)</f>
        <v>0.987543007490227</v>
      </c>
      <c r="H81" s="11" t="str">
        <f aca="false">IF(G81&lt;=0.8,"A",IF(G81&lt;=0.95,"B","C"))</f>
        <v>C</v>
      </c>
    </row>
    <row r="82" customFormat="false" ht="15" hidden="false" customHeight="true" outlineLevel="0" collapsed="false">
      <c r="A82" s="11" t="str">
        <f aca="false">Products!A28</f>
        <v>P024</v>
      </c>
      <c r="B82" s="87" t="n">
        <f aca="false">SUMIFS('Sales Data'!$M$2:$M$1201,'Sales Data'!$K$2:$K$1201,A82)</f>
        <v>54</v>
      </c>
      <c r="C82" s="31" t="n">
        <f aca="false">SUMIFS('Sales Data'!$P$2:$P$1201,'Sales Data'!$K$2:$K$1201,A82)</f>
        <v>274674</v>
      </c>
      <c r="D82" s="31" t="n">
        <f aca="false">SUMIFS('Sales Data'!$R$2:$R$1201,'Sales Data'!$K$2:$K$1201,A82)</f>
        <v>64074</v>
      </c>
      <c r="E82" s="89" t="n">
        <f aca="false">IF(C82=0,0,D82/C82)</f>
        <v>0.233272898053693</v>
      </c>
      <c r="F82" s="89" t="n">
        <f aca="false">C82/SUM($C$59:$C$98)</f>
        <v>0.0506155615477703</v>
      </c>
      <c r="G82" s="89" t="n">
        <f aca="false">SUMIF($C$59:$C$98,"&gt;="&amp;C82)/SUM($C$59:$C$98)</f>
        <v>0.622945632782971</v>
      </c>
      <c r="H82" s="11" t="str">
        <f aca="false">IF(G82&lt;=0.8,"A",IF(G82&lt;=0.95,"B","C"))</f>
        <v>A</v>
      </c>
    </row>
    <row r="83" customFormat="false" ht="15" hidden="false" customHeight="true" outlineLevel="0" collapsed="false">
      <c r="A83" s="11" t="str">
        <f aca="false">Products!A29</f>
        <v>P025</v>
      </c>
      <c r="B83" s="87" t="n">
        <f aca="false">SUMIFS('Sales Data'!$M$2:$M$1201,'Sales Data'!$K$2:$K$1201,A83)</f>
        <v>126</v>
      </c>
      <c r="C83" s="31" t="n">
        <f aca="false">SUMIFS('Sales Data'!$P$2:$P$1201,'Sales Data'!$K$2:$K$1201,A83)</f>
        <v>78842</v>
      </c>
      <c r="D83" s="31" t="n">
        <f aca="false">SUMIFS('Sales Data'!$R$2:$R$1201,'Sales Data'!$K$2:$K$1201,A83)</f>
        <v>38522</v>
      </c>
      <c r="E83" s="89" t="n">
        <f aca="false">IF(C83=0,0,D83/C83)</f>
        <v>0.488597448060678</v>
      </c>
      <c r="F83" s="89" t="n">
        <f aca="false">C83/SUM($C$59:$C$98)</f>
        <v>0.0145286124771522</v>
      </c>
      <c r="G83" s="89" t="n">
        <f aca="false">SUMIF($C$59:$C$98,"&gt;="&amp;C83)/SUM($C$59:$C$98)</f>
        <v>0.868867488005077</v>
      </c>
      <c r="H83" s="11" t="str">
        <f aca="false">IF(G83&lt;=0.8,"A",IF(G83&lt;=0.95,"B","C"))</f>
        <v>B</v>
      </c>
    </row>
    <row r="84" customFormat="false" ht="15" hidden="false" customHeight="true" outlineLevel="0" collapsed="false">
      <c r="A84" s="11" t="str">
        <f aca="false">Products!A30</f>
        <v>P026</v>
      </c>
      <c r="B84" s="87" t="n">
        <f aca="false">SUMIFS('Sales Data'!$M$2:$M$1201,'Sales Data'!$K$2:$K$1201,A84)</f>
        <v>23</v>
      </c>
      <c r="C84" s="31" t="n">
        <f aca="false">SUMIFS('Sales Data'!$P$2:$P$1201,'Sales Data'!$K$2:$K$1201,A84)</f>
        <v>25657</v>
      </c>
      <c r="D84" s="31" t="n">
        <f aca="false">SUMIFS('Sales Data'!$R$2:$R$1201,'Sales Data'!$K$2:$K$1201,A84)</f>
        <v>10707</v>
      </c>
      <c r="E84" s="89" t="n">
        <f aca="false">IF(C84=0,0,D84/C84)</f>
        <v>0.417313013992283</v>
      </c>
      <c r="F84" s="89" t="n">
        <f aca="false">C84/SUM($C$59:$C$98)</f>
        <v>0.00472794462756264</v>
      </c>
      <c r="G84" s="89" t="n">
        <f aca="false">SUMIF($C$59:$C$98,"&gt;="&amp;C84)/SUM($C$59:$C$98)</f>
        <v>0.974697378927155</v>
      </c>
      <c r="H84" s="11" t="str">
        <f aca="false">IF(G84&lt;=0.8,"A",IF(G84&lt;=0.95,"B","C"))</f>
        <v>C</v>
      </c>
    </row>
    <row r="85" customFormat="false" ht="15" hidden="false" customHeight="true" outlineLevel="0" collapsed="false">
      <c r="A85" s="11" t="str">
        <f aca="false">Products!A31</f>
        <v>P027</v>
      </c>
      <c r="B85" s="87" t="n">
        <f aca="false">SUMIFS('Sales Data'!$M$2:$M$1201,'Sales Data'!$K$2:$K$1201,A85)</f>
        <v>119</v>
      </c>
      <c r="C85" s="31" t="n">
        <f aca="false">SUMIFS('Sales Data'!$P$2:$P$1201,'Sales Data'!$K$2:$K$1201,A85)</f>
        <v>42946</v>
      </c>
      <c r="D85" s="31" t="n">
        <f aca="false">SUMIFS('Sales Data'!$R$2:$R$1201,'Sales Data'!$K$2:$K$1201,A85)</f>
        <v>23906</v>
      </c>
      <c r="E85" s="89" t="n">
        <f aca="false">IF(C85=0,0,D85/C85)</f>
        <v>0.556652540399572</v>
      </c>
      <c r="F85" s="89" t="n">
        <f aca="false">C85/SUM($C$59:$C$98)</f>
        <v>0.00791387574444812</v>
      </c>
      <c r="G85" s="89" t="n">
        <f aca="false">SUMIF($C$59:$C$98,"&gt;="&amp;C85)/SUM($C$59:$C$98)</f>
        <v>0.945820743509234</v>
      </c>
      <c r="H85" s="11" t="str">
        <f aca="false">IF(G85&lt;=0.8,"A",IF(G85&lt;=0.95,"B","C"))</f>
        <v>B</v>
      </c>
    </row>
    <row r="86" customFormat="false" ht="15" hidden="false" customHeight="true" outlineLevel="0" collapsed="false">
      <c r="A86" s="11" t="str">
        <f aca="false">Products!A32</f>
        <v>P028</v>
      </c>
      <c r="B86" s="87" t="n">
        <f aca="false">SUMIFS('Sales Data'!$M$2:$M$1201,'Sales Data'!$K$2:$K$1201,A86)</f>
        <v>84</v>
      </c>
      <c r="C86" s="31" t="n">
        <f aca="false">SUMIFS('Sales Data'!$P$2:$P$1201,'Sales Data'!$K$2:$K$1201,A86)</f>
        <v>56848</v>
      </c>
      <c r="D86" s="31" t="n">
        <f aca="false">SUMIFS('Sales Data'!$R$2:$R$1201,'Sales Data'!$K$2:$K$1201,A86)</f>
        <v>27448</v>
      </c>
      <c r="E86" s="89" t="n">
        <f aca="false">IF(C86=0,0,D86/C86)</f>
        <v>0.482831410075992</v>
      </c>
      <c r="F86" s="89" t="n">
        <f aca="false">C86/SUM($C$59:$C$98)</f>
        <v>0.0104756673105851</v>
      </c>
      <c r="G86" s="89" t="n">
        <f aca="false">SUMIF($C$59:$C$98,"&gt;="&amp;C86)/SUM($C$59:$C$98)</f>
        <v>0.918942018043843</v>
      </c>
      <c r="H86" s="11" t="str">
        <f aca="false">IF(G86&lt;=0.8,"A",IF(G86&lt;=0.95,"B","C"))</f>
        <v>B</v>
      </c>
    </row>
    <row r="87" customFormat="false" ht="15" hidden="false" customHeight="true" outlineLevel="0" collapsed="false">
      <c r="A87" s="11" t="str">
        <f aca="false">Products!A33</f>
        <v>P029</v>
      </c>
      <c r="B87" s="87" t="n">
        <f aca="false">SUMIFS('Sales Data'!$M$2:$M$1201,'Sales Data'!$K$2:$K$1201,A87)</f>
        <v>66</v>
      </c>
      <c r="C87" s="31" t="n">
        <f aca="false">SUMIFS('Sales Data'!$P$2:$P$1201,'Sales Data'!$K$2:$K$1201,A87)</f>
        <v>35186</v>
      </c>
      <c r="D87" s="31" t="n">
        <f aca="false">SUMIFS('Sales Data'!$R$2:$R$1201,'Sales Data'!$K$2:$K$1201,A87)</f>
        <v>17366</v>
      </c>
      <c r="E87" s="89" t="n">
        <f aca="false">IF(C87=0,0,D87/C87)</f>
        <v>0.493548570454158</v>
      </c>
      <c r="F87" s="89" t="n">
        <f aca="false">C87/SUM($C$59:$C$98)</f>
        <v>0.00648390145634405</v>
      </c>
      <c r="G87" s="89" t="n">
        <f aca="false">SUMIF($C$59:$C$98,"&gt;="&amp;C87)/SUM($C$59:$C$98)</f>
        <v>0.958889529142268</v>
      </c>
      <c r="H87" s="11" t="str">
        <f aca="false">IF(G87&lt;=0.8,"A",IF(G87&lt;=0.95,"B","C"))</f>
        <v>C</v>
      </c>
    </row>
    <row r="88" customFormat="false" ht="15" hidden="false" customHeight="true" outlineLevel="0" collapsed="false">
      <c r="A88" s="11" t="str">
        <f aca="false">Products!A34</f>
        <v>P030</v>
      </c>
      <c r="B88" s="87" t="n">
        <f aca="false">SUMIFS('Sales Data'!$M$2:$M$1201,'Sales Data'!$K$2:$K$1201,A88)</f>
        <v>62</v>
      </c>
      <c r="C88" s="31" t="n">
        <f aca="false">SUMIFS('Sales Data'!$P$2:$P$1201,'Sales Data'!$K$2:$K$1201,A88)</f>
        <v>14829</v>
      </c>
      <c r="D88" s="31" t="n">
        <f aca="false">SUMIFS('Sales Data'!$R$2:$R$1201,'Sales Data'!$K$2:$K$1201,A88)</f>
        <v>7389</v>
      </c>
      <c r="E88" s="89" t="n">
        <f aca="false">IF(C88=0,0,D88/C88)</f>
        <v>0.498280396520332</v>
      </c>
      <c r="F88" s="89" t="n">
        <f aca="false">C88/SUM($C$59:$C$98)</f>
        <v>0.00273261452555351</v>
      </c>
      <c r="G88" s="89" t="n">
        <f aca="false">SUMIF($C$59:$C$98,"&gt;="&amp;C88)/SUM($C$59:$C$98)</f>
        <v>0.993683604552404</v>
      </c>
      <c r="H88" s="11" t="str">
        <f aca="false">IF(G88&lt;=0.8,"A",IF(G88&lt;=0.95,"B","C"))</f>
        <v>C</v>
      </c>
    </row>
    <row r="89" customFormat="false" ht="15" hidden="false" customHeight="true" outlineLevel="0" collapsed="false">
      <c r="A89" s="11" t="str">
        <f aca="false">Products!A35</f>
        <v>P031</v>
      </c>
      <c r="B89" s="87" t="n">
        <f aca="false">SUMIFS('Sales Data'!$M$2:$M$1201,'Sales Data'!$K$2:$K$1201,A89)</f>
        <v>0</v>
      </c>
      <c r="C89" s="31" t="n">
        <f aca="false">SUMIFS('Sales Data'!$P$2:$P$1201,'Sales Data'!$K$2:$K$1201,A89)</f>
        <v>0</v>
      </c>
      <c r="D89" s="31" t="n">
        <f aca="false">SUMIFS('Sales Data'!$R$2:$R$1201,'Sales Data'!$K$2:$K$1201,A89)</f>
        <v>0</v>
      </c>
      <c r="E89" s="89" t="n">
        <f aca="false">IF(C89=0,0,D89/C89)</f>
        <v>0</v>
      </c>
      <c r="F89" s="89" t="n">
        <f aca="false">C89/SUM($C$59:$C$98)</f>
        <v>0</v>
      </c>
      <c r="G89" s="89" t="n">
        <f aca="false">SUMIF($C$59:$C$98,"&gt;="&amp;C89)/SUM($C$59:$C$98)</f>
        <v>1</v>
      </c>
      <c r="H89" s="11" t="str">
        <f aca="false">IF(G89&lt;=0.8,"A",IF(G89&lt;=0.95,"B","C"))</f>
        <v>C</v>
      </c>
    </row>
    <row r="90" customFormat="false" ht="15" hidden="false" customHeight="true" outlineLevel="0" collapsed="false">
      <c r="A90" s="11" t="str">
        <f aca="false">Products!A36</f>
        <v>P032</v>
      </c>
      <c r="B90" s="87" t="n">
        <f aca="false">SUMIFS('Sales Data'!$M$2:$M$1201,'Sales Data'!$K$2:$K$1201,A90)</f>
        <v>112</v>
      </c>
      <c r="C90" s="31" t="n">
        <f aca="false">SUMIFS('Sales Data'!$P$2:$P$1201,'Sales Data'!$K$2:$K$1201,A90)</f>
        <v>141460</v>
      </c>
      <c r="D90" s="31" t="n">
        <f aca="false">SUMIFS('Sales Data'!$R$2:$R$1201,'Sales Data'!$K$2:$K$1201,A90)</f>
        <v>54100</v>
      </c>
      <c r="E90" s="89" t="n">
        <f aca="false">IF(C90=0,0,D90/C90)</f>
        <v>0.382440265799519</v>
      </c>
      <c r="F90" s="89" t="n">
        <f aca="false">C90/SUM($C$59:$C$98)</f>
        <v>0.026067546751959</v>
      </c>
      <c r="G90" s="89" t="n">
        <f aca="false">SUMIF($C$59:$C$98,"&gt;="&amp;C90)/SUM($C$59:$C$98)</f>
        <v>0.717224980102903</v>
      </c>
      <c r="H90" s="11" t="str">
        <f aca="false">IF(G90&lt;=0.8,"A",IF(G90&lt;=0.95,"B","C"))</f>
        <v>A</v>
      </c>
    </row>
    <row r="91" customFormat="false" ht="15" hidden="false" customHeight="true" outlineLevel="0" collapsed="false">
      <c r="A91" s="11" t="str">
        <f aca="false">Products!A37</f>
        <v>P033</v>
      </c>
      <c r="B91" s="87" t="n">
        <f aca="false">SUMIFS('Sales Data'!$M$2:$M$1201,'Sales Data'!$K$2:$K$1201,A91)</f>
        <v>79</v>
      </c>
      <c r="C91" s="31" t="n">
        <f aca="false">SUMIFS('Sales Data'!$P$2:$P$1201,'Sales Data'!$K$2:$K$1201,A91)</f>
        <v>577731</v>
      </c>
      <c r="D91" s="31" t="n">
        <f aca="false">SUMIFS('Sales Data'!$R$2:$R$1201,'Sales Data'!$K$2:$K$1201,A91)</f>
        <v>40531</v>
      </c>
      <c r="E91" s="89" t="n">
        <f aca="false">IF(C91=0,0,D91/C91)</f>
        <v>0.0701554875885144</v>
      </c>
      <c r="F91" s="89" t="n">
        <f aca="false">C91/SUM($C$59:$C$98)</f>
        <v>0.106461401474311</v>
      </c>
      <c r="G91" s="89" t="n">
        <f aca="false">SUMIF($C$59:$C$98,"&gt;="&amp;C91)/SUM($C$59:$C$98)</f>
        <v>0.308842750924093</v>
      </c>
      <c r="H91" s="11" t="str">
        <f aca="false">IF(G91&lt;=0.8,"A",IF(G91&lt;=0.95,"B","C"))</f>
        <v>A</v>
      </c>
    </row>
    <row r="92" customFormat="false" ht="15" hidden="false" customHeight="true" outlineLevel="0" collapsed="false">
      <c r="A92" s="11" t="str">
        <f aca="false">Products!A38</f>
        <v>P034</v>
      </c>
      <c r="B92" s="87" t="n">
        <f aca="false">SUMIFS('Sales Data'!$M$2:$M$1201,'Sales Data'!$K$2:$K$1201,A92)</f>
        <v>68</v>
      </c>
      <c r="C92" s="31" t="n">
        <f aca="false">SUMIFS('Sales Data'!$P$2:$P$1201,'Sales Data'!$K$2:$K$1201,A92)</f>
        <v>347691</v>
      </c>
      <c r="D92" s="31" t="n">
        <f aca="false">SUMIFS('Sales Data'!$R$2:$R$1201,'Sales Data'!$K$2:$K$1201,A92)</f>
        <v>7691</v>
      </c>
      <c r="E92" s="89" t="n">
        <f aca="false">IF(C92=0,0,D92/C92)</f>
        <v>0.0221202159388653</v>
      </c>
      <c r="F92" s="89" t="n">
        <f aca="false">C92/SUM($C$59:$C$98)</f>
        <v>0.0640707719336588</v>
      </c>
      <c r="G92" s="89" t="n">
        <f aca="false">SUMIF($C$59:$C$98,"&gt;="&amp;C92)/SUM($C$59:$C$98)</f>
        <v>0.519304929301961</v>
      </c>
      <c r="H92" s="11" t="str">
        <f aca="false">IF(G92&lt;=0.8,"A",IF(G92&lt;=0.95,"B","C"))</f>
        <v>A</v>
      </c>
    </row>
    <row r="93" customFormat="false" ht="15" hidden="false" customHeight="true" outlineLevel="0" collapsed="false">
      <c r="A93" s="11" t="str">
        <f aca="false">Products!A39</f>
        <v>P035</v>
      </c>
      <c r="B93" s="87" t="n">
        <f aca="false">SUMIFS('Sales Data'!$M$2:$M$1201,'Sales Data'!$K$2:$K$1201,A93)</f>
        <v>99</v>
      </c>
      <c r="C93" s="31" t="n">
        <f aca="false">SUMIFS('Sales Data'!$P$2:$P$1201,'Sales Data'!$K$2:$K$1201,A93)</f>
        <v>432523</v>
      </c>
      <c r="D93" s="31" t="n">
        <f aca="false">SUMIFS('Sales Data'!$R$2:$R$1201,'Sales Data'!$K$2:$K$1201,A93)</f>
        <v>-22877</v>
      </c>
      <c r="E93" s="89" t="n">
        <f aca="false">IF(C93=0,0,D93/C93)</f>
        <v>-0.0528919849349052</v>
      </c>
      <c r="F93" s="89" t="n">
        <f aca="false">C93/SUM($C$59:$C$98)</f>
        <v>0.0797031918832006</v>
      </c>
      <c r="G93" s="89" t="n">
        <f aca="false">SUMIF($C$59:$C$98,"&gt;="&amp;C93)/SUM($C$59:$C$98)</f>
        <v>0.388545942807294</v>
      </c>
      <c r="H93" s="11" t="str">
        <f aca="false">IF(G93&lt;=0.8,"A",IF(G93&lt;=0.95,"B","C"))</f>
        <v>A</v>
      </c>
    </row>
    <row r="94" customFormat="false" ht="15" hidden="false" customHeight="true" outlineLevel="0" collapsed="false">
      <c r="A94" s="11" t="str">
        <f aca="false">Products!A40</f>
        <v>P036</v>
      </c>
      <c r="B94" s="87" t="n">
        <f aca="false">SUMIFS('Sales Data'!$M$2:$M$1201,'Sales Data'!$K$2:$K$1201,A94)</f>
        <v>1</v>
      </c>
      <c r="C94" s="31" t="n">
        <f aca="false">SUMIFS('Sales Data'!$P$2:$P$1201,'Sales Data'!$K$2:$K$1201,A94)</f>
        <v>11699</v>
      </c>
      <c r="D94" s="31" t="n">
        <f aca="false">SUMIFS('Sales Data'!$R$2:$R$1201,'Sales Data'!$K$2:$K$1201,A94)</f>
        <v>1499</v>
      </c>
      <c r="E94" s="89" t="n">
        <f aca="false">IF(C94=0,0,D94/C94)</f>
        <v>0.128130609453799</v>
      </c>
      <c r="F94" s="89" t="n">
        <f aca="false">C94/SUM($C$59:$C$98)</f>
        <v>0.00215583365934659</v>
      </c>
      <c r="G94" s="89" t="n">
        <f aca="false">SUMIF($C$59:$C$98,"&gt;="&amp;C94)/SUM($C$59:$C$98)</f>
        <v>0.998242568970922</v>
      </c>
      <c r="H94" s="11" t="str">
        <f aca="false">IF(G94&lt;=0.8,"A",IF(G94&lt;=0.95,"B","C"))</f>
        <v>C</v>
      </c>
    </row>
    <row r="95" customFormat="false" ht="15" hidden="false" customHeight="true" outlineLevel="0" collapsed="false">
      <c r="A95" s="11" t="str">
        <f aca="false">Products!A41</f>
        <v>P037</v>
      </c>
      <c r="B95" s="87" t="n">
        <f aca="false">SUMIFS('Sales Data'!$M$2:$M$1201,'Sales Data'!$K$2:$K$1201,A95)</f>
        <v>75</v>
      </c>
      <c r="C95" s="31" t="n">
        <f aca="false">SUMIFS('Sales Data'!$P$2:$P$1201,'Sales Data'!$K$2:$K$1201,A95)</f>
        <v>140442</v>
      </c>
      <c r="D95" s="31" t="n">
        <f aca="false">SUMIFS('Sales Data'!$R$2:$R$1201,'Sales Data'!$K$2:$K$1201,A95)</f>
        <v>12942</v>
      </c>
      <c r="E95" s="89" t="n">
        <f aca="false">IF(C95=0,0,D95/C95)</f>
        <v>0.0921519203657026</v>
      </c>
      <c r="F95" s="89" t="n">
        <f aca="false">C95/SUM($C$59:$C$98)</f>
        <v>0.0258799547641639</v>
      </c>
      <c r="G95" s="89" t="n">
        <f aca="false">SUMIF($C$59:$C$98,"&gt;="&amp;C95)/SUM($C$59:$C$98)</f>
        <v>0.743104934867067</v>
      </c>
      <c r="H95" s="11" t="str">
        <f aca="false">IF(G95&lt;=0.8,"A",IF(G95&lt;=0.95,"B","C"))</f>
        <v>A</v>
      </c>
    </row>
    <row r="96" customFormat="false" ht="15" hidden="false" customHeight="true" outlineLevel="0" collapsed="false">
      <c r="A96" s="11" t="str">
        <f aca="false">Products!A42</f>
        <v>P038</v>
      </c>
      <c r="B96" s="87" t="n">
        <f aca="false">SUMIFS('Sales Data'!$M$2:$M$1201,'Sales Data'!$K$2:$K$1201,A96)</f>
        <v>58</v>
      </c>
      <c r="C96" s="31" t="n">
        <f aca="false">SUMIFS('Sales Data'!$P$2:$P$1201,'Sales Data'!$K$2:$K$1201,A96)</f>
        <v>161999</v>
      </c>
      <c r="D96" s="31" t="n">
        <f aca="false">SUMIFS('Sales Data'!$R$2:$R$1201,'Sales Data'!$K$2:$K$1201,A96)</f>
        <v>16999</v>
      </c>
      <c r="E96" s="89" t="n">
        <f aca="false">IF(C96=0,0,D96/C96)</f>
        <v>0.104932746498435</v>
      </c>
      <c r="F96" s="89" t="n">
        <f aca="false">C96/SUM($C$59:$C$98)</f>
        <v>0.0298523717395066</v>
      </c>
      <c r="G96" s="89" t="n">
        <f aca="false">SUMIF($C$59:$C$98,"&gt;="&amp;C96)/SUM($C$59:$C$98)</f>
        <v>0.691157433350944</v>
      </c>
      <c r="H96" s="11" t="str">
        <f aca="false">IF(G96&lt;=0.8,"A",IF(G96&lt;=0.95,"B","C"))</f>
        <v>A</v>
      </c>
    </row>
    <row r="97" customFormat="false" ht="15" hidden="false" customHeight="true" outlineLevel="0" collapsed="false">
      <c r="A97" s="11" t="str">
        <f aca="false">Products!A43</f>
        <v>P039</v>
      </c>
      <c r="B97" s="87" t="n">
        <f aca="false">SUMIFS('Sales Data'!$M$2:$M$1201,'Sales Data'!$K$2:$K$1201,A97)</f>
        <v>0</v>
      </c>
      <c r="C97" s="31" t="n">
        <f aca="false">SUMIFS('Sales Data'!$P$2:$P$1201,'Sales Data'!$K$2:$K$1201,A97)</f>
        <v>0</v>
      </c>
      <c r="D97" s="31" t="n">
        <f aca="false">SUMIFS('Sales Data'!$R$2:$R$1201,'Sales Data'!$K$2:$K$1201,A97)</f>
        <v>0</v>
      </c>
      <c r="E97" s="89" t="n">
        <f aca="false">IF(C97=0,0,D97/C97)</f>
        <v>0</v>
      </c>
      <c r="F97" s="89" t="n">
        <f aca="false">C97/SUM($C$59:$C$98)</f>
        <v>0</v>
      </c>
      <c r="G97" s="89" t="n">
        <f aca="false">SUMIF($C$59:$C$98,"&gt;="&amp;C97)/SUM($C$59:$C$98)</f>
        <v>1</v>
      </c>
      <c r="H97" s="11" t="str">
        <f aca="false">IF(G97&lt;=0.8,"A",IF(G97&lt;=0.95,"B","C"))</f>
        <v>C</v>
      </c>
    </row>
    <row r="98" customFormat="false" ht="15" hidden="false" customHeight="true" outlineLevel="0" collapsed="false">
      <c r="A98" s="11" t="str">
        <f aca="false">Products!A44</f>
        <v>P040</v>
      </c>
      <c r="B98" s="87" t="n">
        <f aca="false">SUMIFS('Sales Data'!$M$2:$M$1201,'Sales Data'!$K$2:$K$1201,A98)</f>
        <v>3</v>
      </c>
      <c r="C98" s="31" t="n">
        <f aca="false">SUMIFS('Sales Data'!$P$2:$P$1201,'Sales Data'!$K$2:$K$1201,A98)</f>
        <v>1707</v>
      </c>
      <c r="D98" s="31" t="n">
        <f aca="false">SUMIFS('Sales Data'!$R$2:$R$1201,'Sales Data'!$K$2:$K$1201,A98)</f>
        <v>807</v>
      </c>
      <c r="E98" s="89" t="n">
        <f aca="false">IF(C98=0,0,D98/C98)</f>
        <v>0.472759226713533</v>
      </c>
      <c r="F98" s="89" t="n">
        <f aca="false">C98/SUM($C$59:$C$98)</f>
        <v>0.00031455748837547</v>
      </c>
      <c r="G98" s="89" t="n">
        <f aca="false">SUMIF($C$59:$C$98,"&gt;="&amp;C98)/SUM($C$59:$C$98)</f>
        <v>1</v>
      </c>
      <c r="H98" s="11" t="str">
        <f aca="false">IF(G98&lt;=0.8,"A",IF(G98&lt;=0.95,"B","C"))</f>
        <v>C</v>
      </c>
    </row>
    <row r="100" customFormat="false" ht="15" hidden="false" customHeight="true" outlineLevel="0" collapsed="false">
      <c r="A100" s="8" t="s">
        <v>2171</v>
      </c>
    </row>
    <row r="101" customFormat="false" ht="23.25" hidden="false" customHeight="true" outlineLevel="0" collapsed="false">
      <c r="A101" s="4" t="s">
        <v>139</v>
      </c>
      <c r="B101" s="4" t="s">
        <v>1951</v>
      </c>
      <c r="C101" s="4" t="s">
        <v>1952</v>
      </c>
      <c r="D101" s="4" t="s">
        <v>1953</v>
      </c>
      <c r="E101" s="4" t="s">
        <v>133</v>
      </c>
      <c r="F101" s="4" t="s">
        <v>1954</v>
      </c>
      <c r="G101" s="4" t="s">
        <v>1955</v>
      </c>
      <c r="H101" s="4" t="s">
        <v>1956</v>
      </c>
      <c r="I101" s="4" t="s">
        <v>1957</v>
      </c>
      <c r="J101" s="4" t="s">
        <v>1958</v>
      </c>
    </row>
    <row r="102" customFormat="false" ht="15" hidden="false" customHeight="true" outlineLevel="0" collapsed="false">
      <c r="A102" s="11" t="str">
        <f aca="false">Customers!A5</f>
        <v>C001</v>
      </c>
      <c r="B102" s="11" t="n">
        <f aca="false">COUNTIF('Sales Data'!$D$2:$D$1201,A102)</f>
        <v>4</v>
      </c>
      <c r="C102" s="92" t="n">
        <f aca="false">_xlfn.MAXIFS('Sales Data'!$B$2:$B$1201,'Sales Data'!$D$2:$D$1201,A102)</f>
        <v>45965</v>
      </c>
      <c r="D102" s="11" t="n">
        <f aca="false">Customers!$Q$4-C102</f>
        <v>57</v>
      </c>
      <c r="E102" s="31" t="n">
        <f aca="false">SUMIFS('Sales Data'!$P$2:$P$1201,'Sales Data'!$D$2:$D$1201,A102)</f>
        <v>8654</v>
      </c>
      <c r="F102" s="11" t="n">
        <f aca="false">INDEX(Customers!$Q$7:$Q$9,MATCH(D102,Customers!$P$7:$P$9,1))</f>
        <v>2</v>
      </c>
      <c r="G102" s="11" t="n">
        <f aca="false">INDEX(Customers!$Q$12:$Q$14,MATCH(B102,Customers!$P$12:$P$14,1))</f>
        <v>2</v>
      </c>
      <c r="H102" s="11" t="n">
        <f aca="false">INDEX(Customers!$Q$17:$Q$19,MATCH(E102,Customers!$P$17:$P$19,1))</f>
        <v>1</v>
      </c>
      <c r="I102" s="11" t="n">
        <f aca="false">F102+G102+H102</f>
        <v>5</v>
      </c>
      <c r="J102" s="11" t="str">
        <f aca="false">INDEX(Customers!$Q$22:$Q$25,MATCH(I102,Customers!$P$22:$P$25,1))</f>
        <v>At Risk</v>
      </c>
    </row>
    <row r="103" customFormat="false" ht="15" hidden="false" customHeight="true" outlineLevel="0" collapsed="false">
      <c r="A103" s="11" t="str">
        <f aca="false">Customers!A6</f>
        <v>C002</v>
      </c>
      <c r="B103" s="11" t="n">
        <f aca="false">COUNTIF('Sales Data'!$D$2:$D$1201,A103)</f>
        <v>3</v>
      </c>
      <c r="C103" s="92" t="n">
        <f aca="false">_xlfn.MAXIFS('Sales Data'!$B$2:$B$1201,'Sales Data'!$D$2:$D$1201,A103)</f>
        <v>45882</v>
      </c>
      <c r="D103" s="11" t="n">
        <f aca="false">Customers!$Q$4-C103</f>
        <v>140</v>
      </c>
      <c r="E103" s="31" t="n">
        <f aca="false">SUMIFS('Sales Data'!$P$2:$P$1201,'Sales Data'!$D$2:$D$1201,A103)</f>
        <v>23645</v>
      </c>
      <c r="F103" s="11" t="n">
        <f aca="false">INDEX(Customers!$Q$7:$Q$9,MATCH(D103,Customers!$P$7:$P$9,1))</f>
        <v>2</v>
      </c>
      <c r="G103" s="11" t="n">
        <f aca="false">INDEX(Customers!$Q$12:$Q$14,MATCH(B103,Customers!$P$12:$P$14,1))</f>
        <v>2</v>
      </c>
      <c r="H103" s="11" t="n">
        <f aca="false">INDEX(Customers!$Q$17:$Q$19,MATCH(E103,Customers!$P$17:$P$19,1))</f>
        <v>2</v>
      </c>
      <c r="I103" s="11" t="n">
        <f aca="false">F103+G103+H103</f>
        <v>6</v>
      </c>
      <c r="J103" s="11" t="str">
        <f aca="false">INDEX(Customers!$Q$22:$Q$25,MATCH(I103,Customers!$P$22:$P$25,1))</f>
        <v>Loyal</v>
      </c>
    </row>
    <row r="104" customFormat="false" ht="15" hidden="false" customHeight="true" outlineLevel="0" collapsed="false">
      <c r="A104" s="11" t="str">
        <f aca="false">Customers!A7</f>
        <v>C003</v>
      </c>
      <c r="B104" s="11" t="n">
        <f aca="false">COUNTIF('Sales Data'!$D$2:$D$1201,A104)</f>
        <v>2</v>
      </c>
      <c r="C104" s="92" t="n">
        <f aca="false">_xlfn.MAXIFS('Sales Data'!$B$2:$B$1201,'Sales Data'!$D$2:$D$1201,A104)</f>
        <v>45930</v>
      </c>
      <c r="D104" s="11" t="n">
        <f aca="false">Customers!$Q$4-C104</f>
        <v>92</v>
      </c>
      <c r="E104" s="31" t="n">
        <f aca="false">SUMIFS('Sales Data'!$P$2:$P$1201,'Sales Data'!$D$2:$D$1201,A104)</f>
        <v>1420</v>
      </c>
      <c r="F104" s="11" t="n">
        <f aca="false">INDEX(Customers!$Q$7:$Q$9,MATCH(D104,Customers!$P$7:$P$9,1))</f>
        <v>2</v>
      </c>
      <c r="G104" s="11" t="n">
        <f aca="false">INDEX(Customers!$Q$12:$Q$14,MATCH(B104,Customers!$P$12:$P$14,1))</f>
        <v>1</v>
      </c>
      <c r="H104" s="11" t="n">
        <f aca="false">INDEX(Customers!$Q$17:$Q$19,MATCH(E104,Customers!$P$17:$P$19,1))</f>
        <v>1</v>
      </c>
      <c r="I104" s="11" t="n">
        <f aca="false">F104+G104+H104</f>
        <v>4</v>
      </c>
      <c r="J104" s="11" t="str">
        <f aca="false">INDEX(Customers!$Q$22:$Q$25,MATCH(I104,Customers!$P$22:$P$25,1))</f>
        <v>At Risk</v>
      </c>
    </row>
    <row r="105" customFormat="false" ht="15" hidden="false" customHeight="true" outlineLevel="0" collapsed="false">
      <c r="A105" s="11" t="str">
        <f aca="false">Customers!A8</f>
        <v>C004</v>
      </c>
      <c r="B105" s="11" t="n">
        <f aca="false">COUNTIF('Sales Data'!$D$2:$D$1201,A105)</f>
        <v>7</v>
      </c>
      <c r="C105" s="92" t="n">
        <f aca="false">_xlfn.MAXIFS('Sales Data'!$B$2:$B$1201,'Sales Data'!$D$2:$D$1201,A105)</f>
        <v>46008</v>
      </c>
      <c r="D105" s="11" t="n">
        <f aca="false">Customers!$Q$4-C105</f>
        <v>14</v>
      </c>
      <c r="E105" s="31" t="n">
        <f aca="false">SUMIFS('Sales Data'!$P$2:$P$1201,'Sales Data'!$D$2:$D$1201,A105)</f>
        <v>30772</v>
      </c>
      <c r="F105" s="11" t="n">
        <f aca="false">INDEX(Customers!$Q$7:$Q$9,MATCH(D105,Customers!$P$7:$P$9,1))</f>
        <v>3</v>
      </c>
      <c r="G105" s="11" t="n">
        <f aca="false">INDEX(Customers!$Q$12:$Q$14,MATCH(B105,Customers!$P$12:$P$14,1))</f>
        <v>3</v>
      </c>
      <c r="H105" s="11" t="n">
        <f aca="false">INDEX(Customers!$Q$17:$Q$19,MATCH(E105,Customers!$P$17:$P$19,1))</f>
        <v>2</v>
      </c>
      <c r="I105" s="11" t="n">
        <f aca="false">F105+G105+H105</f>
        <v>8</v>
      </c>
      <c r="J105" s="11" t="str">
        <f aca="false">INDEX(Customers!$Q$22:$Q$25,MATCH(I105,Customers!$P$22:$P$25,1))</f>
        <v>Champion</v>
      </c>
    </row>
    <row r="106" customFormat="false" ht="15" hidden="false" customHeight="true" outlineLevel="0" collapsed="false">
      <c r="A106" s="11" t="str">
        <f aca="false">Customers!A9</f>
        <v>C005</v>
      </c>
      <c r="B106" s="11" t="n">
        <f aca="false">COUNTIF('Sales Data'!$D$2:$D$1201,A106)</f>
        <v>2</v>
      </c>
      <c r="C106" s="92" t="n">
        <f aca="false">_xlfn.MAXIFS('Sales Data'!$B$2:$B$1201,'Sales Data'!$D$2:$D$1201,A106)</f>
        <v>45983</v>
      </c>
      <c r="D106" s="11" t="n">
        <f aca="false">Customers!$Q$4-C106</f>
        <v>39</v>
      </c>
      <c r="E106" s="31" t="n">
        <f aca="false">SUMIFS('Sales Data'!$P$2:$P$1201,'Sales Data'!$D$2:$D$1201,A106)</f>
        <v>4754</v>
      </c>
      <c r="F106" s="11" t="n">
        <f aca="false">INDEX(Customers!$Q$7:$Q$9,MATCH(D106,Customers!$P$7:$P$9,1))</f>
        <v>3</v>
      </c>
      <c r="G106" s="11" t="n">
        <f aca="false">INDEX(Customers!$Q$12:$Q$14,MATCH(B106,Customers!$P$12:$P$14,1))</f>
        <v>1</v>
      </c>
      <c r="H106" s="11" t="n">
        <f aca="false">INDEX(Customers!$Q$17:$Q$19,MATCH(E106,Customers!$P$17:$P$19,1))</f>
        <v>1</v>
      </c>
      <c r="I106" s="11" t="n">
        <f aca="false">F106+G106+H106</f>
        <v>5</v>
      </c>
      <c r="J106" s="11" t="str">
        <f aca="false">INDEX(Customers!$Q$22:$Q$25,MATCH(I106,Customers!$P$22:$P$25,1))</f>
        <v>At Risk</v>
      </c>
    </row>
    <row r="107" customFormat="false" ht="15" hidden="false" customHeight="true" outlineLevel="0" collapsed="false">
      <c r="A107" s="11" t="str">
        <f aca="false">Customers!A10</f>
        <v>C006</v>
      </c>
      <c r="B107" s="11" t="n">
        <f aca="false">COUNTIF('Sales Data'!$D$2:$D$1201,A107)</f>
        <v>6</v>
      </c>
      <c r="C107" s="92" t="n">
        <f aca="false">_xlfn.MAXIFS('Sales Data'!$B$2:$B$1201,'Sales Data'!$D$2:$D$1201,A107)</f>
        <v>45999</v>
      </c>
      <c r="D107" s="11" t="n">
        <f aca="false">Customers!$Q$4-C107</f>
        <v>23</v>
      </c>
      <c r="E107" s="31" t="n">
        <f aca="false">SUMIFS('Sales Data'!$P$2:$P$1201,'Sales Data'!$D$2:$D$1201,A107)</f>
        <v>20096</v>
      </c>
      <c r="F107" s="11" t="n">
        <f aca="false">INDEX(Customers!$Q$7:$Q$9,MATCH(D107,Customers!$P$7:$P$9,1))</f>
        <v>3</v>
      </c>
      <c r="G107" s="11" t="n">
        <f aca="false">INDEX(Customers!$Q$12:$Q$14,MATCH(B107,Customers!$P$12:$P$14,1))</f>
        <v>2</v>
      </c>
      <c r="H107" s="11" t="n">
        <f aca="false">INDEX(Customers!$Q$17:$Q$19,MATCH(E107,Customers!$P$17:$P$19,1))</f>
        <v>2</v>
      </c>
      <c r="I107" s="11" t="n">
        <f aca="false">F107+G107+H107</f>
        <v>7</v>
      </c>
      <c r="J107" s="11" t="str">
        <f aca="false">INDEX(Customers!$Q$22:$Q$25,MATCH(I107,Customers!$P$22:$P$25,1))</f>
        <v>Loyal</v>
      </c>
    </row>
    <row r="108" customFormat="false" ht="15" hidden="false" customHeight="true" outlineLevel="0" collapsed="false">
      <c r="A108" s="11" t="str">
        <f aca="false">Customers!A11</f>
        <v>C007</v>
      </c>
      <c r="B108" s="11" t="n">
        <f aca="false">COUNTIF('Sales Data'!$D$2:$D$1201,A108)</f>
        <v>2</v>
      </c>
      <c r="C108" s="92" t="n">
        <f aca="false">_xlfn.MAXIFS('Sales Data'!$B$2:$B$1201,'Sales Data'!$D$2:$D$1201,A108)</f>
        <v>45866</v>
      </c>
      <c r="D108" s="11" t="n">
        <f aca="false">Customers!$Q$4-C108</f>
        <v>156</v>
      </c>
      <c r="E108" s="31" t="n">
        <f aca="false">SUMIFS('Sales Data'!$P$2:$P$1201,'Sales Data'!$D$2:$D$1201,A108)</f>
        <v>3874</v>
      </c>
      <c r="F108" s="11" t="n">
        <f aca="false">INDEX(Customers!$Q$7:$Q$9,MATCH(D108,Customers!$P$7:$P$9,1))</f>
        <v>1</v>
      </c>
      <c r="G108" s="11" t="n">
        <f aca="false">INDEX(Customers!$Q$12:$Q$14,MATCH(B108,Customers!$P$12:$P$14,1))</f>
        <v>1</v>
      </c>
      <c r="H108" s="11" t="n">
        <f aca="false">INDEX(Customers!$Q$17:$Q$19,MATCH(E108,Customers!$P$17:$P$19,1))</f>
        <v>1</v>
      </c>
      <c r="I108" s="11" t="n">
        <f aca="false">F108+G108+H108</f>
        <v>3</v>
      </c>
      <c r="J108" s="11" t="str">
        <f aca="false">INDEX(Customers!$Q$22:$Q$25,MATCH(I108,Customers!$P$22:$P$25,1))</f>
        <v>Lost</v>
      </c>
    </row>
    <row r="109" customFormat="false" ht="15" hidden="false" customHeight="true" outlineLevel="0" collapsed="false">
      <c r="A109" s="11" t="str">
        <f aca="false">Customers!A12</f>
        <v>C008</v>
      </c>
      <c r="B109" s="11" t="n">
        <f aca="false">COUNTIF('Sales Data'!$D$2:$D$1201,A109)</f>
        <v>7</v>
      </c>
      <c r="C109" s="92" t="n">
        <f aca="false">_xlfn.MAXIFS('Sales Data'!$B$2:$B$1201,'Sales Data'!$D$2:$D$1201,A109)</f>
        <v>45976</v>
      </c>
      <c r="D109" s="11" t="n">
        <f aca="false">Customers!$Q$4-C109</f>
        <v>46</v>
      </c>
      <c r="E109" s="31" t="n">
        <f aca="false">SUMIFS('Sales Data'!$P$2:$P$1201,'Sales Data'!$D$2:$D$1201,A109)</f>
        <v>17849</v>
      </c>
      <c r="F109" s="11" t="n">
        <f aca="false">INDEX(Customers!$Q$7:$Q$9,MATCH(D109,Customers!$P$7:$P$9,1))</f>
        <v>2</v>
      </c>
      <c r="G109" s="11" t="n">
        <f aca="false">INDEX(Customers!$Q$12:$Q$14,MATCH(B109,Customers!$P$12:$P$14,1))</f>
        <v>3</v>
      </c>
      <c r="H109" s="11" t="n">
        <f aca="false">INDEX(Customers!$Q$17:$Q$19,MATCH(E109,Customers!$P$17:$P$19,1))</f>
        <v>2</v>
      </c>
      <c r="I109" s="11" t="n">
        <f aca="false">F109+G109+H109</f>
        <v>7</v>
      </c>
      <c r="J109" s="11" t="str">
        <f aca="false">INDEX(Customers!$Q$22:$Q$25,MATCH(I109,Customers!$P$22:$P$25,1))</f>
        <v>Loyal</v>
      </c>
    </row>
    <row r="110" customFormat="false" ht="15" hidden="false" customHeight="true" outlineLevel="0" collapsed="false">
      <c r="A110" s="11" t="str">
        <f aca="false">Customers!A13</f>
        <v>C009</v>
      </c>
      <c r="B110" s="11" t="n">
        <f aca="false">COUNTIF('Sales Data'!$D$2:$D$1201,A110)</f>
        <v>4</v>
      </c>
      <c r="C110" s="92" t="n">
        <f aca="false">_xlfn.MAXIFS('Sales Data'!$B$2:$B$1201,'Sales Data'!$D$2:$D$1201,A110)</f>
        <v>45965</v>
      </c>
      <c r="D110" s="11" t="n">
        <f aca="false">Customers!$Q$4-C110</f>
        <v>57</v>
      </c>
      <c r="E110" s="31" t="n">
        <f aca="false">SUMIFS('Sales Data'!$P$2:$P$1201,'Sales Data'!$D$2:$D$1201,A110)</f>
        <v>12094</v>
      </c>
      <c r="F110" s="11" t="n">
        <f aca="false">INDEX(Customers!$Q$7:$Q$9,MATCH(D110,Customers!$P$7:$P$9,1))</f>
        <v>2</v>
      </c>
      <c r="G110" s="11" t="n">
        <f aca="false">INDEX(Customers!$Q$12:$Q$14,MATCH(B110,Customers!$P$12:$P$14,1))</f>
        <v>2</v>
      </c>
      <c r="H110" s="11" t="n">
        <f aca="false">INDEX(Customers!$Q$17:$Q$19,MATCH(E110,Customers!$P$17:$P$19,1))</f>
        <v>2</v>
      </c>
      <c r="I110" s="11" t="n">
        <f aca="false">F110+G110+H110</f>
        <v>6</v>
      </c>
      <c r="J110" s="11" t="str">
        <f aca="false">INDEX(Customers!$Q$22:$Q$25,MATCH(I110,Customers!$P$22:$P$25,1))</f>
        <v>Loyal</v>
      </c>
    </row>
    <row r="111" customFormat="false" ht="15" hidden="false" customHeight="true" outlineLevel="0" collapsed="false">
      <c r="A111" s="11" t="str">
        <f aca="false">Customers!A14</f>
        <v>C010</v>
      </c>
      <c r="B111" s="11" t="n">
        <f aca="false">COUNTIF('Sales Data'!$D$2:$D$1201,A111)</f>
        <v>3</v>
      </c>
      <c r="C111" s="92" t="n">
        <f aca="false">_xlfn.MAXIFS('Sales Data'!$B$2:$B$1201,'Sales Data'!$D$2:$D$1201,A111)</f>
        <v>45983</v>
      </c>
      <c r="D111" s="11" t="n">
        <f aca="false">Customers!$Q$4-C111</f>
        <v>39</v>
      </c>
      <c r="E111" s="31" t="n">
        <f aca="false">SUMIFS('Sales Data'!$P$2:$P$1201,'Sales Data'!$D$2:$D$1201,A111)</f>
        <v>15734</v>
      </c>
      <c r="F111" s="11" t="n">
        <f aca="false">INDEX(Customers!$Q$7:$Q$9,MATCH(D111,Customers!$P$7:$P$9,1))</f>
        <v>3</v>
      </c>
      <c r="G111" s="11" t="n">
        <f aca="false">INDEX(Customers!$Q$12:$Q$14,MATCH(B111,Customers!$P$12:$P$14,1))</f>
        <v>2</v>
      </c>
      <c r="H111" s="11" t="n">
        <f aca="false">INDEX(Customers!$Q$17:$Q$19,MATCH(E111,Customers!$P$17:$P$19,1))</f>
        <v>2</v>
      </c>
      <c r="I111" s="11" t="n">
        <f aca="false">F111+G111+H111</f>
        <v>7</v>
      </c>
      <c r="J111" s="11" t="str">
        <f aca="false">INDEX(Customers!$Q$22:$Q$25,MATCH(I111,Customers!$P$22:$P$25,1))</f>
        <v>Loyal</v>
      </c>
    </row>
    <row r="112" customFormat="false" ht="15" hidden="false" customHeight="true" outlineLevel="0" collapsed="false">
      <c r="A112" s="11" t="str">
        <f aca="false">Customers!A15</f>
        <v>C011</v>
      </c>
      <c r="B112" s="11" t="n">
        <f aca="false">COUNTIF('Sales Data'!$D$2:$D$1201,A112)</f>
        <v>2</v>
      </c>
      <c r="C112" s="92" t="n">
        <f aca="false">_xlfn.MAXIFS('Sales Data'!$B$2:$B$1201,'Sales Data'!$D$2:$D$1201,A112)</f>
        <v>45953</v>
      </c>
      <c r="D112" s="11" t="n">
        <f aca="false">Customers!$Q$4-C112</f>
        <v>69</v>
      </c>
      <c r="E112" s="31" t="n">
        <f aca="false">SUMIFS('Sales Data'!$P$2:$P$1201,'Sales Data'!$D$2:$D$1201,A112)</f>
        <v>4123</v>
      </c>
      <c r="F112" s="11" t="n">
        <f aca="false">INDEX(Customers!$Q$7:$Q$9,MATCH(D112,Customers!$P$7:$P$9,1))</f>
        <v>2</v>
      </c>
      <c r="G112" s="11" t="n">
        <f aca="false">INDEX(Customers!$Q$12:$Q$14,MATCH(B112,Customers!$P$12:$P$14,1))</f>
        <v>1</v>
      </c>
      <c r="H112" s="11" t="n">
        <f aca="false">INDEX(Customers!$Q$17:$Q$19,MATCH(E112,Customers!$P$17:$P$19,1))</f>
        <v>1</v>
      </c>
      <c r="I112" s="11" t="n">
        <f aca="false">F112+G112+H112</f>
        <v>4</v>
      </c>
      <c r="J112" s="11" t="str">
        <f aca="false">INDEX(Customers!$Q$22:$Q$25,MATCH(I112,Customers!$P$22:$P$25,1))</f>
        <v>At Risk</v>
      </c>
    </row>
    <row r="113" customFormat="false" ht="15" hidden="false" customHeight="true" outlineLevel="0" collapsed="false">
      <c r="A113" s="11" t="str">
        <f aca="false">Customers!A16</f>
        <v>C012</v>
      </c>
      <c r="B113" s="11" t="n">
        <f aca="false">COUNTIF('Sales Data'!$D$2:$D$1201,A113)</f>
        <v>15</v>
      </c>
      <c r="C113" s="92" t="n">
        <f aca="false">_xlfn.MAXIFS('Sales Data'!$B$2:$B$1201,'Sales Data'!$D$2:$D$1201,A113)</f>
        <v>46012</v>
      </c>
      <c r="D113" s="11" t="n">
        <f aca="false">Customers!$Q$4-C113</f>
        <v>10</v>
      </c>
      <c r="E113" s="31" t="n">
        <f aca="false">SUMIFS('Sales Data'!$P$2:$P$1201,'Sales Data'!$D$2:$D$1201,A113)</f>
        <v>80674</v>
      </c>
      <c r="F113" s="11" t="n">
        <f aca="false">INDEX(Customers!$Q$7:$Q$9,MATCH(D113,Customers!$P$7:$P$9,1))</f>
        <v>3</v>
      </c>
      <c r="G113" s="11" t="n">
        <f aca="false">INDEX(Customers!$Q$12:$Q$14,MATCH(B113,Customers!$P$12:$P$14,1))</f>
        <v>3</v>
      </c>
      <c r="H113" s="11" t="n">
        <f aca="false">INDEX(Customers!$Q$17:$Q$19,MATCH(E113,Customers!$P$17:$P$19,1))</f>
        <v>3</v>
      </c>
      <c r="I113" s="11" t="n">
        <f aca="false">F113+G113+H113</f>
        <v>9</v>
      </c>
      <c r="J113" s="11" t="str">
        <f aca="false">INDEX(Customers!$Q$22:$Q$25,MATCH(I113,Customers!$P$22:$P$25,1))</f>
        <v>Champion</v>
      </c>
    </row>
    <row r="114" customFormat="false" ht="15" hidden="false" customHeight="true" outlineLevel="0" collapsed="false">
      <c r="A114" s="11" t="str">
        <f aca="false">Customers!A17</f>
        <v>C013</v>
      </c>
      <c r="B114" s="11" t="n">
        <f aca="false">COUNTIF('Sales Data'!$D$2:$D$1201,A114)</f>
        <v>6</v>
      </c>
      <c r="C114" s="92" t="n">
        <f aca="false">_xlfn.MAXIFS('Sales Data'!$B$2:$B$1201,'Sales Data'!$D$2:$D$1201,A114)</f>
        <v>45971</v>
      </c>
      <c r="D114" s="11" t="n">
        <f aca="false">Customers!$Q$4-C114</f>
        <v>51</v>
      </c>
      <c r="E114" s="31" t="n">
        <f aca="false">SUMIFS('Sales Data'!$P$2:$P$1201,'Sales Data'!$D$2:$D$1201,A114)</f>
        <v>28689</v>
      </c>
      <c r="F114" s="11" t="n">
        <f aca="false">INDEX(Customers!$Q$7:$Q$9,MATCH(D114,Customers!$P$7:$P$9,1))</f>
        <v>2</v>
      </c>
      <c r="G114" s="11" t="n">
        <f aca="false">INDEX(Customers!$Q$12:$Q$14,MATCH(B114,Customers!$P$12:$P$14,1))</f>
        <v>2</v>
      </c>
      <c r="H114" s="11" t="n">
        <f aca="false">INDEX(Customers!$Q$17:$Q$19,MATCH(E114,Customers!$P$17:$P$19,1))</f>
        <v>2</v>
      </c>
      <c r="I114" s="11" t="n">
        <f aca="false">F114+G114+H114</f>
        <v>6</v>
      </c>
      <c r="J114" s="11" t="str">
        <f aca="false">INDEX(Customers!$Q$22:$Q$25,MATCH(I114,Customers!$P$22:$P$25,1))</f>
        <v>Loyal</v>
      </c>
    </row>
    <row r="115" customFormat="false" ht="15" hidden="false" customHeight="true" outlineLevel="0" collapsed="false">
      <c r="A115" s="11" t="str">
        <f aca="false">Customers!A18</f>
        <v>C014</v>
      </c>
      <c r="B115" s="11" t="n">
        <f aca="false">COUNTIF('Sales Data'!$D$2:$D$1201,A115)</f>
        <v>10</v>
      </c>
      <c r="C115" s="92" t="n">
        <f aca="false">_xlfn.MAXIFS('Sales Data'!$B$2:$B$1201,'Sales Data'!$D$2:$D$1201,A115)</f>
        <v>46021</v>
      </c>
      <c r="D115" s="11" t="n">
        <f aca="false">Customers!$Q$4-C115</f>
        <v>1</v>
      </c>
      <c r="E115" s="31" t="n">
        <f aca="false">SUMIFS('Sales Data'!$P$2:$P$1201,'Sales Data'!$D$2:$D$1201,A115)</f>
        <v>14043</v>
      </c>
      <c r="F115" s="11" t="n">
        <f aca="false">INDEX(Customers!$Q$7:$Q$9,MATCH(D115,Customers!$P$7:$P$9,1))</f>
        <v>3</v>
      </c>
      <c r="G115" s="11" t="n">
        <f aca="false">INDEX(Customers!$Q$12:$Q$14,MATCH(B115,Customers!$P$12:$P$14,1))</f>
        <v>3</v>
      </c>
      <c r="H115" s="11" t="n">
        <f aca="false">INDEX(Customers!$Q$17:$Q$19,MATCH(E115,Customers!$P$17:$P$19,1))</f>
        <v>2</v>
      </c>
      <c r="I115" s="11" t="n">
        <f aca="false">F115+G115+H115</f>
        <v>8</v>
      </c>
      <c r="J115" s="11" t="str">
        <f aca="false">INDEX(Customers!$Q$22:$Q$25,MATCH(I115,Customers!$P$22:$P$25,1))</f>
        <v>Champion</v>
      </c>
    </row>
    <row r="116" customFormat="false" ht="15" hidden="false" customHeight="true" outlineLevel="0" collapsed="false">
      <c r="A116" s="11" t="str">
        <f aca="false">Customers!A19</f>
        <v>C015</v>
      </c>
      <c r="B116" s="11" t="n">
        <f aca="false">COUNTIF('Sales Data'!$D$2:$D$1201,A116)</f>
        <v>2</v>
      </c>
      <c r="C116" s="92" t="n">
        <f aca="false">_xlfn.MAXIFS('Sales Data'!$B$2:$B$1201,'Sales Data'!$D$2:$D$1201,A116)</f>
        <v>45879</v>
      </c>
      <c r="D116" s="11" t="n">
        <f aca="false">Customers!$Q$4-C116</f>
        <v>143</v>
      </c>
      <c r="E116" s="31" t="n">
        <f aca="false">SUMIFS('Sales Data'!$P$2:$P$1201,'Sales Data'!$D$2:$D$1201,A116)</f>
        <v>5192</v>
      </c>
      <c r="F116" s="11" t="n">
        <f aca="false">INDEX(Customers!$Q$7:$Q$9,MATCH(D116,Customers!$P$7:$P$9,1))</f>
        <v>2</v>
      </c>
      <c r="G116" s="11" t="n">
        <f aca="false">INDEX(Customers!$Q$12:$Q$14,MATCH(B116,Customers!$P$12:$P$14,1))</f>
        <v>1</v>
      </c>
      <c r="H116" s="11" t="n">
        <f aca="false">INDEX(Customers!$Q$17:$Q$19,MATCH(E116,Customers!$P$17:$P$19,1))</f>
        <v>1</v>
      </c>
      <c r="I116" s="11" t="n">
        <f aca="false">F116+G116+H116</f>
        <v>4</v>
      </c>
      <c r="J116" s="11" t="str">
        <f aca="false">INDEX(Customers!$Q$22:$Q$25,MATCH(I116,Customers!$P$22:$P$25,1))</f>
        <v>At Risk</v>
      </c>
    </row>
    <row r="117" customFormat="false" ht="15" hidden="false" customHeight="true" outlineLevel="0" collapsed="false">
      <c r="A117" s="11" t="str">
        <f aca="false">Customers!A20</f>
        <v>C016</v>
      </c>
      <c r="B117" s="11" t="n">
        <f aca="false">COUNTIF('Sales Data'!$D$2:$D$1201,A117)</f>
        <v>1</v>
      </c>
      <c r="C117" s="92" t="n">
        <f aca="false">_xlfn.MAXIFS('Sales Data'!$B$2:$B$1201,'Sales Data'!$D$2:$D$1201,A117)</f>
        <v>45811</v>
      </c>
      <c r="D117" s="11" t="n">
        <f aca="false">Customers!$Q$4-C117</f>
        <v>211</v>
      </c>
      <c r="E117" s="31" t="n">
        <f aca="false">SUMIFS('Sales Data'!$P$2:$P$1201,'Sales Data'!$D$2:$D$1201,A117)</f>
        <v>479</v>
      </c>
      <c r="F117" s="11" t="n">
        <f aca="false">INDEX(Customers!$Q$7:$Q$9,MATCH(D117,Customers!$P$7:$P$9,1))</f>
        <v>1</v>
      </c>
      <c r="G117" s="11" t="n">
        <f aca="false">INDEX(Customers!$Q$12:$Q$14,MATCH(B117,Customers!$P$12:$P$14,1))</f>
        <v>1</v>
      </c>
      <c r="H117" s="11" t="n">
        <f aca="false">INDEX(Customers!$Q$17:$Q$19,MATCH(E117,Customers!$P$17:$P$19,1))</f>
        <v>1</v>
      </c>
      <c r="I117" s="11" t="n">
        <f aca="false">F117+G117+H117</f>
        <v>3</v>
      </c>
      <c r="J117" s="11" t="str">
        <f aca="false">INDEX(Customers!$Q$22:$Q$25,MATCH(I117,Customers!$P$22:$P$25,1))</f>
        <v>Lost</v>
      </c>
    </row>
    <row r="118" customFormat="false" ht="15" hidden="false" customHeight="true" outlineLevel="0" collapsed="false">
      <c r="A118" s="11" t="str">
        <f aca="false">Customers!A21</f>
        <v>C017</v>
      </c>
      <c r="B118" s="11" t="n">
        <f aca="false">COUNTIF('Sales Data'!$D$2:$D$1201,A118)</f>
        <v>8</v>
      </c>
      <c r="C118" s="92" t="n">
        <f aca="false">_xlfn.MAXIFS('Sales Data'!$B$2:$B$1201,'Sales Data'!$D$2:$D$1201,A118)</f>
        <v>45978</v>
      </c>
      <c r="D118" s="11" t="n">
        <f aca="false">Customers!$Q$4-C118</f>
        <v>44</v>
      </c>
      <c r="E118" s="31" t="n">
        <f aca="false">SUMIFS('Sales Data'!$P$2:$P$1201,'Sales Data'!$D$2:$D$1201,A118)</f>
        <v>44172</v>
      </c>
      <c r="F118" s="11" t="n">
        <f aca="false">INDEX(Customers!$Q$7:$Q$9,MATCH(D118,Customers!$P$7:$P$9,1))</f>
        <v>3</v>
      </c>
      <c r="G118" s="11" t="n">
        <f aca="false">INDEX(Customers!$Q$12:$Q$14,MATCH(B118,Customers!$P$12:$P$14,1))</f>
        <v>3</v>
      </c>
      <c r="H118" s="11" t="n">
        <f aca="false">INDEX(Customers!$Q$17:$Q$19,MATCH(E118,Customers!$P$17:$P$19,1))</f>
        <v>2</v>
      </c>
      <c r="I118" s="11" t="n">
        <f aca="false">F118+G118+H118</f>
        <v>8</v>
      </c>
      <c r="J118" s="11" t="str">
        <f aca="false">INDEX(Customers!$Q$22:$Q$25,MATCH(I118,Customers!$P$22:$P$25,1))</f>
        <v>Champion</v>
      </c>
    </row>
    <row r="119" customFormat="false" ht="15" hidden="false" customHeight="true" outlineLevel="0" collapsed="false">
      <c r="A119" s="11" t="str">
        <f aca="false">Customers!A22</f>
        <v>C018</v>
      </c>
      <c r="B119" s="11" t="n">
        <f aca="false">COUNTIF('Sales Data'!$D$2:$D$1201,A119)</f>
        <v>8</v>
      </c>
      <c r="C119" s="92" t="n">
        <f aca="false">_xlfn.MAXIFS('Sales Data'!$B$2:$B$1201,'Sales Data'!$D$2:$D$1201,A119)</f>
        <v>45962</v>
      </c>
      <c r="D119" s="11" t="n">
        <f aca="false">Customers!$Q$4-C119</f>
        <v>60</v>
      </c>
      <c r="E119" s="31" t="n">
        <f aca="false">SUMIFS('Sales Data'!$P$2:$P$1201,'Sales Data'!$D$2:$D$1201,A119)</f>
        <v>61007</v>
      </c>
      <c r="F119" s="11" t="n">
        <f aca="false">INDEX(Customers!$Q$7:$Q$9,MATCH(D119,Customers!$P$7:$P$9,1))</f>
        <v>2</v>
      </c>
      <c r="G119" s="11" t="n">
        <f aca="false">INDEX(Customers!$Q$12:$Q$14,MATCH(B119,Customers!$P$12:$P$14,1))</f>
        <v>3</v>
      </c>
      <c r="H119" s="11" t="n">
        <f aca="false">INDEX(Customers!$Q$17:$Q$19,MATCH(E119,Customers!$P$17:$P$19,1))</f>
        <v>3</v>
      </c>
      <c r="I119" s="11" t="n">
        <f aca="false">F119+G119+H119</f>
        <v>8</v>
      </c>
      <c r="J119" s="11" t="str">
        <f aca="false">INDEX(Customers!$Q$22:$Q$25,MATCH(I119,Customers!$P$22:$P$25,1))</f>
        <v>Champion</v>
      </c>
    </row>
    <row r="120" customFormat="false" ht="15" hidden="false" customHeight="true" outlineLevel="0" collapsed="false">
      <c r="A120" s="11" t="str">
        <f aca="false">Customers!A23</f>
        <v>C019</v>
      </c>
      <c r="B120" s="11" t="n">
        <f aca="false">COUNTIF('Sales Data'!$D$2:$D$1201,A120)</f>
        <v>10</v>
      </c>
      <c r="C120" s="92" t="n">
        <f aca="false">_xlfn.MAXIFS('Sales Data'!$B$2:$B$1201,'Sales Data'!$D$2:$D$1201,A120)</f>
        <v>46021</v>
      </c>
      <c r="D120" s="11" t="n">
        <f aca="false">Customers!$Q$4-C120</f>
        <v>1</v>
      </c>
      <c r="E120" s="31" t="n">
        <f aca="false">SUMIFS('Sales Data'!$P$2:$P$1201,'Sales Data'!$D$2:$D$1201,A120)</f>
        <v>36413</v>
      </c>
      <c r="F120" s="11" t="n">
        <f aca="false">INDEX(Customers!$Q$7:$Q$9,MATCH(D120,Customers!$P$7:$P$9,1))</f>
        <v>3</v>
      </c>
      <c r="G120" s="11" t="n">
        <f aca="false">INDEX(Customers!$Q$12:$Q$14,MATCH(B120,Customers!$P$12:$P$14,1))</f>
        <v>3</v>
      </c>
      <c r="H120" s="11" t="n">
        <f aca="false">INDEX(Customers!$Q$17:$Q$19,MATCH(E120,Customers!$P$17:$P$19,1))</f>
        <v>2</v>
      </c>
      <c r="I120" s="11" t="n">
        <f aca="false">F120+G120+H120</f>
        <v>8</v>
      </c>
      <c r="J120" s="11" t="str">
        <f aca="false">INDEX(Customers!$Q$22:$Q$25,MATCH(I120,Customers!$P$22:$P$25,1))</f>
        <v>Champion</v>
      </c>
    </row>
    <row r="121" customFormat="false" ht="15" hidden="false" customHeight="true" outlineLevel="0" collapsed="false">
      <c r="A121" s="11" t="str">
        <f aca="false">Customers!A24</f>
        <v>C020</v>
      </c>
      <c r="B121" s="11" t="n">
        <f aca="false">COUNTIF('Sales Data'!$D$2:$D$1201,A121)</f>
        <v>4</v>
      </c>
      <c r="C121" s="92" t="n">
        <f aca="false">_xlfn.MAXIFS('Sales Data'!$B$2:$B$1201,'Sales Data'!$D$2:$D$1201,A121)</f>
        <v>45960</v>
      </c>
      <c r="D121" s="11" t="n">
        <f aca="false">Customers!$Q$4-C121</f>
        <v>62</v>
      </c>
      <c r="E121" s="31" t="n">
        <f aca="false">SUMIFS('Sales Data'!$P$2:$P$1201,'Sales Data'!$D$2:$D$1201,A121)</f>
        <v>21612</v>
      </c>
      <c r="F121" s="11" t="n">
        <f aca="false">INDEX(Customers!$Q$7:$Q$9,MATCH(D121,Customers!$P$7:$P$9,1))</f>
        <v>2</v>
      </c>
      <c r="G121" s="11" t="n">
        <f aca="false">INDEX(Customers!$Q$12:$Q$14,MATCH(B121,Customers!$P$12:$P$14,1))</f>
        <v>2</v>
      </c>
      <c r="H121" s="11" t="n">
        <f aca="false">INDEX(Customers!$Q$17:$Q$19,MATCH(E121,Customers!$P$17:$P$19,1))</f>
        <v>2</v>
      </c>
      <c r="I121" s="11" t="n">
        <f aca="false">F121+G121+H121</f>
        <v>6</v>
      </c>
      <c r="J121" s="11" t="str">
        <f aca="false">INDEX(Customers!$Q$22:$Q$25,MATCH(I121,Customers!$P$22:$P$25,1))</f>
        <v>Loyal</v>
      </c>
    </row>
    <row r="122" customFormat="false" ht="15" hidden="false" customHeight="true" outlineLevel="0" collapsed="false">
      <c r="A122" s="11" t="str">
        <f aca="false">Customers!A25</f>
        <v>C021</v>
      </c>
      <c r="B122" s="11" t="n">
        <f aca="false">COUNTIF('Sales Data'!$D$2:$D$1201,A122)</f>
        <v>4</v>
      </c>
      <c r="C122" s="92" t="n">
        <f aca="false">_xlfn.MAXIFS('Sales Data'!$B$2:$B$1201,'Sales Data'!$D$2:$D$1201,A122)</f>
        <v>45993</v>
      </c>
      <c r="D122" s="11" t="n">
        <f aca="false">Customers!$Q$4-C122</f>
        <v>29</v>
      </c>
      <c r="E122" s="31" t="n">
        <f aca="false">SUMIFS('Sales Data'!$P$2:$P$1201,'Sales Data'!$D$2:$D$1201,A122)</f>
        <v>11555</v>
      </c>
      <c r="F122" s="11" t="n">
        <f aca="false">INDEX(Customers!$Q$7:$Q$9,MATCH(D122,Customers!$P$7:$P$9,1))</f>
        <v>3</v>
      </c>
      <c r="G122" s="11" t="n">
        <f aca="false">INDEX(Customers!$Q$12:$Q$14,MATCH(B122,Customers!$P$12:$P$14,1))</f>
        <v>2</v>
      </c>
      <c r="H122" s="11" t="n">
        <f aca="false">INDEX(Customers!$Q$17:$Q$19,MATCH(E122,Customers!$P$17:$P$19,1))</f>
        <v>1</v>
      </c>
      <c r="I122" s="11" t="n">
        <f aca="false">F122+G122+H122</f>
        <v>6</v>
      </c>
      <c r="J122" s="11" t="str">
        <f aca="false">INDEX(Customers!$Q$22:$Q$25,MATCH(I122,Customers!$P$22:$P$25,1))</f>
        <v>Loyal</v>
      </c>
    </row>
    <row r="123" customFormat="false" ht="15" hidden="false" customHeight="true" outlineLevel="0" collapsed="false">
      <c r="A123" s="11" t="str">
        <f aca="false">Customers!A26</f>
        <v>C022</v>
      </c>
      <c r="B123" s="11" t="n">
        <f aca="false">COUNTIF('Sales Data'!$D$2:$D$1201,A123)</f>
        <v>8</v>
      </c>
      <c r="C123" s="92" t="n">
        <f aca="false">_xlfn.MAXIFS('Sales Data'!$B$2:$B$1201,'Sales Data'!$D$2:$D$1201,A123)</f>
        <v>46016</v>
      </c>
      <c r="D123" s="11" t="n">
        <f aca="false">Customers!$Q$4-C123</f>
        <v>6</v>
      </c>
      <c r="E123" s="31" t="n">
        <f aca="false">SUMIFS('Sales Data'!$P$2:$P$1201,'Sales Data'!$D$2:$D$1201,A123)</f>
        <v>49491</v>
      </c>
      <c r="F123" s="11" t="n">
        <f aca="false">INDEX(Customers!$Q$7:$Q$9,MATCH(D123,Customers!$P$7:$P$9,1))</f>
        <v>3</v>
      </c>
      <c r="G123" s="11" t="n">
        <f aca="false">INDEX(Customers!$Q$12:$Q$14,MATCH(B123,Customers!$P$12:$P$14,1))</f>
        <v>3</v>
      </c>
      <c r="H123" s="11" t="n">
        <f aca="false">INDEX(Customers!$Q$17:$Q$19,MATCH(E123,Customers!$P$17:$P$19,1))</f>
        <v>3</v>
      </c>
      <c r="I123" s="11" t="n">
        <f aca="false">F123+G123+H123</f>
        <v>9</v>
      </c>
      <c r="J123" s="11" t="str">
        <f aca="false">INDEX(Customers!$Q$22:$Q$25,MATCH(I123,Customers!$P$22:$P$25,1))</f>
        <v>Champion</v>
      </c>
    </row>
    <row r="124" customFormat="false" ht="15" hidden="false" customHeight="true" outlineLevel="0" collapsed="false">
      <c r="A124" s="11" t="str">
        <f aca="false">Customers!A27</f>
        <v>C023</v>
      </c>
      <c r="B124" s="11" t="n">
        <f aca="false">COUNTIF('Sales Data'!$D$2:$D$1201,A124)</f>
        <v>1</v>
      </c>
      <c r="C124" s="92" t="n">
        <f aca="false">_xlfn.MAXIFS('Sales Data'!$B$2:$B$1201,'Sales Data'!$D$2:$D$1201,A124)</f>
        <v>45963</v>
      </c>
      <c r="D124" s="11" t="n">
        <f aca="false">Customers!$Q$4-C124</f>
        <v>59</v>
      </c>
      <c r="E124" s="31" t="n">
        <f aca="false">SUMIFS('Sales Data'!$P$2:$P$1201,'Sales Data'!$D$2:$D$1201,A124)</f>
        <v>378</v>
      </c>
      <c r="F124" s="11" t="n">
        <f aca="false">INDEX(Customers!$Q$7:$Q$9,MATCH(D124,Customers!$P$7:$P$9,1))</f>
        <v>2</v>
      </c>
      <c r="G124" s="11" t="n">
        <f aca="false">INDEX(Customers!$Q$12:$Q$14,MATCH(B124,Customers!$P$12:$P$14,1))</f>
        <v>1</v>
      </c>
      <c r="H124" s="11" t="n">
        <f aca="false">INDEX(Customers!$Q$17:$Q$19,MATCH(E124,Customers!$P$17:$P$19,1))</f>
        <v>1</v>
      </c>
      <c r="I124" s="11" t="n">
        <f aca="false">F124+G124+H124</f>
        <v>4</v>
      </c>
      <c r="J124" s="11" t="str">
        <f aca="false">INDEX(Customers!$Q$22:$Q$25,MATCH(I124,Customers!$P$22:$P$25,1))</f>
        <v>At Risk</v>
      </c>
    </row>
    <row r="125" customFormat="false" ht="15" hidden="false" customHeight="true" outlineLevel="0" collapsed="false">
      <c r="A125" s="11" t="str">
        <f aca="false">Customers!A28</f>
        <v>C024</v>
      </c>
      <c r="B125" s="11" t="n">
        <f aca="false">COUNTIF('Sales Data'!$D$2:$D$1201,A125)</f>
        <v>11</v>
      </c>
      <c r="C125" s="92" t="n">
        <f aca="false">_xlfn.MAXIFS('Sales Data'!$B$2:$B$1201,'Sales Data'!$D$2:$D$1201,A125)</f>
        <v>46015</v>
      </c>
      <c r="D125" s="11" t="n">
        <f aca="false">Customers!$Q$4-C125</f>
        <v>7</v>
      </c>
      <c r="E125" s="31" t="n">
        <f aca="false">SUMIFS('Sales Data'!$P$2:$P$1201,'Sales Data'!$D$2:$D$1201,A125)</f>
        <v>39762</v>
      </c>
      <c r="F125" s="11" t="n">
        <f aca="false">INDEX(Customers!$Q$7:$Q$9,MATCH(D125,Customers!$P$7:$P$9,1))</f>
        <v>3</v>
      </c>
      <c r="G125" s="11" t="n">
        <f aca="false">INDEX(Customers!$Q$12:$Q$14,MATCH(B125,Customers!$P$12:$P$14,1))</f>
        <v>3</v>
      </c>
      <c r="H125" s="11" t="n">
        <f aca="false">INDEX(Customers!$Q$17:$Q$19,MATCH(E125,Customers!$P$17:$P$19,1))</f>
        <v>2</v>
      </c>
      <c r="I125" s="11" t="n">
        <f aca="false">F125+G125+H125</f>
        <v>8</v>
      </c>
      <c r="J125" s="11" t="str">
        <f aca="false">INDEX(Customers!$Q$22:$Q$25,MATCH(I125,Customers!$P$22:$P$25,1))</f>
        <v>Champion</v>
      </c>
    </row>
    <row r="126" customFormat="false" ht="15" hidden="false" customHeight="true" outlineLevel="0" collapsed="false">
      <c r="A126" s="11" t="str">
        <f aca="false">Customers!A29</f>
        <v>C025</v>
      </c>
      <c r="B126" s="11" t="n">
        <f aca="false">COUNTIF('Sales Data'!$D$2:$D$1201,A126)</f>
        <v>11</v>
      </c>
      <c r="C126" s="92" t="n">
        <f aca="false">_xlfn.MAXIFS('Sales Data'!$B$2:$B$1201,'Sales Data'!$D$2:$D$1201,A126)</f>
        <v>45982</v>
      </c>
      <c r="D126" s="11" t="n">
        <f aca="false">Customers!$Q$4-C126</f>
        <v>40</v>
      </c>
      <c r="E126" s="31" t="n">
        <f aca="false">SUMIFS('Sales Data'!$P$2:$P$1201,'Sales Data'!$D$2:$D$1201,A126)</f>
        <v>77585</v>
      </c>
      <c r="F126" s="11" t="n">
        <f aca="false">INDEX(Customers!$Q$7:$Q$9,MATCH(D126,Customers!$P$7:$P$9,1))</f>
        <v>3</v>
      </c>
      <c r="G126" s="11" t="n">
        <f aca="false">INDEX(Customers!$Q$12:$Q$14,MATCH(B126,Customers!$P$12:$P$14,1))</f>
        <v>3</v>
      </c>
      <c r="H126" s="11" t="n">
        <f aca="false">INDEX(Customers!$Q$17:$Q$19,MATCH(E126,Customers!$P$17:$P$19,1))</f>
        <v>3</v>
      </c>
      <c r="I126" s="11" t="n">
        <f aca="false">F126+G126+H126</f>
        <v>9</v>
      </c>
      <c r="J126" s="11" t="str">
        <f aca="false">INDEX(Customers!$Q$22:$Q$25,MATCH(I126,Customers!$P$22:$P$25,1))</f>
        <v>Champion</v>
      </c>
    </row>
    <row r="127" customFormat="false" ht="15" hidden="false" customHeight="true" outlineLevel="0" collapsed="false">
      <c r="A127" s="11" t="str">
        <f aca="false">Customers!A30</f>
        <v>C026</v>
      </c>
      <c r="B127" s="11" t="n">
        <f aca="false">COUNTIF('Sales Data'!$D$2:$D$1201,A127)</f>
        <v>2</v>
      </c>
      <c r="C127" s="92" t="n">
        <f aca="false">_xlfn.MAXIFS('Sales Data'!$B$2:$B$1201,'Sales Data'!$D$2:$D$1201,A127)</f>
        <v>45980</v>
      </c>
      <c r="D127" s="11" t="n">
        <f aca="false">Customers!$Q$4-C127</f>
        <v>42</v>
      </c>
      <c r="E127" s="31" t="n">
        <f aca="false">SUMIFS('Sales Data'!$P$2:$P$1201,'Sales Data'!$D$2:$D$1201,A127)</f>
        <v>29095</v>
      </c>
      <c r="F127" s="11" t="n">
        <f aca="false">INDEX(Customers!$Q$7:$Q$9,MATCH(D127,Customers!$P$7:$P$9,1))</f>
        <v>3</v>
      </c>
      <c r="G127" s="11" t="n">
        <f aca="false">INDEX(Customers!$Q$12:$Q$14,MATCH(B127,Customers!$P$12:$P$14,1))</f>
        <v>1</v>
      </c>
      <c r="H127" s="11" t="n">
        <f aca="false">INDEX(Customers!$Q$17:$Q$19,MATCH(E127,Customers!$P$17:$P$19,1))</f>
        <v>2</v>
      </c>
      <c r="I127" s="11" t="n">
        <f aca="false">F127+G127+H127</f>
        <v>6</v>
      </c>
      <c r="J127" s="11" t="str">
        <f aca="false">INDEX(Customers!$Q$22:$Q$25,MATCH(I127,Customers!$P$22:$P$25,1))</f>
        <v>Loyal</v>
      </c>
    </row>
    <row r="128" customFormat="false" ht="15" hidden="false" customHeight="true" outlineLevel="0" collapsed="false">
      <c r="A128" s="11" t="str">
        <f aca="false">Customers!A31</f>
        <v>C027</v>
      </c>
      <c r="B128" s="11" t="n">
        <f aca="false">COUNTIF('Sales Data'!$D$2:$D$1201,A128)</f>
        <v>4</v>
      </c>
      <c r="C128" s="92" t="n">
        <f aca="false">_xlfn.MAXIFS('Sales Data'!$B$2:$B$1201,'Sales Data'!$D$2:$D$1201,A128)</f>
        <v>45971</v>
      </c>
      <c r="D128" s="11" t="n">
        <f aca="false">Customers!$Q$4-C128</f>
        <v>51</v>
      </c>
      <c r="E128" s="31" t="n">
        <f aca="false">SUMIFS('Sales Data'!$P$2:$P$1201,'Sales Data'!$D$2:$D$1201,A128)</f>
        <v>16734</v>
      </c>
      <c r="F128" s="11" t="n">
        <f aca="false">INDEX(Customers!$Q$7:$Q$9,MATCH(D128,Customers!$P$7:$P$9,1))</f>
        <v>2</v>
      </c>
      <c r="G128" s="11" t="n">
        <f aca="false">INDEX(Customers!$Q$12:$Q$14,MATCH(B128,Customers!$P$12:$P$14,1))</f>
        <v>2</v>
      </c>
      <c r="H128" s="11" t="n">
        <f aca="false">INDEX(Customers!$Q$17:$Q$19,MATCH(E128,Customers!$P$17:$P$19,1))</f>
        <v>2</v>
      </c>
      <c r="I128" s="11" t="n">
        <f aca="false">F128+G128+H128</f>
        <v>6</v>
      </c>
      <c r="J128" s="11" t="str">
        <f aca="false">INDEX(Customers!$Q$22:$Q$25,MATCH(I128,Customers!$P$22:$P$25,1))</f>
        <v>Loyal</v>
      </c>
    </row>
    <row r="129" customFormat="false" ht="15" hidden="false" customHeight="true" outlineLevel="0" collapsed="false">
      <c r="A129" s="11" t="str">
        <f aca="false">Customers!A32</f>
        <v>C028</v>
      </c>
      <c r="B129" s="11" t="n">
        <f aca="false">COUNTIF('Sales Data'!$D$2:$D$1201,A129)</f>
        <v>3</v>
      </c>
      <c r="C129" s="92" t="n">
        <f aca="false">_xlfn.MAXIFS('Sales Data'!$B$2:$B$1201,'Sales Data'!$D$2:$D$1201,A129)</f>
        <v>45964</v>
      </c>
      <c r="D129" s="11" t="n">
        <f aca="false">Customers!$Q$4-C129</f>
        <v>58</v>
      </c>
      <c r="E129" s="31" t="n">
        <f aca="false">SUMIFS('Sales Data'!$P$2:$P$1201,'Sales Data'!$D$2:$D$1201,A129)</f>
        <v>24946</v>
      </c>
      <c r="F129" s="11" t="n">
        <f aca="false">INDEX(Customers!$Q$7:$Q$9,MATCH(D129,Customers!$P$7:$P$9,1))</f>
        <v>2</v>
      </c>
      <c r="G129" s="11" t="n">
        <f aca="false">INDEX(Customers!$Q$12:$Q$14,MATCH(B129,Customers!$P$12:$P$14,1))</f>
        <v>2</v>
      </c>
      <c r="H129" s="11" t="n">
        <f aca="false">INDEX(Customers!$Q$17:$Q$19,MATCH(E129,Customers!$P$17:$P$19,1))</f>
        <v>2</v>
      </c>
      <c r="I129" s="11" t="n">
        <f aca="false">F129+G129+H129</f>
        <v>6</v>
      </c>
      <c r="J129" s="11" t="str">
        <f aca="false">INDEX(Customers!$Q$22:$Q$25,MATCH(I129,Customers!$P$22:$P$25,1))</f>
        <v>Loyal</v>
      </c>
    </row>
    <row r="130" customFormat="false" ht="15" hidden="false" customHeight="true" outlineLevel="0" collapsed="false">
      <c r="A130" s="11" t="str">
        <f aca="false">Customers!A33</f>
        <v>C029</v>
      </c>
      <c r="B130" s="11" t="n">
        <f aca="false">COUNTIF('Sales Data'!$D$2:$D$1201,A130)</f>
        <v>3</v>
      </c>
      <c r="C130" s="92" t="n">
        <f aca="false">_xlfn.MAXIFS('Sales Data'!$B$2:$B$1201,'Sales Data'!$D$2:$D$1201,A130)</f>
        <v>45966</v>
      </c>
      <c r="D130" s="11" t="n">
        <f aca="false">Customers!$Q$4-C130</f>
        <v>56</v>
      </c>
      <c r="E130" s="31" t="n">
        <f aca="false">SUMIFS('Sales Data'!$P$2:$P$1201,'Sales Data'!$D$2:$D$1201,A130)</f>
        <v>18195</v>
      </c>
      <c r="F130" s="11" t="n">
        <f aca="false">INDEX(Customers!$Q$7:$Q$9,MATCH(D130,Customers!$P$7:$P$9,1))</f>
        <v>2</v>
      </c>
      <c r="G130" s="11" t="n">
        <f aca="false">INDEX(Customers!$Q$12:$Q$14,MATCH(B130,Customers!$P$12:$P$14,1))</f>
        <v>2</v>
      </c>
      <c r="H130" s="11" t="n">
        <f aca="false">INDEX(Customers!$Q$17:$Q$19,MATCH(E130,Customers!$P$17:$P$19,1))</f>
        <v>2</v>
      </c>
      <c r="I130" s="11" t="n">
        <f aca="false">F130+G130+H130</f>
        <v>6</v>
      </c>
      <c r="J130" s="11" t="str">
        <f aca="false">INDEX(Customers!$Q$22:$Q$25,MATCH(I130,Customers!$P$22:$P$25,1))</f>
        <v>Loyal</v>
      </c>
    </row>
    <row r="131" customFormat="false" ht="15" hidden="false" customHeight="true" outlineLevel="0" collapsed="false">
      <c r="A131" s="11" t="str">
        <f aca="false">Customers!A34</f>
        <v>C030</v>
      </c>
      <c r="B131" s="11" t="n">
        <f aca="false">COUNTIF('Sales Data'!$D$2:$D$1201,A131)</f>
        <v>5</v>
      </c>
      <c r="C131" s="92" t="n">
        <f aca="false">_xlfn.MAXIFS('Sales Data'!$B$2:$B$1201,'Sales Data'!$D$2:$D$1201,A131)</f>
        <v>45957</v>
      </c>
      <c r="D131" s="11" t="n">
        <f aca="false">Customers!$Q$4-C131</f>
        <v>65</v>
      </c>
      <c r="E131" s="31" t="n">
        <f aca="false">SUMIFS('Sales Data'!$P$2:$P$1201,'Sales Data'!$D$2:$D$1201,A131)</f>
        <v>24669</v>
      </c>
      <c r="F131" s="11" t="n">
        <f aca="false">INDEX(Customers!$Q$7:$Q$9,MATCH(D131,Customers!$P$7:$P$9,1))</f>
        <v>2</v>
      </c>
      <c r="G131" s="11" t="n">
        <f aca="false">INDEX(Customers!$Q$12:$Q$14,MATCH(B131,Customers!$P$12:$P$14,1))</f>
        <v>2</v>
      </c>
      <c r="H131" s="11" t="n">
        <f aca="false">INDEX(Customers!$Q$17:$Q$19,MATCH(E131,Customers!$P$17:$P$19,1))</f>
        <v>2</v>
      </c>
      <c r="I131" s="11" t="n">
        <f aca="false">F131+G131+H131</f>
        <v>6</v>
      </c>
      <c r="J131" s="11" t="str">
        <f aca="false">INDEX(Customers!$Q$22:$Q$25,MATCH(I131,Customers!$P$22:$P$25,1))</f>
        <v>Loyal</v>
      </c>
    </row>
    <row r="132" customFormat="false" ht="15" hidden="false" customHeight="true" outlineLevel="0" collapsed="false">
      <c r="A132" s="11" t="str">
        <f aca="false">Customers!A35</f>
        <v>C031</v>
      </c>
      <c r="B132" s="11" t="n">
        <f aca="false">COUNTIF('Sales Data'!$D$2:$D$1201,A132)</f>
        <v>6</v>
      </c>
      <c r="C132" s="92" t="n">
        <f aca="false">_xlfn.MAXIFS('Sales Data'!$B$2:$B$1201,'Sales Data'!$D$2:$D$1201,A132)</f>
        <v>45886</v>
      </c>
      <c r="D132" s="11" t="n">
        <f aca="false">Customers!$Q$4-C132</f>
        <v>136</v>
      </c>
      <c r="E132" s="31" t="n">
        <f aca="false">SUMIFS('Sales Data'!$P$2:$P$1201,'Sales Data'!$D$2:$D$1201,A132)</f>
        <v>26370</v>
      </c>
      <c r="F132" s="11" t="n">
        <f aca="false">INDEX(Customers!$Q$7:$Q$9,MATCH(D132,Customers!$P$7:$P$9,1))</f>
        <v>2</v>
      </c>
      <c r="G132" s="11" t="n">
        <f aca="false">INDEX(Customers!$Q$12:$Q$14,MATCH(B132,Customers!$P$12:$P$14,1))</f>
        <v>2</v>
      </c>
      <c r="H132" s="11" t="n">
        <f aca="false">INDEX(Customers!$Q$17:$Q$19,MATCH(E132,Customers!$P$17:$P$19,1))</f>
        <v>2</v>
      </c>
      <c r="I132" s="11" t="n">
        <f aca="false">F132+G132+H132</f>
        <v>6</v>
      </c>
      <c r="J132" s="11" t="str">
        <f aca="false">INDEX(Customers!$Q$22:$Q$25,MATCH(I132,Customers!$P$22:$P$25,1))</f>
        <v>Loyal</v>
      </c>
    </row>
    <row r="133" customFormat="false" ht="15" hidden="false" customHeight="true" outlineLevel="0" collapsed="false">
      <c r="A133" s="11" t="str">
        <f aca="false">Customers!A36</f>
        <v>C032</v>
      </c>
      <c r="B133" s="11" t="n">
        <f aca="false">COUNTIF('Sales Data'!$D$2:$D$1201,A133)</f>
        <v>3</v>
      </c>
      <c r="C133" s="92" t="n">
        <f aca="false">_xlfn.MAXIFS('Sales Data'!$B$2:$B$1201,'Sales Data'!$D$2:$D$1201,A133)</f>
        <v>45983</v>
      </c>
      <c r="D133" s="11" t="n">
        <f aca="false">Customers!$Q$4-C133</f>
        <v>39</v>
      </c>
      <c r="E133" s="31" t="n">
        <f aca="false">SUMIFS('Sales Data'!$P$2:$P$1201,'Sales Data'!$D$2:$D$1201,A133)</f>
        <v>2026</v>
      </c>
      <c r="F133" s="11" t="n">
        <f aca="false">INDEX(Customers!$Q$7:$Q$9,MATCH(D133,Customers!$P$7:$P$9,1))</f>
        <v>3</v>
      </c>
      <c r="G133" s="11" t="n">
        <f aca="false">INDEX(Customers!$Q$12:$Q$14,MATCH(B133,Customers!$P$12:$P$14,1))</f>
        <v>2</v>
      </c>
      <c r="H133" s="11" t="n">
        <f aca="false">INDEX(Customers!$Q$17:$Q$19,MATCH(E133,Customers!$P$17:$P$19,1))</f>
        <v>1</v>
      </c>
      <c r="I133" s="11" t="n">
        <f aca="false">F133+G133+H133</f>
        <v>6</v>
      </c>
      <c r="J133" s="11" t="str">
        <f aca="false">INDEX(Customers!$Q$22:$Q$25,MATCH(I133,Customers!$P$22:$P$25,1))</f>
        <v>Loyal</v>
      </c>
    </row>
    <row r="134" customFormat="false" ht="15" hidden="false" customHeight="true" outlineLevel="0" collapsed="false">
      <c r="A134" s="11" t="str">
        <f aca="false">Customers!A37</f>
        <v>C033</v>
      </c>
      <c r="B134" s="11" t="n">
        <f aca="false">COUNTIF('Sales Data'!$D$2:$D$1201,A134)</f>
        <v>2</v>
      </c>
      <c r="C134" s="92" t="n">
        <f aca="false">_xlfn.MAXIFS('Sales Data'!$B$2:$B$1201,'Sales Data'!$D$2:$D$1201,A134)</f>
        <v>45976</v>
      </c>
      <c r="D134" s="11" t="n">
        <f aca="false">Customers!$Q$4-C134</f>
        <v>46</v>
      </c>
      <c r="E134" s="31" t="n">
        <f aca="false">SUMIFS('Sales Data'!$P$2:$P$1201,'Sales Data'!$D$2:$D$1201,A134)</f>
        <v>11998</v>
      </c>
      <c r="F134" s="11" t="n">
        <f aca="false">INDEX(Customers!$Q$7:$Q$9,MATCH(D134,Customers!$P$7:$P$9,1))</f>
        <v>2</v>
      </c>
      <c r="G134" s="11" t="n">
        <f aca="false">INDEX(Customers!$Q$12:$Q$14,MATCH(B134,Customers!$P$12:$P$14,1))</f>
        <v>1</v>
      </c>
      <c r="H134" s="11" t="n">
        <f aca="false">INDEX(Customers!$Q$17:$Q$19,MATCH(E134,Customers!$P$17:$P$19,1))</f>
        <v>1</v>
      </c>
      <c r="I134" s="11" t="n">
        <f aca="false">F134+G134+H134</f>
        <v>4</v>
      </c>
      <c r="J134" s="11" t="str">
        <f aca="false">INDEX(Customers!$Q$22:$Q$25,MATCH(I134,Customers!$P$22:$P$25,1))</f>
        <v>At Risk</v>
      </c>
    </row>
    <row r="135" customFormat="false" ht="15" hidden="false" customHeight="true" outlineLevel="0" collapsed="false">
      <c r="A135" s="11" t="str">
        <f aca="false">Customers!A38</f>
        <v>C034</v>
      </c>
      <c r="B135" s="11" t="n">
        <f aca="false">COUNTIF('Sales Data'!$D$2:$D$1201,A135)</f>
        <v>2</v>
      </c>
      <c r="C135" s="92" t="n">
        <f aca="false">_xlfn.MAXIFS('Sales Data'!$B$2:$B$1201,'Sales Data'!$D$2:$D$1201,A135)</f>
        <v>45672</v>
      </c>
      <c r="D135" s="11" t="n">
        <f aca="false">Customers!$Q$4-C135</f>
        <v>350</v>
      </c>
      <c r="E135" s="31" t="n">
        <f aca="false">SUMIFS('Sales Data'!$P$2:$P$1201,'Sales Data'!$D$2:$D$1201,A135)</f>
        <v>5792</v>
      </c>
      <c r="F135" s="11" t="n">
        <f aca="false">INDEX(Customers!$Q$7:$Q$9,MATCH(D135,Customers!$P$7:$P$9,1))</f>
        <v>1</v>
      </c>
      <c r="G135" s="11" t="n">
        <f aca="false">INDEX(Customers!$Q$12:$Q$14,MATCH(B135,Customers!$P$12:$P$14,1))</f>
        <v>1</v>
      </c>
      <c r="H135" s="11" t="n">
        <f aca="false">INDEX(Customers!$Q$17:$Q$19,MATCH(E135,Customers!$P$17:$P$19,1))</f>
        <v>1</v>
      </c>
      <c r="I135" s="11" t="n">
        <f aca="false">F135+G135+H135</f>
        <v>3</v>
      </c>
      <c r="J135" s="11" t="str">
        <f aca="false">INDEX(Customers!$Q$22:$Q$25,MATCH(I135,Customers!$P$22:$P$25,1))</f>
        <v>Lost</v>
      </c>
    </row>
    <row r="136" customFormat="false" ht="15" hidden="false" customHeight="true" outlineLevel="0" collapsed="false">
      <c r="A136" s="11" t="str">
        <f aca="false">Customers!A39</f>
        <v>C035</v>
      </c>
      <c r="B136" s="11" t="n">
        <f aca="false">COUNTIF('Sales Data'!$D$2:$D$1201,A136)</f>
        <v>8</v>
      </c>
      <c r="C136" s="92" t="n">
        <f aca="false">_xlfn.MAXIFS('Sales Data'!$B$2:$B$1201,'Sales Data'!$D$2:$D$1201,A136)</f>
        <v>45961</v>
      </c>
      <c r="D136" s="11" t="n">
        <f aca="false">Customers!$Q$4-C136</f>
        <v>61</v>
      </c>
      <c r="E136" s="31" t="n">
        <f aca="false">SUMIFS('Sales Data'!$P$2:$P$1201,'Sales Data'!$D$2:$D$1201,A136)</f>
        <v>29663</v>
      </c>
      <c r="F136" s="11" t="n">
        <f aca="false">INDEX(Customers!$Q$7:$Q$9,MATCH(D136,Customers!$P$7:$P$9,1))</f>
        <v>2</v>
      </c>
      <c r="G136" s="11" t="n">
        <f aca="false">INDEX(Customers!$Q$12:$Q$14,MATCH(B136,Customers!$P$12:$P$14,1))</f>
        <v>3</v>
      </c>
      <c r="H136" s="11" t="n">
        <f aca="false">INDEX(Customers!$Q$17:$Q$19,MATCH(E136,Customers!$P$17:$P$19,1))</f>
        <v>2</v>
      </c>
      <c r="I136" s="11" t="n">
        <f aca="false">F136+G136+H136</f>
        <v>7</v>
      </c>
      <c r="J136" s="11" t="str">
        <f aca="false">INDEX(Customers!$Q$22:$Q$25,MATCH(I136,Customers!$P$22:$P$25,1))</f>
        <v>Loyal</v>
      </c>
    </row>
    <row r="137" customFormat="false" ht="15" hidden="false" customHeight="true" outlineLevel="0" collapsed="false">
      <c r="A137" s="11" t="str">
        <f aca="false">Customers!A40</f>
        <v>C036</v>
      </c>
      <c r="B137" s="11" t="n">
        <f aca="false">COUNTIF('Sales Data'!$D$2:$D$1201,A137)</f>
        <v>6</v>
      </c>
      <c r="C137" s="92" t="n">
        <f aca="false">_xlfn.MAXIFS('Sales Data'!$B$2:$B$1201,'Sales Data'!$D$2:$D$1201,A137)</f>
        <v>45889</v>
      </c>
      <c r="D137" s="11" t="n">
        <f aca="false">Customers!$Q$4-C137</f>
        <v>133</v>
      </c>
      <c r="E137" s="31" t="n">
        <f aca="false">SUMIFS('Sales Data'!$P$2:$P$1201,'Sales Data'!$D$2:$D$1201,A137)</f>
        <v>21385</v>
      </c>
      <c r="F137" s="11" t="n">
        <f aca="false">INDEX(Customers!$Q$7:$Q$9,MATCH(D137,Customers!$P$7:$P$9,1))</f>
        <v>2</v>
      </c>
      <c r="G137" s="11" t="n">
        <f aca="false">INDEX(Customers!$Q$12:$Q$14,MATCH(B137,Customers!$P$12:$P$14,1))</f>
        <v>2</v>
      </c>
      <c r="H137" s="11" t="n">
        <f aca="false">INDEX(Customers!$Q$17:$Q$19,MATCH(E137,Customers!$P$17:$P$19,1))</f>
        <v>2</v>
      </c>
      <c r="I137" s="11" t="n">
        <f aca="false">F137+G137+H137</f>
        <v>6</v>
      </c>
      <c r="J137" s="11" t="str">
        <f aca="false">INDEX(Customers!$Q$22:$Q$25,MATCH(I137,Customers!$P$22:$P$25,1))</f>
        <v>Loyal</v>
      </c>
    </row>
    <row r="138" customFormat="false" ht="15" hidden="false" customHeight="true" outlineLevel="0" collapsed="false">
      <c r="A138" s="11" t="str">
        <f aca="false">Customers!A41</f>
        <v>C037</v>
      </c>
      <c r="B138" s="11" t="n">
        <f aca="false">COUNTIF('Sales Data'!$D$2:$D$1201,A138)</f>
        <v>4</v>
      </c>
      <c r="C138" s="92" t="n">
        <f aca="false">_xlfn.MAXIFS('Sales Data'!$B$2:$B$1201,'Sales Data'!$D$2:$D$1201,A138)</f>
        <v>45987</v>
      </c>
      <c r="D138" s="11" t="n">
        <f aca="false">Customers!$Q$4-C138</f>
        <v>35</v>
      </c>
      <c r="E138" s="31" t="n">
        <f aca="false">SUMIFS('Sales Data'!$P$2:$P$1201,'Sales Data'!$D$2:$D$1201,A138)</f>
        <v>16775</v>
      </c>
      <c r="F138" s="11" t="n">
        <f aca="false">INDEX(Customers!$Q$7:$Q$9,MATCH(D138,Customers!$P$7:$P$9,1))</f>
        <v>3</v>
      </c>
      <c r="G138" s="11" t="n">
        <f aca="false">INDEX(Customers!$Q$12:$Q$14,MATCH(B138,Customers!$P$12:$P$14,1))</f>
        <v>2</v>
      </c>
      <c r="H138" s="11" t="n">
        <f aca="false">INDEX(Customers!$Q$17:$Q$19,MATCH(E138,Customers!$P$17:$P$19,1))</f>
        <v>2</v>
      </c>
      <c r="I138" s="11" t="n">
        <f aca="false">F138+G138+H138</f>
        <v>7</v>
      </c>
      <c r="J138" s="11" t="str">
        <f aca="false">INDEX(Customers!$Q$22:$Q$25,MATCH(I138,Customers!$P$22:$P$25,1))</f>
        <v>Loyal</v>
      </c>
    </row>
    <row r="139" customFormat="false" ht="15" hidden="false" customHeight="true" outlineLevel="0" collapsed="false">
      <c r="A139" s="11" t="str">
        <f aca="false">Customers!A42</f>
        <v>C038</v>
      </c>
      <c r="B139" s="11" t="n">
        <f aca="false">COUNTIF('Sales Data'!$D$2:$D$1201,A139)</f>
        <v>2</v>
      </c>
      <c r="C139" s="92" t="n">
        <f aca="false">_xlfn.MAXIFS('Sales Data'!$B$2:$B$1201,'Sales Data'!$D$2:$D$1201,A139)</f>
        <v>45998</v>
      </c>
      <c r="D139" s="11" t="n">
        <f aca="false">Customers!$Q$4-C139</f>
        <v>24</v>
      </c>
      <c r="E139" s="31" t="n">
        <f aca="false">SUMIFS('Sales Data'!$P$2:$P$1201,'Sales Data'!$D$2:$D$1201,A139)</f>
        <v>4094</v>
      </c>
      <c r="F139" s="11" t="n">
        <f aca="false">INDEX(Customers!$Q$7:$Q$9,MATCH(D139,Customers!$P$7:$P$9,1))</f>
        <v>3</v>
      </c>
      <c r="G139" s="11" t="n">
        <f aca="false">INDEX(Customers!$Q$12:$Q$14,MATCH(B139,Customers!$P$12:$P$14,1))</f>
        <v>1</v>
      </c>
      <c r="H139" s="11" t="n">
        <f aca="false">INDEX(Customers!$Q$17:$Q$19,MATCH(E139,Customers!$P$17:$P$19,1))</f>
        <v>1</v>
      </c>
      <c r="I139" s="11" t="n">
        <f aca="false">F139+G139+H139</f>
        <v>5</v>
      </c>
      <c r="J139" s="11" t="str">
        <f aca="false">INDEX(Customers!$Q$22:$Q$25,MATCH(I139,Customers!$P$22:$P$25,1))</f>
        <v>At Risk</v>
      </c>
    </row>
    <row r="140" customFormat="false" ht="15" hidden="false" customHeight="true" outlineLevel="0" collapsed="false">
      <c r="A140" s="11" t="str">
        <f aca="false">Customers!A43</f>
        <v>C039</v>
      </c>
      <c r="B140" s="11" t="n">
        <f aca="false">COUNTIF('Sales Data'!$D$2:$D$1201,A140)</f>
        <v>2</v>
      </c>
      <c r="C140" s="92" t="n">
        <f aca="false">_xlfn.MAXIFS('Sales Data'!$B$2:$B$1201,'Sales Data'!$D$2:$D$1201,A140)</f>
        <v>46001</v>
      </c>
      <c r="D140" s="11" t="n">
        <f aca="false">Customers!$Q$4-C140</f>
        <v>21</v>
      </c>
      <c r="E140" s="31" t="n">
        <f aca="false">SUMIFS('Sales Data'!$P$2:$P$1201,'Sales Data'!$D$2:$D$1201,A140)</f>
        <v>12595</v>
      </c>
      <c r="F140" s="11" t="n">
        <f aca="false">INDEX(Customers!$Q$7:$Q$9,MATCH(D140,Customers!$P$7:$P$9,1))</f>
        <v>3</v>
      </c>
      <c r="G140" s="11" t="n">
        <f aca="false">INDEX(Customers!$Q$12:$Q$14,MATCH(B140,Customers!$P$12:$P$14,1))</f>
        <v>1</v>
      </c>
      <c r="H140" s="11" t="n">
        <f aca="false">INDEX(Customers!$Q$17:$Q$19,MATCH(E140,Customers!$P$17:$P$19,1))</f>
        <v>2</v>
      </c>
      <c r="I140" s="11" t="n">
        <f aca="false">F140+G140+H140</f>
        <v>6</v>
      </c>
      <c r="J140" s="11" t="str">
        <f aca="false">INDEX(Customers!$Q$22:$Q$25,MATCH(I140,Customers!$P$22:$P$25,1))</f>
        <v>Loyal</v>
      </c>
    </row>
    <row r="141" customFormat="false" ht="15" hidden="false" customHeight="true" outlineLevel="0" collapsed="false">
      <c r="A141" s="11" t="str">
        <f aca="false">Customers!A44</f>
        <v>C040</v>
      </c>
      <c r="B141" s="11" t="n">
        <f aca="false">COUNTIF('Sales Data'!$D$2:$D$1201,A141)</f>
        <v>4</v>
      </c>
      <c r="C141" s="92" t="n">
        <f aca="false">_xlfn.MAXIFS('Sales Data'!$B$2:$B$1201,'Sales Data'!$D$2:$D$1201,A141)</f>
        <v>46011</v>
      </c>
      <c r="D141" s="11" t="n">
        <f aca="false">Customers!$Q$4-C141</f>
        <v>11</v>
      </c>
      <c r="E141" s="31" t="n">
        <f aca="false">SUMIFS('Sales Data'!$P$2:$P$1201,'Sales Data'!$D$2:$D$1201,A141)</f>
        <v>12897</v>
      </c>
      <c r="F141" s="11" t="n">
        <f aca="false">INDEX(Customers!$Q$7:$Q$9,MATCH(D141,Customers!$P$7:$P$9,1))</f>
        <v>3</v>
      </c>
      <c r="G141" s="11" t="n">
        <f aca="false">INDEX(Customers!$Q$12:$Q$14,MATCH(B141,Customers!$P$12:$P$14,1))</f>
        <v>2</v>
      </c>
      <c r="H141" s="11" t="n">
        <f aca="false">INDEX(Customers!$Q$17:$Q$19,MATCH(E141,Customers!$P$17:$P$19,1))</f>
        <v>2</v>
      </c>
      <c r="I141" s="11" t="n">
        <f aca="false">F141+G141+H141</f>
        <v>7</v>
      </c>
      <c r="J141" s="11" t="str">
        <f aca="false">INDEX(Customers!$Q$22:$Q$25,MATCH(I141,Customers!$P$22:$P$25,1))</f>
        <v>Loyal</v>
      </c>
    </row>
    <row r="142" customFormat="false" ht="15" hidden="false" customHeight="true" outlineLevel="0" collapsed="false">
      <c r="A142" s="11" t="str">
        <f aca="false">Customers!A45</f>
        <v>C041</v>
      </c>
      <c r="B142" s="11" t="n">
        <f aca="false">COUNTIF('Sales Data'!$D$2:$D$1201,A142)</f>
        <v>14</v>
      </c>
      <c r="C142" s="92" t="n">
        <f aca="false">_xlfn.MAXIFS('Sales Data'!$B$2:$B$1201,'Sales Data'!$D$2:$D$1201,A142)</f>
        <v>45985</v>
      </c>
      <c r="D142" s="11" t="n">
        <f aca="false">Customers!$Q$4-C142</f>
        <v>37</v>
      </c>
      <c r="E142" s="31" t="n">
        <f aca="false">SUMIFS('Sales Data'!$P$2:$P$1201,'Sales Data'!$D$2:$D$1201,A142)</f>
        <v>70969</v>
      </c>
      <c r="F142" s="11" t="n">
        <f aca="false">INDEX(Customers!$Q$7:$Q$9,MATCH(D142,Customers!$P$7:$P$9,1))</f>
        <v>3</v>
      </c>
      <c r="G142" s="11" t="n">
        <f aca="false">INDEX(Customers!$Q$12:$Q$14,MATCH(B142,Customers!$P$12:$P$14,1))</f>
        <v>3</v>
      </c>
      <c r="H142" s="11" t="n">
        <f aca="false">INDEX(Customers!$Q$17:$Q$19,MATCH(E142,Customers!$P$17:$P$19,1))</f>
        <v>3</v>
      </c>
      <c r="I142" s="11" t="n">
        <f aca="false">F142+G142+H142</f>
        <v>9</v>
      </c>
      <c r="J142" s="11" t="str">
        <f aca="false">INDEX(Customers!$Q$22:$Q$25,MATCH(I142,Customers!$P$22:$P$25,1))</f>
        <v>Champion</v>
      </c>
    </row>
    <row r="143" customFormat="false" ht="15" hidden="false" customHeight="true" outlineLevel="0" collapsed="false">
      <c r="A143" s="11" t="str">
        <f aca="false">Customers!A46</f>
        <v>C042</v>
      </c>
      <c r="B143" s="11" t="n">
        <f aca="false">COUNTIF('Sales Data'!$D$2:$D$1201,A143)</f>
        <v>3</v>
      </c>
      <c r="C143" s="92" t="n">
        <f aca="false">_xlfn.MAXIFS('Sales Data'!$B$2:$B$1201,'Sales Data'!$D$2:$D$1201,A143)</f>
        <v>46021</v>
      </c>
      <c r="D143" s="11" t="n">
        <f aca="false">Customers!$Q$4-C143</f>
        <v>1</v>
      </c>
      <c r="E143" s="31" t="n">
        <f aca="false">SUMIFS('Sales Data'!$P$2:$P$1201,'Sales Data'!$D$2:$D$1201,A143)</f>
        <v>4512</v>
      </c>
      <c r="F143" s="11" t="n">
        <f aca="false">INDEX(Customers!$Q$7:$Q$9,MATCH(D143,Customers!$P$7:$P$9,1))</f>
        <v>3</v>
      </c>
      <c r="G143" s="11" t="n">
        <f aca="false">INDEX(Customers!$Q$12:$Q$14,MATCH(B143,Customers!$P$12:$P$14,1))</f>
        <v>2</v>
      </c>
      <c r="H143" s="11" t="n">
        <f aca="false">INDEX(Customers!$Q$17:$Q$19,MATCH(E143,Customers!$P$17:$P$19,1))</f>
        <v>1</v>
      </c>
      <c r="I143" s="11" t="n">
        <f aca="false">F143+G143+H143</f>
        <v>6</v>
      </c>
      <c r="J143" s="11" t="str">
        <f aca="false">INDEX(Customers!$Q$22:$Q$25,MATCH(I143,Customers!$P$22:$P$25,1))</f>
        <v>Loyal</v>
      </c>
    </row>
    <row r="144" customFormat="false" ht="15" hidden="false" customHeight="true" outlineLevel="0" collapsed="false">
      <c r="A144" s="11" t="str">
        <f aca="false">Customers!A47</f>
        <v>C043</v>
      </c>
      <c r="B144" s="11" t="n">
        <f aca="false">COUNTIF('Sales Data'!$D$2:$D$1201,A144)</f>
        <v>5</v>
      </c>
      <c r="C144" s="92" t="n">
        <f aca="false">_xlfn.MAXIFS('Sales Data'!$B$2:$B$1201,'Sales Data'!$D$2:$D$1201,A144)</f>
        <v>45908</v>
      </c>
      <c r="D144" s="11" t="n">
        <f aca="false">Customers!$Q$4-C144</f>
        <v>114</v>
      </c>
      <c r="E144" s="31" t="n">
        <f aca="false">SUMIFS('Sales Data'!$P$2:$P$1201,'Sales Data'!$D$2:$D$1201,A144)</f>
        <v>19993</v>
      </c>
      <c r="F144" s="11" t="n">
        <f aca="false">INDEX(Customers!$Q$7:$Q$9,MATCH(D144,Customers!$P$7:$P$9,1))</f>
        <v>2</v>
      </c>
      <c r="G144" s="11" t="n">
        <f aca="false">INDEX(Customers!$Q$12:$Q$14,MATCH(B144,Customers!$P$12:$P$14,1))</f>
        <v>2</v>
      </c>
      <c r="H144" s="11" t="n">
        <f aca="false">INDEX(Customers!$Q$17:$Q$19,MATCH(E144,Customers!$P$17:$P$19,1))</f>
        <v>2</v>
      </c>
      <c r="I144" s="11" t="n">
        <f aca="false">F144+G144+H144</f>
        <v>6</v>
      </c>
      <c r="J144" s="11" t="str">
        <f aca="false">INDEX(Customers!$Q$22:$Q$25,MATCH(I144,Customers!$P$22:$P$25,1))</f>
        <v>Loyal</v>
      </c>
    </row>
    <row r="145" customFormat="false" ht="15" hidden="false" customHeight="true" outlineLevel="0" collapsed="false">
      <c r="A145" s="11" t="str">
        <f aca="false">Customers!A48</f>
        <v>C044</v>
      </c>
      <c r="B145" s="11" t="n">
        <f aca="false">COUNTIF('Sales Data'!$D$2:$D$1201,A145)</f>
        <v>1</v>
      </c>
      <c r="C145" s="92" t="n">
        <f aca="false">_xlfn.MAXIFS('Sales Data'!$B$2:$B$1201,'Sales Data'!$D$2:$D$1201,A145)</f>
        <v>45978</v>
      </c>
      <c r="D145" s="11" t="n">
        <f aca="false">Customers!$Q$4-C145</f>
        <v>44</v>
      </c>
      <c r="E145" s="31" t="n">
        <f aca="false">SUMIFS('Sales Data'!$P$2:$P$1201,'Sales Data'!$D$2:$D$1201,A145)</f>
        <v>199</v>
      </c>
      <c r="F145" s="11" t="n">
        <f aca="false">INDEX(Customers!$Q$7:$Q$9,MATCH(D145,Customers!$P$7:$P$9,1))</f>
        <v>3</v>
      </c>
      <c r="G145" s="11" t="n">
        <f aca="false">INDEX(Customers!$Q$12:$Q$14,MATCH(B145,Customers!$P$12:$P$14,1))</f>
        <v>1</v>
      </c>
      <c r="H145" s="11" t="n">
        <f aca="false">INDEX(Customers!$Q$17:$Q$19,MATCH(E145,Customers!$P$17:$P$19,1))</f>
        <v>1</v>
      </c>
      <c r="I145" s="11" t="n">
        <f aca="false">F145+G145+H145</f>
        <v>5</v>
      </c>
      <c r="J145" s="11" t="str">
        <f aca="false">INDEX(Customers!$Q$22:$Q$25,MATCH(I145,Customers!$P$22:$P$25,1))</f>
        <v>At Risk</v>
      </c>
    </row>
    <row r="146" customFormat="false" ht="15" hidden="false" customHeight="true" outlineLevel="0" collapsed="false">
      <c r="A146" s="11" t="str">
        <f aca="false">Customers!A49</f>
        <v>C045</v>
      </c>
      <c r="B146" s="11" t="n">
        <f aca="false">COUNTIF('Sales Data'!$D$2:$D$1201,A146)</f>
        <v>18</v>
      </c>
      <c r="C146" s="92" t="n">
        <f aca="false">_xlfn.MAXIFS('Sales Data'!$B$2:$B$1201,'Sales Data'!$D$2:$D$1201,A146)</f>
        <v>45997</v>
      </c>
      <c r="D146" s="11" t="n">
        <f aca="false">Customers!$Q$4-C146</f>
        <v>25</v>
      </c>
      <c r="E146" s="31" t="n">
        <f aca="false">SUMIFS('Sales Data'!$P$2:$P$1201,'Sales Data'!$D$2:$D$1201,A146)</f>
        <v>110874</v>
      </c>
      <c r="F146" s="11" t="n">
        <f aca="false">INDEX(Customers!$Q$7:$Q$9,MATCH(D146,Customers!$P$7:$P$9,1))</f>
        <v>3</v>
      </c>
      <c r="G146" s="11" t="n">
        <f aca="false">INDEX(Customers!$Q$12:$Q$14,MATCH(B146,Customers!$P$12:$P$14,1))</f>
        <v>3</v>
      </c>
      <c r="H146" s="11" t="n">
        <f aca="false">INDEX(Customers!$Q$17:$Q$19,MATCH(E146,Customers!$P$17:$P$19,1))</f>
        <v>3</v>
      </c>
      <c r="I146" s="11" t="n">
        <f aca="false">F146+G146+H146</f>
        <v>9</v>
      </c>
      <c r="J146" s="11" t="str">
        <f aca="false">INDEX(Customers!$Q$22:$Q$25,MATCH(I146,Customers!$P$22:$P$25,1))</f>
        <v>Champion</v>
      </c>
    </row>
    <row r="147" customFormat="false" ht="15" hidden="false" customHeight="true" outlineLevel="0" collapsed="false">
      <c r="A147" s="11" t="str">
        <f aca="false">Customers!A50</f>
        <v>C046</v>
      </c>
      <c r="B147" s="11" t="n">
        <f aca="false">COUNTIF('Sales Data'!$D$2:$D$1201,A147)</f>
        <v>2</v>
      </c>
      <c r="C147" s="92" t="n">
        <f aca="false">_xlfn.MAXIFS('Sales Data'!$B$2:$B$1201,'Sales Data'!$D$2:$D$1201,A147)</f>
        <v>45844</v>
      </c>
      <c r="D147" s="11" t="n">
        <f aca="false">Customers!$Q$4-C147</f>
        <v>178</v>
      </c>
      <c r="E147" s="31" t="n">
        <f aca="false">SUMIFS('Sales Data'!$P$2:$P$1201,'Sales Data'!$D$2:$D$1201,A147)</f>
        <v>4547</v>
      </c>
      <c r="F147" s="11" t="n">
        <f aca="false">INDEX(Customers!$Q$7:$Q$9,MATCH(D147,Customers!$P$7:$P$9,1))</f>
        <v>1</v>
      </c>
      <c r="G147" s="11" t="n">
        <f aca="false">INDEX(Customers!$Q$12:$Q$14,MATCH(B147,Customers!$P$12:$P$14,1))</f>
        <v>1</v>
      </c>
      <c r="H147" s="11" t="n">
        <f aca="false">INDEX(Customers!$Q$17:$Q$19,MATCH(E147,Customers!$P$17:$P$19,1))</f>
        <v>1</v>
      </c>
      <c r="I147" s="11" t="n">
        <f aca="false">F147+G147+H147</f>
        <v>3</v>
      </c>
      <c r="J147" s="11" t="str">
        <f aca="false">INDEX(Customers!$Q$22:$Q$25,MATCH(I147,Customers!$P$22:$P$25,1))</f>
        <v>Lost</v>
      </c>
    </row>
    <row r="148" customFormat="false" ht="15" hidden="false" customHeight="true" outlineLevel="0" collapsed="false">
      <c r="A148" s="11" t="str">
        <f aca="false">Customers!A51</f>
        <v>C047</v>
      </c>
      <c r="B148" s="11" t="n">
        <f aca="false">COUNTIF('Sales Data'!$D$2:$D$1201,A148)</f>
        <v>4</v>
      </c>
      <c r="C148" s="92" t="n">
        <f aca="false">_xlfn.MAXIFS('Sales Data'!$B$2:$B$1201,'Sales Data'!$D$2:$D$1201,A148)</f>
        <v>45909</v>
      </c>
      <c r="D148" s="11" t="n">
        <f aca="false">Customers!$Q$4-C148</f>
        <v>113</v>
      </c>
      <c r="E148" s="31" t="n">
        <f aca="false">SUMIFS('Sales Data'!$P$2:$P$1201,'Sales Data'!$D$2:$D$1201,A148)</f>
        <v>20516</v>
      </c>
      <c r="F148" s="11" t="n">
        <f aca="false">INDEX(Customers!$Q$7:$Q$9,MATCH(D148,Customers!$P$7:$P$9,1))</f>
        <v>2</v>
      </c>
      <c r="G148" s="11" t="n">
        <f aca="false">INDEX(Customers!$Q$12:$Q$14,MATCH(B148,Customers!$P$12:$P$14,1))</f>
        <v>2</v>
      </c>
      <c r="H148" s="11" t="n">
        <f aca="false">INDEX(Customers!$Q$17:$Q$19,MATCH(E148,Customers!$P$17:$P$19,1))</f>
        <v>2</v>
      </c>
      <c r="I148" s="11" t="n">
        <f aca="false">F148+G148+H148</f>
        <v>6</v>
      </c>
      <c r="J148" s="11" t="str">
        <f aca="false">INDEX(Customers!$Q$22:$Q$25,MATCH(I148,Customers!$P$22:$P$25,1))</f>
        <v>Loyal</v>
      </c>
    </row>
    <row r="149" customFormat="false" ht="15" hidden="false" customHeight="true" outlineLevel="0" collapsed="false">
      <c r="A149" s="11" t="str">
        <f aca="false">Customers!A52</f>
        <v>C048</v>
      </c>
      <c r="B149" s="11" t="n">
        <f aca="false">COUNTIF('Sales Data'!$D$2:$D$1201,A149)</f>
        <v>4</v>
      </c>
      <c r="C149" s="92" t="n">
        <f aca="false">_xlfn.MAXIFS('Sales Data'!$B$2:$B$1201,'Sales Data'!$D$2:$D$1201,A149)</f>
        <v>45993</v>
      </c>
      <c r="D149" s="11" t="n">
        <f aca="false">Customers!$Q$4-C149</f>
        <v>29</v>
      </c>
      <c r="E149" s="31" t="n">
        <f aca="false">SUMIFS('Sales Data'!$P$2:$P$1201,'Sales Data'!$D$2:$D$1201,A149)</f>
        <v>13632</v>
      </c>
      <c r="F149" s="11" t="n">
        <f aca="false">INDEX(Customers!$Q$7:$Q$9,MATCH(D149,Customers!$P$7:$P$9,1))</f>
        <v>3</v>
      </c>
      <c r="G149" s="11" t="n">
        <f aca="false">INDEX(Customers!$Q$12:$Q$14,MATCH(B149,Customers!$P$12:$P$14,1))</f>
        <v>2</v>
      </c>
      <c r="H149" s="11" t="n">
        <f aca="false">INDEX(Customers!$Q$17:$Q$19,MATCH(E149,Customers!$P$17:$P$19,1))</f>
        <v>2</v>
      </c>
      <c r="I149" s="11" t="n">
        <f aca="false">F149+G149+H149</f>
        <v>7</v>
      </c>
      <c r="J149" s="11" t="str">
        <f aca="false">INDEX(Customers!$Q$22:$Q$25,MATCH(I149,Customers!$P$22:$P$25,1))</f>
        <v>Loyal</v>
      </c>
    </row>
    <row r="150" customFormat="false" ht="15" hidden="false" customHeight="true" outlineLevel="0" collapsed="false">
      <c r="A150" s="11" t="str">
        <f aca="false">Customers!A53</f>
        <v>C049</v>
      </c>
      <c r="B150" s="11" t="n">
        <f aca="false">COUNTIF('Sales Data'!$D$2:$D$1201,A150)</f>
        <v>5</v>
      </c>
      <c r="C150" s="92" t="n">
        <f aca="false">_xlfn.MAXIFS('Sales Data'!$B$2:$B$1201,'Sales Data'!$D$2:$D$1201,A150)</f>
        <v>45994</v>
      </c>
      <c r="D150" s="11" t="n">
        <f aca="false">Customers!$Q$4-C150</f>
        <v>28</v>
      </c>
      <c r="E150" s="31" t="n">
        <f aca="false">SUMIFS('Sales Data'!$P$2:$P$1201,'Sales Data'!$D$2:$D$1201,A150)</f>
        <v>7674</v>
      </c>
      <c r="F150" s="11" t="n">
        <f aca="false">INDEX(Customers!$Q$7:$Q$9,MATCH(D150,Customers!$P$7:$P$9,1))</f>
        <v>3</v>
      </c>
      <c r="G150" s="11" t="n">
        <f aca="false">INDEX(Customers!$Q$12:$Q$14,MATCH(B150,Customers!$P$12:$P$14,1))</f>
        <v>2</v>
      </c>
      <c r="H150" s="11" t="n">
        <f aca="false">INDEX(Customers!$Q$17:$Q$19,MATCH(E150,Customers!$P$17:$P$19,1))</f>
        <v>1</v>
      </c>
      <c r="I150" s="11" t="n">
        <f aca="false">F150+G150+H150</f>
        <v>6</v>
      </c>
      <c r="J150" s="11" t="str">
        <f aca="false">INDEX(Customers!$Q$22:$Q$25,MATCH(I150,Customers!$P$22:$P$25,1))</f>
        <v>Loyal</v>
      </c>
    </row>
    <row r="151" customFormat="false" ht="15" hidden="false" customHeight="true" outlineLevel="0" collapsed="false">
      <c r="A151" s="11" t="str">
        <f aca="false">Customers!A54</f>
        <v>C050</v>
      </c>
      <c r="B151" s="11" t="n">
        <f aca="false">COUNTIF('Sales Data'!$D$2:$D$1201,A151)</f>
        <v>1</v>
      </c>
      <c r="C151" s="92" t="n">
        <f aca="false">_xlfn.MAXIFS('Sales Data'!$B$2:$B$1201,'Sales Data'!$D$2:$D$1201,A151)</f>
        <v>45801</v>
      </c>
      <c r="D151" s="11" t="n">
        <f aca="false">Customers!$Q$4-C151</f>
        <v>221</v>
      </c>
      <c r="E151" s="31" t="n">
        <f aca="false">SUMIFS('Sales Data'!$P$2:$P$1201,'Sales Data'!$D$2:$D$1201,A151)</f>
        <v>7404</v>
      </c>
      <c r="F151" s="11" t="n">
        <f aca="false">INDEX(Customers!$Q$7:$Q$9,MATCH(D151,Customers!$P$7:$P$9,1))</f>
        <v>1</v>
      </c>
      <c r="G151" s="11" t="n">
        <f aca="false">INDEX(Customers!$Q$12:$Q$14,MATCH(B151,Customers!$P$12:$P$14,1))</f>
        <v>1</v>
      </c>
      <c r="H151" s="11" t="n">
        <f aca="false">INDEX(Customers!$Q$17:$Q$19,MATCH(E151,Customers!$P$17:$P$19,1))</f>
        <v>1</v>
      </c>
      <c r="I151" s="11" t="n">
        <f aca="false">F151+G151+H151</f>
        <v>3</v>
      </c>
      <c r="J151" s="11" t="str">
        <f aca="false">INDEX(Customers!$Q$22:$Q$25,MATCH(I151,Customers!$P$22:$P$25,1))</f>
        <v>Lost</v>
      </c>
    </row>
    <row r="152" customFormat="false" ht="15" hidden="false" customHeight="true" outlineLevel="0" collapsed="false">
      <c r="A152" s="11" t="str">
        <f aca="false">Customers!A55</f>
        <v>C051</v>
      </c>
      <c r="B152" s="11" t="n">
        <f aca="false">COUNTIF('Sales Data'!$D$2:$D$1201,A152)</f>
        <v>18</v>
      </c>
      <c r="C152" s="92" t="n">
        <f aca="false">_xlfn.MAXIFS('Sales Data'!$B$2:$B$1201,'Sales Data'!$D$2:$D$1201,A152)</f>
        <v>46008</v>
      </c>
      <c r="D152" s="11" t="n">
        <f aca="false">Customers!$Q$4-C152</f>
        <v>14</v>
      </c>
      <c r="E152" s="31" t="n">
        <f aca="false">SUMIFS('Sales Data'!$P$2:$P$1201,'Sales Data'!$D$2:$D$1201,A152)</f>
        <v>91874</v>
      </c>
      <c r="F152" s="11" t="n">
        <f aca="false">INDEX(Customers!$Q$7:$Q$9,MATCH(D152,Customers!$P$7:$P$9,1))</f>
        <v>3</v>
      </c>
      <c r="G152" s="11" t="n">
        <f aca="false">INDEX(Customers!$Q$12:$Q$14,MATCH(B152,Customers!$P$12:$P$14,1))</f>
        <v>3</v>
      </c>
      <c r="H152" s="11" t="n">
        <f aca="false">INDEX(Customers!$Q$17:$Q$19,MATCH(E152,Customers!$P$17:$P$19,1))</f>
        <v>3</v>
      </c>
      <c r="I152" s="11" t="n">
        <f aca="false">F152+G152+H152</f>
        <v>9</v>
      </c>
      <c r="J152" s="11" t="str">
        <f aca="false">INDEX(Customers!$Q$22:$Q$25,MATCH(I152,Customers!$P$22:$P$25,1))</f>
        <v>Champion</v>
      </c>
    </row>
    <row r="153" customFormat="false" ht="15" hidden="false" customHeight="true" outlineLevel="0" collapsed="false">
      <c r="A153" s="11" t="str">
        <f aca="false">Customers!A56</f>
        <v>C052</v>
      </c>
      <c r="B153" s="11" t="n">
        <f aca="false">COUNTIF('Sales Data'!$D$2:$D$1201,A153)</f>
        <v>3</v>
      </c>
      <c r="C153" s="92" t="n">
        <f aca="false">_xlfn.MAXIFS('Sales Data'!$B$2:$B$1201,'Sales Data'!$D$2:$D$1201,A153)</f>
        <v>45984</v>
      </c>
      <c r="D153" s="11" t="n">
        <f aca="false">Customers!$Q$4-C153</f>
        <v>38</v>
      </c>
      <c r="E153" s="31" t="n">
        <f aca="false">SUMIFS('Sales Data'!$P$2:$P$1201,'Sales Data'!$D$2:$D$1201,A153)</f>
        <v>2726</v>
      </c>
      <c r="F153" s="11" t="n">
        <f aca="false">INDEX(Customers!$Q$7:$Q$9,MATCH(D153,Customers!$P$7:$P$9,1))</f>
        <v>3</v>
      </c>
      <c r="G153" s="11" t="n">
        <f aca="false">INDEX(Customers!$Q$12:$Q$14,MATCH(B153,Customers!$P$12:$P$14,1))</f>
        <v>2</v>
      </c>
      <c r="H153" s="11" t="n">
        <f aca="false">INDEX(Customers!$Q$17:$Q$19,MATCH(E153,Customers!$P$17:$P$19,1))</f>
        <v>1</v>
      </c>
      <c r="I153" s="11" t="n">
        <f aca="false">F153+G153+H153</f>
        <v>6</v>
      </c>
      <c r="J153" s="11" t="str">
        <f aca="false">INDEX(Customers!$Q$22:$Q$25,MATCH(I153,Customers!$P$22:$P$25,1))</f>
        <v>Loyal</v>
      </c>
    </row>
    <row r="154" customFormat="false" ht="15" hidden="false" customHeight="true" outlineLevel="0" collapsed="false">
      <c r="A154" s="11" t="str">
        <f aca="false">Customers!A57</f>
        <v>C053</v>
      </c>
      <c r="B154" s="11" t="n">
        <f aca="false">COUNTIF('Sales Data'!$D$2:$D$1201,A154)</f>
        <v>7</v>
      </c>
      <c r="C154" s="92" t="n">
        <f aca="false">_xlfn.MAXIFS('Sales Data'!$B$2:$B$1201,'Sales Data'!$D$2:$D$1201,A154)</f>
        <v>45994</v>
      </c>
      <c r="D154" s="11" t="n">
        <f aca="false">Customers!$Q$4-C154</f>
        <v>28</v>
      </c>
      <c r="E154" s="31" t="n">
        <f aca="false">SUMIFS('Sales Data'!$P$2:$P$1201,'Sales Data'!$D$2:$D$1201,A154)</f>
        <v>52738</v>
      </c>
      <c r="F154" s="11" t="n">
        <f aca="false">INDEX(Customers!$Q$7:$Q$9,MATCH(D154,Customers!$P$7:$P$9,1))</f>
        <v>3</v>
      </c>
      <c r="G154" s="11" t="n">
        <f aca="false">INDEX(Customers!$Q$12:$Q$14,MATCH(B154,Customers!$P$12:$P$14,1))</f>
        <v>3</v>
      </c>
      <c r="H154" s="11" t="n">
        <f aca="false">INDEX(Customers!$Q$17:$Q$19,MATCH(E154,Customers!$P$17:$P$19,1))</f>
        <v>3</v>
      </c>
      <c r="I154" s="11" t="n">
        <f aca="false">F154+G154+H154</f>
        <v>9</v>
      </c>
      <c r="J154" s="11" t="str">
        <f aca="false">INDEX(Customers!$Q$22:$Q$25,MATCH(I154,Customers!$P$22:$P$25,1))</f>
        <v>Champion</v>
      </c>
    </row>
    <row r="155" customFormat="false" ht="15" hidden="false" customHeight="true" outlineLevel="0" collapsed="false">
      <c r="A155" s="11" t="str">
        <f aca="false">Customers!A58</f>
        <v>C054</v>
      </c>
      <c r="B155" s="11" t="n">
        <f aca="false">COUNTIF('Sales Data'!$D$2:$D$1201,A155)</f>
        <v>12</v>
      </c>
      <c r="C155" s="92" t="n">
        <f aca="false">_xlfn.MAXIFS('Sales Data'!$B$2:$B$1201,'Sales Data'!$D$2:$D$1201,A155)</f>
        <v>46018</v>
      </c>
      <c r="D155" s="11" t="n">
        <f aca="false">Customers!$Q$4-C155</f>
        <v>4</v>
      </c>
      <c r="E155" s="31" t="n">
        <f aca="false">SUMIFS('Sales Data'!$P$2:$P$1201,'Sales Data'!$D$2:$D$1201,A155)</f>
        <v>61903</v>
      </c>
      <c r="F155" s="11" t="n">
        <f aca="false">INDEX(Customers!$Q$7:$Q$9,MATCH(D155,Customers!$P$7:$P$9,1))</f>
        <v>3</v>
      </c>
      <c r="G155" s="11" t="n">
        <f aca="false">INDEX(Customers!$Q$12:$Q$14,MATCH(B155,Customers!$P$12:$P$14,1))</f>
        <v>3</v>
      </c>
      <c r="H155" s="11" t="n">
        <f aca="false">INDEX(Customers!$Q$17:$Q$19,MATCH(E155,Customers!$P$17:$P$19,1))</f>
        <v>3</v>
      </c>
      <c r="I155" s="11" t="n">
        <f aca="false">F155+G155+H155</f>
        <v>9</v>
      </c>
      <c r="J155" s="11" t="str">
        <f aca="false">INDEX(Customers!$Q$22:$Q$25,MATCH(I155,Customers!$P$22:$P$25,1))</f>
        <v>Champion</v>
      </c>
    </row>
    <row r="156" customFormat="false" ht="15" hidden="false" customHeight="true" outlineLevel="0" collapsed="false">
      <c r="A156" s="11" t="str">
        <f aca="false">Customers!A59</f>
        <v>C055</v>
      </c>
      <c r="B156" s="11" t="n">
        <f aca="false">COUNTIF('Sales Data'!$D$2:$D$1201,A156)</f>
        <v>1</v>
      </c>
      <c r="C156" s="92" t="n">
        <f aca="false">_xlfn.MAXIFS('Sales Data'!$B$2:$B$1201,'Sales Data'!$D$2:$D$1201,A156)</f>
        <v>45972</v>
      </c>
      <c r="D156" s="11" t="n">
        <f aca="false">Customers!$Q$4-C156</f>
        <v>50</v>
      </c>
      <c r="E156" s="31" t="n">
        <f aca="false">SUMIFS('Sales Data'!$P$2:$P$1201,'Sales Data'!$D$2:$D$1201,A156)</f>
        <v>149</v>
      </c>
      <c r="F156" s="11" t="n">
        <f aca="false">INDEX(Customers!$Q$7:$Q$9,MATCH(D156,Customers!$P$7:$P$9,1))</f>
        <v>2</v>
      </c>
      <c r="G156" s="11" t="n">
        <f aca="false">INDEX(Customers!$Q$12:$Q$14,MATCH(B156,Customers!$P$12:$P$14,1))</f>
        <v>1</v>
      </c>
      <c r="H156" s="11" t="n">
        <f aca="false">INDEX(Customers!$Q$17:$Q$19,MATCH(E156,Customers!$P$17:$P$19,1))</f>
        <v>1</v>
      </c>
      <c r="I156" s="11" t="n">
        <f aca="false">F156+G156+H156</f>
        <v>4</v>
      </c>
      <c r="J156" s="11" t="str">
        <f aca="false">INDEX(Customers!$Q$22:$Q$25,MATCH(I156,Customers!$P$22:$P$25,1))</f>
        <v>At Risk</v>
      </c>
    </row>
    <row r="157" customFormat="false" ht="15" hidden="false" customHeight="true" outlineLevel="0" collapsed="false">
      <c r="A157" s="11" t="str">
        <f aca="false">Customers!A60</f>
        <v>C056</v>
      </c>
      <c r="B157" s="11" t="n">
        <f aca="false">COUNTIF('Sales Data'!$D$2:$D$1201,A157)</f>
        <v>11</v>
      </c>
      <c r="C157" s="92" t="n">
        <f aca="false">_xlfn.MAXIFS('Sales Data'!$B$2:$B$1201,'Sales Data'!$D$2:$D$1201,A157)</f>
        <v>45979</v>
      </c>
      <c r="D157" s="11" t="n">
        <f aca="false">Customers!$Q$4-C157</f>
        <v>43</v>
      </c>
      <c r="E157" s="31" t="n">
        <f aca="false">SUMIFS('Sales Data'!$P$2:$P$1201,'Sales Data'!$D$2:$D$1201,A157)</f>
        <v>48320</v>
      </c>
      <c r="F157" s="11" t="n">
        <f aca="false">INDEX(Customers!$Q$7:$Q$9,MATCH(D157,Customers!$P$7:$P$9,1))</f>
        <v>3</v>
      </c>
      <c r="G157" s="11" t="n">
        <f aca="false">INDEX(Customers!$Q$12:$Q$14,MATCH(B157,Customers!$P$12:$P$14,1))</f>
        <v>3</v>
      </c>
      <c r="H157" s="11" t="n">
        <f aca="false">INDEX(Customers!$Q$17:$Q$19,MATCH(E157,Customers!$P$17:$P$19,1))</f>
        <v>3</v>
      </c>
      <c r="I157" s="11" t="n">
        <f aca="false">F157+G157+H157</f>
        <v>9</v>
      </c>
      <c r="J157" s="11" t="str">
        <f aca="false">INDEX(Customers!$Q$22:$Q$25,MATCH(I157,Customers!$P$22:$P$25,1))</f>
        <v>Champion</v>
      </c>
    </row>
    <row r="158" customFormat="false" ht="15" hidden="false" customHeight="true" outlineLevel="0" collapsed="false">
      <c r="A158" s="11" t="str">
        <f aca="false">Customers!A61</f>
        <v>C057</v>
      </c>
      <c r="B158" s="11" t="n">
        <f aca="false">COUNTIF('Sales Data'!$D$2:$D$1201,A158)</f>
        <v>16</v>
      </c>
      <c r="C158" s="92" t="n">
        <f aca="false">_xlfn.MAXIFS('Sales Data'!$B$2:$B$1201,'Sales Data'!$D$2:$D$1201,A158)</f>
        <v>45991</v>
      </c>
      <c r="D158" s="11" t="n">
        <f aca="false">Customers!$Q$4-C158</f>
        <v>31</v>
      </c>
      <c r="E158" s="31" t="n">
        <f aca="false">SUMIFS('Sales Data'!$P$2:$P$1201,'Sales Data'!$D$2:$D$1201,A158)</f>
        <v>80014</v>
      </c>
      <c r="F158" s="11" t="n">
        <f aca="false">INDEX(Customers!$Q$7:$Q$9,MATCH(D158,Customers!$P$7:$P$9,1))</f>
        <v>3</v>
      </c>
      <c r="G158" s="11" t="n">
        <f aca="false">INDEX(Customers!$Q$12:$Q$14,MATCH(B158,Customers!$P$12:$P$14,1))</f>
        <v>3</v>
      </c>
      <c r="H158" s="11" t="n">
        <f aca="false">INDEX(Customers!$Q$17:$Q$19,MATCH(E158,Customers!$P$17:$P$19,1))</f>
        <v>3</v>
      </c>
      <c r="I158" s="11" t="n">
        <f aca="false">F158+G158+H158</f>
        <v>9</v>
      </c>
      <c r="J158" s="11" t="str">
        <f aca="false">INDEX(Customers!$Q$22:$Q$25,MATCH(I158,Customers!$P$22:$P$25,1))</f>
        <v>Champion</v>
      </c>
    </row>
    <row r="159" customFormat="false" ht="15" hidden="false" customHeight="true" outlineLevel="0" collapsed="false">
      <c r="A159" s="11" t="str">
        <f aca="false">Customers!A62</f>
        <v>C058</v>
      </c>
      <c r="B159" s="11" t="n">
        <f aca="false">COUNTIF('Sales Data'!$D$2:$D$1201,A159)</f>
        <v>9</v>
      </c>
      <c r="C159" s="92" t="n">
        <f aca="false">_xlfn.MAXIFS('Sales Data'!$B$2:$B$1201,'Sales Data'!$D$2:$D$1201,A159)</f>
        <v>45999</v>
      </c>
      <c r="D159" s="11" t="n">
        <f aca="false">Customers!$Q$4-C159</f>
        <v>23</v>
      </c>
      <c r="E159" s="31" t="n">
        <f aca="false">SUMIFS('Sales Data'!$P$2:$P$1201,'Sales Data'!$D$2:$D$1201,A159)</f>
        <v>39494</v>
      </c>
      <c r="F159" s="11" t="n">
        <f aca="false">INDEX(Customers!$Q$7:$Q$9,MATCH(D159,Customers!$P$7:$P$9,1))</f>
        <v>3</v>
      </c>
      <c r="G159" s="11" t="n">
        <f aca="false">INDEX(Customers!$Q$12:$Q$14,MATCH(B159,Customers!$P$12:$P$14,1))</f>
        <v>3</v>
      </c>
      <c r="H159" s="11" t="n">
        <f aca="false">INDEX(Customers!$Q$17:$Q$19,MATCH(E159,Customers!$P$17:$P$19,1))</f>
        <v>2</v>
      </c>
      <c r="I159" s="11" t="n">
        <f aca="false">F159+G159+H159</f>
        <v>8</v>
      </c>
      <c r="J159" s="11" t="str">
        <f aca="false">INDEX(Customers!$Q$22:$Q$25,MATCH(I159,Customers!$P$22:$P$25,1))</f>
        <v>Champion</v>
      </c>
    </row>
    <row r="160" customFormat="false" ht="15" hidden="false" customHeight="true" outlineLevel="0" collapsed="false">
      <c r="A160" s="11" t="str">
        <f aca="false">Customers!A63</f>
        <v>C059</v>
      </c>
      <c r="B160" s="11" t="n">
        <f aca="false">COUNTIF('Sales Data'!$D$2:$D$1201,A160)</f>
        <v>4</v>
      </c>
      <c r="C160" s="92" t="n">
        <f aca="false">_xlfn.MAXIFS('Sales Data'!$B$2:$B$1201,'Sales Data'!$D$2:$D$1201,A160)</f>
        <v>45750</v>
      </c>
      <c r="D160" s="11" t="n">
        <f aca="false">Customers!$Q$4-C160</f>
        <v>272</v>
      </c>
      <c r="E160" s="31" t="n">
        <f aca="false">SUMIFS('Sales Data'!$P$2:$P$1201,'Sales Data'!$D$2:$D$1201,A160)</f>
        <v>15561</v>
      </c>
      <c r="F160" s="11" t="n">
        <f aca="false">INDEX(Customers!$Q$7:$Q$9,MATCH(D160,Customers!$P$7:$P$9,1))</f>
        <v>1</v>
      </c>
      <c r="G160" s="11" t="n">
        <f aca="false">INDEX(Customers!$Q$12:$Q$14,MATCH(B160,Customers!$P$12:$P$14,1))</f>
        <v>2</v>
      </c>
      <c r="H160" s="11" t="n">
        <f aca="false">INDEX(Customers!$Q$17:$Q$19,MATCH(E160,Customers!$P$17:$P$19,1))</f>
        <v>2</v>
      </c>
      <c r="I160" s="11" t="n">
        <f aca="false">F160+G160+H160</f>
        <v>5</v>
      </c>
      <c r="J160" s="11" t="str">
        <f aca="false">INDEX(Customers!$Q$22:$Q$25,MATCH(I160,Customers!$P$22:$P$25,1))</f>
        <v>At Risk</v>
      </c>
    </row>
    <row r="161" customFormat="false" ht="15" hidden="false" customHeight="true" outlineLevel="0" collapsed="false">
      <c r="A161" s="11" t="str">
        <f aca="false">Customers!A64</f>
        <v>C060</v>
      </c>
      <c r="B161" s="11" t="n">
        <f aca="false">COUNTIF('Sales Data'!$D$2:$D$1201,A161)</f>
        <v>19</v>
      </c>
      <c r="C161" s="92" t="n">
        <f aca="false">_xlfn.MAXIFS('Sales Data'!$B$2:$B$1201,'Sales Data'!$D$2:$D$1201,A161)</f>
        <v>46013</v>
      </c>
      <c r="D161" s="11" t="n">
        <f aca="false">Customers!$Q$4-C161</f>
        <v>9</v>
      </c>
      <c r="E161" s="31" t="n">
        <f aca="false">SUMIFS('Sales Data'!$P$2:$P$1201,'Sales Data'!$D$2:$D$1201,A161)</f>
        <v>72648</v>
      </c>
      <c r="F161" s="11" t="n">
        <f aca="false">INDEX(Customers!$Q$7:$Q$9,MATCH(D161,Customers!$P$7:$P$9,1))</f>
        <v>3</v>
      </c>
      <c r="G161" s="11" t="n">
        <f aca="false">INDEX(Customers!$Q$12:$Q$14,MATCH(B161,Customers!$P$12:$P$14,1))</f>
        <v>3</v>
      </c>
      <c r="H161" s="11" t="n">
        <f aca="false">INDEX(Customers!$Q$17:$Q$19,MATCH(E161,Customers!$P$17:$P$19,1))</f>
        <v>3</v>
      </c>
      <c r="I161" s="11" t="n">
        <f aca="false">F161+G161+H161</f>
        <v>9</v>
      </c>
      <c r="J161" s="11" t="str">
        <f aca="false">INDEX(Customers!$Q$22:$Q$25,MATCH(I161,Customers!$P$22:$P$25,1))</f>
        <v>Champion</v>
      </c>
    </row>
    <row r="162" customFormat="false" ht="15" hidden="false" customHeight="true" outlineLevel="0" collapsed="false">
      <c r="A162" s="11" t="str">
        <f aca="false">Customers!A65</f>
        <v>C061</v>
      </c>
      <c r="B162" s="11" t="n">
        <f aca="false">COUNTIF('Sales Data'!$D$2:$D$1201,A162)</f>
        <v>8</v>
      </c>
      <c r="C162" s="92" t="n">
        <f aca="false">_xlfn.MAXIFS('Sales Data'!$B$2:$B$1201,'Sales Data'!$D$2:$D$1201,A162)</f>
        <v>45996</v>
      </c>
      <c r="D162" s="11" t="n">
        <f aca="false">Customers!$Q$4-C162</f>
        <v>26</v>
      </c>
      <c r="E162" s="31" t="n">
        <f aca="false">SUMIFS('Sales Data'!$P$2:$P$1201,'Sales Data'!$D$2:$D$1201,A162)</f>
        <v>33246</v>
      </c>
      <c r="F162" s="11" t="n">
        <f aca="false">INDEX(Customers!$Q$7:$Q$9,MATCH(D162,Customers!$P$7:$P$9,1))</f>
        <v>3</v>
      </c>
      <c r="G162" s="11" t="n">
        <f aca="false">INDEX(Customers!$Q$12:$Q$14,MATCH(B162,Customers!$P$12:$P$14,1))</f>
        <v>3</v>
      </c>
      <c r="H162" s="11" t="n">
        <f aca="false">INDEX(Customers!$Q$17:$Q$19,MATCH(E162,Customers!$P$17:$P$19,1))</f>
        <v>2</v>
      </c>
      <c r="I162" s="11" t="n">
        <f aca="false">F162+G162+H162</f>
        <v>8</v>
      </c>
      <c r="J162" s="11" t="str">
        <f aca="false">INDEX(Customers!$Q$22:$Q$25,MATCH(I162,Customers!$P$22:$P$25,1))</f>
        <v>Champion</v>
      </c>
    </row>
    <row r="163" customFormat="false" ht="15" hidden="false" customHeight="true" outlineLevel="0" collapsed="false">
      <c r="A163" s="11" t="str">
        <f aca="false">Customers!A66</f>
        <v>C062</v>
      </c>
      <c r="B163" s="11" t="n">
        <f aca="false">COUNTIF('Sales Data'!$D$2:$D$1201,A163)</f>
        <v>3</v>
      </c>
      <c r="C163" s="92" t="n">
        <f aca="false">_xlfn.MAXIFS('Sales Data'!$B$2:$B$1201,'Sales Data'!$D$2:$D$1201,A163)</f>
        <v>45950</v>
      </c>
      <c r="D163" s="11" t="n">
        <f aca="false">Customers!$Q$4-C163</f>
        <v>72</v>
      </c>
      <c r="E163" s="31" t="n">
        <f aca="false">SUMIFS('Sales Data'!$P$2:$P$1201,'Sales Data'!$D$2:$D$1201,A163)</f>
        <v>10115</v>
      </c>
      <c r="F163" s="11" t="n">
        <f aca="false">INDEX(Customers!$Q$7:$Q$9,MATCH(D163,Customers!$P$7:$P$9,1))</f>
        <v>2</v>
      </c>
      <c r="G163" s="11" t="n">
        <f aca="false">INDEX(Customers!$Q$12:$Q$14,MATCH(B163,Customers!$P$12:$P$14,1))</f>
        <v>2</v>
      </c>
      <c r="H163" s="11" t="n">
        <f aca="false">INDEX(Customers!$Q$17:$Q$19,MATCH(E163,Customers!$P$17:$P$19,1))</f>
        <v>1</v>
      </c>
      <c r="I163" s="11" t="n">
        <f aca="false">F163+G163+H163</f>
        <v>5</v>
      </c>
      <c r="J163" s="11" t="str">
        <f aca="false">INDEX(Customers!$Q$22:$Q$25,MATCH(I163,Customers!$P$22:$P$25,1))</f>
        <v>At Risk</v>
      </c>
    </row>
    <row r="164" customFormat="false" ht="15" hidden="false" customHeight="true" outlineLevel="0" collapsed="false">
      <c r="A164" s="11" t="str">
        <f aca="false">Customers!A67</f>
        <v>C063</v>
      </c>
      <c r="B164" s="11" t="n">
        <f aca="false">COUNTIF('Sales Data'!$D$2:$D$1201,A164)</f>
        <v>6</v>
      </c>
      <c r="C164" s="92" t="n">
        <f aca="false">_xlfn.MAXIFS('Sales Data'!$B$2:$B$1201,'Sales Data'!$D$2:$D$1201,A164)</f>
        <v>45944</v>
      </c>
      <c r="D164" s="11" t="n">
        <f aca="false">Customers!$Q$4-C164</f>
        <v>78</v>
      </c>
      <c r="E164" s="31" t="n">
        <f aca="false">SUMIFS('Sales Data'!$P$2:$P$1201,'Sales Data'!$D$2:$D$1201,A164)</f>
        <v>23780</v>
      </c>
      <c r="F164" s="11" t="n">
        <f aca="false">INDEX(Customers!$Q$7:$Q$9,MATCH(D164,Customers!$P$7:$P$9,1))</f>
        <v>2</v>
      </c>
      <c r="G164" s="11" t="n">
        <f aca="false">INDEX(Customers!$Q$12:$Q$14,MATCH(B164,Customers!$P$12:$P$14,1))</f>
        <v>2</v>
      </c>
      <c r="H164" s="11" t="n">
        <f aca="false">INDEX(Customers!$Q$17:$Q$19,MATCH(E164,Customers!$P$17:$P$19,1))</f>
        <v>2</v>
      </c>
      <c r="I164" s="11" t="n">
        <f aca="false">F164+G164+H164</f>
        <v>6</v>
      </c>
      <c r="J164" s="11" t="str">
        <f aca="false">INDEX(Customers!$Q$22:$Q$25,MATCH(I164,Customers!$P$22:$P$25,1))</f>
        <v>Loyal</v>
      </c>
    </row>
    <row r="165" customFormat="false" ht="15" hidden="false" customHeight="true" outlineLevel="0" collapsed="false">
      <c r="A165" s="11" t="str">
        <f aca="false">Customers!A68</f>
        <v>C064</v>
      </c>
      <c r="B165" s="11" t="n">
        <f aca="false">COUNTIF('Sales Data'!$D$2:$D$1201,A165)</f>
        <v>12</v>
      </c>
      <c r="C165" s="92" t="n">
        <f aca="false">_xlfn.MAXIFS('Sales Data'!$B$2:$B$1201,'Sales Data'!$D$2:$D$1201,A165)</f>
        <v>45967</v>
      </c>
      <c r="D165" s="11" t="n">
        <f aca="false">Customers!$Q$4-C165</f>
        <v>55</v>
      </c>
      <c r="E165" s="31" t="n">
        <f aca="false">SUMIFS('Sales Data'!$P$2:$P$1201,'Sales Data'!$D$2:$D$1201,A165)</f>
        <v>47587</v>
      </c>
      <c r="F165" s="11" t="n">
        <f aca="false">INDEX(Customers!$Q$7:$Q$9,MATCH(D165,Customers!$P$7:$P$9,1))</f>
        <v>2</v>
      </c>
      <c r="G165" s="11" t="n">
        <f aca="false">INDEX(Customers!$Q$12:$Q$14,MATCH(B165,Customers!$P$12:$P$14,1))</f>
        <v>3</v>
      </c>
      <c r="H165" s="11" t="n">
        <f aca="false">INDEX(Customers!$Q$17:$Q$19,MATCH(E165,Customers!$P$17:$P$19,1))</f>
        <v>3</v>
      </c>
      <c r="I165" s="11" t="n">
        <f aca="false">F165+G165+H165</f>
        <v>8</v>
      </c>
      <c r="J165" s="11" t="str">
        <f aca="false">INDEX(Customers!$Q$22:$Q$25,MATCH(I165,Customers!$P$22:$P$25,1))</f>
        <v>Champion</v>
      </c>
    </row>
    <row r="166" customFormat="false" ht="15" hidden="false" customHeight="true" outlineLevel="0" collapsed="false">
      <c r="A166" s="11" t="str">
        <f aca="false">Customers!A69</f>
        <v>C065</v>
      </c>
      <c r="B166" s="11" t="n">
        <f aca="false">COUNTIF('Sales Data'!$D$2:$D$1201,A166)</f>
        <v>7</v>
      </c>
      <c r="C166" s="92" t="n">
        <f aca="false">_xlfn.MAXIFS('Sales Data'!$B$2:$B$1201,'Sales Data'!$D$2:$D$1201,A166)</f>
        <v>46011</v>
      </c>
      <c r="D166" s="11" t="n">
        <f aca="false">Customers!$Q$4-C166</f>
        <v>11</v>
      </c>
      <c r="E166" s="31" t="n">
        <f aca="false">SUMIFS('Sales Data'!$P$2:$P$1201,'Sales Data'!$D$2:$D$1201,A166)</f>
        <v>49892</v>
      </c>
      <c r="F166" s="11" t="n">
        <f aca="false">INDEX(Customers!$Q$7:$Q$9,MATCH(D166,Customers!$P$7:$P$9,1))</f>
        <v>3</v>
      </c>
      <c r="G166" s="11" t="n">
        <f aca="false">INDEX(Customers!$Q$12:$Q$14,MATCH(B166,Customers!$P$12:$P$14,1))</f>
        <v>3</v>
      </c>
      <c r="H166" s="11" t="n">
        <f aca="false">INDEX(Customers!$Q$17:$Q$19,MATCH(E166,Customers!$P$17:$P$19,1))</f>
        <v>3</v>
      </c>
      <c r="I166" s="11" t="n">
        <f aca="false">F166+G166+H166</f>
        <v>9</v>
      </c>
      <c r="J166" s="11" t="str">
        <f aca="false">INDEX(Customers!$Q$22:$Q$25,MATCH(I166,Customers!$P$22:$P$25,1))</f>
        <v>Champion</v>
      </c>
    </row>
    <row r="167" customFormat="false" ht="15" hidden="false" customHeight="true" outlineLevel="0" collapsed="false">
      <c r="A167" s="11" t="str">
        <f aca="false">Customers!A70</f>
        <v>C066</v>
      </c>
      <c r="B167" s="11" t="n">
        <f aca="false">COUNTIF('Sales Data'!$D$2:$D$1201,A167)</f>
        <v>3</v>
      </c>
      <c r="C167" s="92" t="n">
        <f aca="false">_xlfn.MAXIFS('Sales Data'!$B$2:$B$1201,'Sales Data'!$D$2:$D$1201,A167)</f>
        <v>45960</v>
      </c>
      <c r="D167" s="11" t="n">
        <f aca="false">Customers!$Q$4-C167</f>
        <v>62</v>
      </c>
      <c r="E167" s="31" t="n">
        <f aca="false">SUMIFS('Sales Data'!$P$2:$P$1201,'Sales Data'!$D$2:$D$1201,A167)</f>
        <v>17253</v>
      </c>
      <c r="F167" s="11" t="n">
        <f aca="false">INDEX(Customers!$Q$7:$Q$9,MATCH(D167,Customers!$P$7:$P$9,1))</f>
        <v>2</v>
      </c>
      <c r="G167" s="11" t="n">
        <f aca="false">INDEX(Customers!$Q$12:$Q$14,MATCH(B167,Customers!$P$12:$P$14,1))</f>
        <v>2</v>
      </c>
      <c r="H167" s="11" t="n">
        <f aca="false">INDEX(Customers!$Q$17:$Q$19,MATCH(E167,Customers!$P$17:$P$19,1))</f>
        <v>2</v>
      </c>
      <c r="I167" s="11" t="n">
        <f aca="false">F167+G167+H167</f>
        <v>6</v>
      </c>
      <c r="J167" s="11" t="str">
        <f aca="false">INDEX(Customers!$Q$22:$Q$25,MATCH(I167,Customers!$P$22:$P$25,1))</f>
        <v>Loyal</v>
      </c>
    </row>
    <row r="168" customFormat="false" ht="15" hidden="false" customHeight="true" outlineLevel="0" collapsed="false">
      <c r="A168" s="11" t="str">
        <f aca="false">Customers!A71</f>
        <v>C067</v>
      </c>
      <c r="B168" s="11" t="n">
        <f aca="false">COUNTIF('Sales Data'!$D$2:$D$1201,A168)</f>
        <v>5</v>
      </c>
      <c r="C168" s="92" t="n">
        <f aca="false">_xlfn.MAXIFS('Sales Data'!$B$2:$B$1201,'Sales Data'!$D$2:$D$1201,A168)</f>
        <v>45989</v>
      </c>
      <c r="D168" s="11" t="n">
        <f aca="false">Customers!$Q$4-C168</f>
        <v>33</v>
      </c>
      <c r="E168" s="31" t="n">
        <f aca="false">SUMIFS('Sales Data'!$P$2:$P$1201,'Sales Data'!$D$2:$D$1201,A168)</f>
        <v>18382</v>
      </c>
      <c r="F168" s="11" t="n">
        <f aca="false">INDEX(Customers!$Q$7:$Q$9,MATCH(D168,Customers!$P$7:$P$9,1))</f>
        <v>3</v>
      </c>
      <c r="G168" s="11" t="n">
        <f aca="false">INDEX(Customers!$Q$12:$Q$14,MATCH(B168,Customers!$P$12:$P$14,1))</f>
        <v>2</v>
      </c>
      <c r="H168" s="11" t="n">
        <f aca="false">INDEX(Customers!$Q$17:$Q$19,MATCH(E168,Customers!$P$17:$P$19,1))</f>
        <v>2</v>
      </c>
      <c r="I168" s="11" t="n">
        <f aca="false">F168+G168+H168</f>
        <v>7</v>
      </c>
      <c r="J168" s="11" t="str">
        <f aca="false">INDEX(Customers!$Q$22:$Q$25,MATCH(I168,Customers!$P$22:$P$25,1))</f>
        <v>Loyal</v>
      </c>
    </row>
    <row r="169" customFormat="false" ht="15" hidden="false" customHeight="true" outlineLevel="0" collapsed="false">
      <c r="A169" s="11" t="str">
        <f aca="false">Customers!A72</f>
        <v>C068</v>
      </c>
      <c r="B169" s="11" t="n">
        <f aca="false">COUNTIF('Sales Data'!$D$2:$D$1201,A169)</f>
        <v>10</v>
      </c>
      <c r="C169" s="92" t="n">
        <f aca="false">_xlfn.MAXIFS('Sales Data'!$B$2:$B$1201,'Sales Data'!$D$2:$D$1201,A169)</f>
        <v>46005</v>
      </c>
      <c r="D169" s="11" t="n">
        <f aca="false">Customers!$Q$4-C169</f>
        <v>17</v>
      </c>
      <c r="E169" s="31" t="n">
        <f aca="false">SUMIFS('Sales Data'!$P$2:$P$1201,'Sales Data'!$D$2:$D$1201,A169)</f>
        <v>40559</v>
      </c>
      <c r="F169" s="11" t="n">
        <f aca="false">INDEX(Customers!$Q$7:$Q$9,MATCH(D169,Customers!$P$7:$P$9,1))</f>
        <v>3</v>
      </c>
      <c r="G169" s="11" t="n">
        <f aca="false">INDEX(Customers!$Q$12:$Q$14,MATCH(B169,Customers!$P$12:$P$14,1))</f>
        <v>3</v>
      </c>
      <c r="H169" s="11" t="n">
        <f aca="false">INDEX(Customers!$Q$17:$Q$19,MATCH(E169,Customers!$P$17:$P$19,1))</f>
        <v>2</v>
      </c>
      <c r="I169" s="11" t="n">
        <f aca="false">F169+G169+H169</f>
        <v>8</v>
      </c>
      <c r="J169" s="11" t="str">
        <f aca="false">INDEX(Customers!$Q$22:$Q$25,MATCH(I169,Customers!$P$22:$P$25,1))</f>
        <v>Champion</v>
      </c>
    </row>
    <row r="170" customFormat="false" ht="15" hidden="false" customHeight="true" outlineLevel="0" collapsed="false">
      <c r="A170" s="11" t="str">
        <f aca="false">Customers!A73</f>
        <v>C069</v>
      </c>
      <c r="B170" s="11" t="n">
        <f aca="false">COUNTIF('Sales Data'!$D$2:$D$1201,A170)</f>
        <v>9</v>
      </c>
      <c r="C170" s="92" t="n">
        <f aca="false">_xlfn.MAXIFS('Sales Data'!$B$2:$B$1201,'Sales Data'!$D$2:$D$1201,A170)</f>
        <v>46002</v>
      </c>
      <c r="D170" s="11" t="n">
        <f aca="false">Customers!$Q$4-C170</f>
        <v>20</v>
      </c>
      <c r="E170" s="31" t="n">
        <f aca="false">SUMIFS('Sales Data'!$P$2:$P$1201,'Sales Data'!$D$2:$D$1201,A170)</f>
        <v>54157</v>
      </c>
      <c r="F170" s="11" t="n">
        <f aca="false">INDEX(Customers!$Q$7:$Q$9,MATCH(D170,Customers!$P$7:$P$9,1))</f>
        <v>3</v>
      </c>
      <c r="G170" s="11" t="n">
        <f aca="false">INDEX(Customers!$Q$12:$Q$14,MATCH(B170,Customers!$P$12:$P$14,1))</f>
        <v>3</v>
      </c>
      <c r="H170" s="11" t="n">
        <f aca="false">INDEX(Customers!$Q$17:$Q$19,MATCH(E170,Customers!$P$17:$P$19,1))</f>
        <v>3</v>
      </c>
      <c r="I170" s="11" t="n">
        <f aca="false">F170+G170+H170</f>
        <v>9</v>
      </c>
      <c r="J170" s="11" t="str">
        <f aca="false">INDEX(Customers!$Q$22:$Q$25,MATCH(I170,Customers!$P$22:$P$25,1))</f>
        <v>Champion</v>
      </c>
    </row>
    <row r="171" customFormat="false" ht="15" hidden="false" customHeight="true" outlineLevel="0" collapsed="false">
      <c r="A171" s="11" t="str">
        <f aca="false">Customers!A74</f>
        <v>C070</v>
      </c>
      <c r="B171" s="11" t="n">
        <f aca="false">COUNTIF('Sales Data'!$D$2:$D$1201,A171)</f>
        <v>2</v>
      </c>
      <c r="C171" s="92" t="n">
        <f aca="false">_xlfn.MAXIFS('Sales Data'!$B$2:$B$1201,'Sales Data'!$D$2:$D$1201,A171)</f>
        <v>45893</v>
      </c>
      <c r="D171" s="11" t="n">
        <f aca="false">Customers!$Q$4-C171</f>
        <v>129</v>
      </c>
      <c r="E171" s="31" t="n">
        <f aca="false">SUMIFS('Sales Data'!$P$2:$P$1201,'Sales Data'!$D$2:$D$1201,A171)</f>
        <v>17288</v>
      </c>
      <c r="F171" s="11" t="n">
        <f aca="false">INDEX(Customers!$Q$7:$Q$9,MATCH(D171,Customers!$P$7:$P$9,1))</f>
        <v>2</v>
      </c>
      <c r="G171" s="11" t="n">
        <f aca="false">INDEX(Customers!$Q$12:$Q$14,MATCH(B171,Customers!$P$12:$P$14,1))</f>
        <v>1</v>
      </c>
      <c r="H171" s="11" t="n">
        <f aca="false">INDEX(Customers!$Q$17:$Q$19,MATCH(E171,Customers!$P$17:$P$19,1))</f>
        <v>2</v>
      </c>
      <c r="I171" s="11" t="n">
        <f aca="false">F171+G171+H171</f>
        <v>5</v>
      </c>
      <c r="J171" s="11" t="str">
        <f aca="false">INDEX(Customers!$Q$22:$Q$25,MATCH(I171,Customers!$P$22:$P$25,1))</f>
        <v>At Risk</v>
      </c>
    </row>
    <row r="172" customFormat="false" ht="15" hidden="false" customHeight="true" outlineLevel="0" collapsed="false">
      <c r="A172" s="11" t="str">
        <f aca="false">Customers!A75</f>
        <v>C071</v>
      </c>
      <c r="B172" s="11" t="n">
        <f aca="false">COUNTIF('Sales Data'!$D$2:$D$1201,A172)</f>
        <v>13</v>
      </c>
      <c r="C172" s="92" t="n">
        <f aca="false">_xlfn.MAXIFS('Sales Data'!$B$2:$B$1201,'Sales Data'!$D$2:$D$1201,A172)</f>
        <v>45979</v>
      </c>
      <c r="D172" s="11" t="n">
        <f aca="false">Customers!$Q$4-C172</f>
        <v>43</v>
      </c>
      <c r="E172" s="31" t="n">
        <f aca="false">SUMIFS('Sales Data'!$P$2:$P$1201,'Sales Data'!$D$2:$D$1201,A172)</f>
        <v>40265</v>
      </c>
      <c r="F172" s="11" t="n">
        <f aca="false">INDEX(Customers!$Q$7:$Q$9,MATCH(D172,Customers!$P$7:$P$9,1))</f>
        <v>3</v>
      </c>
      <c r="G172" s="11" t="n">
        <f aca="false">INDEX(Customers!$Q$12:$Q$14,MATCH(B172,Customers!$P$12:$P$14,1))</f>
        <v>3</v>
      </c>
      <c r="H172" s="11" t="n">
        <f aca="false">INDEX(Customers!$Q$17:$Q$19,MATCH(E172,Customers!$P$17:$P$19,1))</f>
        <v>2</v>
      </c>
      <c r="I172" s="11" t="n">
        <f aca="false">F172+G172+H172</f>
        <v>8</v>
      </c>
      <c r="J172" s="11" t="str">
        <f aca="false">INDEX(Customers!$Q$22:$Q$25,MATCH(I172,Customers!$P$22:$P$25,1))</f>
        <v>Champion</v>
      </c>
    </row>
    <row r="173" customFormat="false" ht="15" hidden="false" customHeight="true" outlineLevel="0" collapsed="false">
      <c r="A173" s="11" t="str">
        <f aca="false">Customers!A76</f>
        <v>C072</v>
      </c>
      <c r="B173" s="11" t="n">
        <f aca="false">COUNTIF('Sales Data'!$D$2:$D$1201,A173)</f>
        <v>5</v>
      </c>
      <c r="C173" s="92" t="n">
        <f aca="false">_xlfn.MAXIFS('Sales Data'!$B$2:$B$1201,'Sales Data'!$D$2:$D$1201,A173)</f>
        <v>46009</v>
      </c>
      <c r="D173" s="11" t="n">
        <f aca="false">Customers!$Q$4-C173</f>
        <v>13</v>
      </c>
      <c r="E173" s="31" t="n">
        <f aca="false">SUMIFS('Sales Data'!$P$2:$P$1201,'Sales Data'!$D$2:$D$1201,A173)</f>
        <v>12653</v>
      </c>
      <c r="F173" s="11" t="n">
        <f aca="false">INDEX(Customers!$Q$7:$Q$9,MATCH(D173,Customers!$P$7:$P$9,1))</f>
        <v>3</v>
      </c>
      <c r="G173" s="11" t="n">
        <f aca="false">INDEX(Customers!$Q$12:$Q$14,MATCH(B173,Customers!$P$12:$P$14,1))</f>
        <v>2</v>
      </c>
      <c r="H173" s="11" t="n">
        <f aca="false">INDEX(Customers!$Q$17:$Q$19,MATCH(E173,Customers!$P$17:$P$19,1))</f>
        <v>2</v>
      </c>
      <c r="I173" s="11" t="n">
        <f aca="false">F173+G173+H173</f>
        <v>7</v>
      </c>
      <c r="J173" s="11" t="str">
        <f aca="false">INDEX(Customers!$Q$22:$Q$25,MATCH(I173,Customers!$P$22:$P$25,1))</f>
        <v>Loyal</v>
      </c>
    </row>
    <row r="174" customFormat="false" ht="15" hidden="false" customHeight="true" outlineLevel="0" collapsed="false">
      <c r="A174" s="11" t="str">
        <f aca="false">Customers!A77</f>
        <v>C073</v>
      </c>
      <c r="B174" s="11" t="n">
        <f aca="false">COUNTIF('Sales Data'!$D$2:$D$1201,A174)</f>
        <v>3</v>
      </c>
      <c r="C174" s="92" t="n">
        <f aca="false">_xlfn.MAXIFS('Sales Data'!$B$2:$B$1201,'Sales Data'!$D$2:$D$1201,A174)</f>
        <v>45984</v>
      </c>
      <c r="D174" s="11" t="n">
        <f aca="false">Customers!$Q$4-C174</f>
        <v>38</v>
      </c>
      <c r="E174" s="31" t="n">
        <f aca="false">SUMIFS('Sales Data'!$P$2:$P$1201,'Sales Data'!$D$2:$D$1201,A174)</f>
        <v>25541</v>
      </c>
      <c r="F174" s="11" t="n">
        <f aca="false">INDEX(Customers!$Q$7:$Q$9,MATCH(D174,Customers!$P$7:$P$9,1))</f>
        <v>3</v>
      </c>
      <c r="G174" s="11" t="n">
        <f aca="false">INDEX(Customers!$Q$12:$Q$14,MATCH(B174,Customers!$P$12:$P$14,1))</f>
        <v>2</v>
      </c>
      <c r="H174" s="11" t="n">
        <f aca="false">INDEX(Customers!$Q$17:$Q$19,MATCH(E174,Customers!$P$17:$P$19,1))</f>
        <v>2</v>
      </c>
      <c r="I174" s="11" t="n">
        <f aca="false">F174+G174+H174</f>
        <v>7</v>
      </c>
      <c r="J174" s="11" t="str">
        <f aca="false">INDEX(Customers!$Q$22:$Q$25,MATCH(I174,Customers!$P$22:$P$25,1))</f>
        <v>Loyal</v>
      </c>
    </row>
    <row r="175" customFormat="false" ht="15" hidden="false" customHeight="true" outlineLevel="0" collapsed="false">
      <c r="A175" s="11" t="str">
        <f aca="false">Customers!A78</f>
        <v>C074</v>
      </c>
      <c r="B175" s="11" t="n">
        <f aca="false">COUNTIF('Sales Data'!$D$2:$D$1201,A175)</f>
        <v>4</v>
      </c>
      <c r="C175" s="92" t="n">
        <f aca="false">_xlfn.MAXIFS('Sales Data'!$B$2:$B$1201,'Sales Data'!$D$2:$D$1201,A175)</f>
        <v>46021</v>
      </c>
      <c r="D175" s="11" t="n">
        <f aca="false">Customers!$Q$4-C175</f>
        <v>1</v>
      </c>
      <c r="E175" s="31" t="n">
        <f aca="false">SUMIFS('Sales Data'!$P$2:$P$1201,'Sales Data'!$D$2:$D$1201,A175)</f>
        <v>20022</v>
      </c>
      <c r="F175" s="11" t="n">
        <f aca="false">INDEX(Customers!$Q$7:$Q$9,MATCH(D175,Customers!$P$7:$P$9,1))</f>
        <v>3</v>
      </c>
      <c r="G175" s="11" t="n">
        <f aca="false">INDEX(Customers!$Q$12:$Q$14,MATCH(B175,Customers!$P$12:$P$14,1))</f>
        <v>2</v>
      </c>
      <c r="H175" s="11" t="n">
        <f aca="false">INDEX(Customers!$Q$17:$Q$19,MATCH(E175,Customers!$P$17:$P$19,1))</f>
        <v>2</v>
      </c>
      <c r="I175" s="11" t="n">
        <f aca="false">F175+G175+H175</f>
        <v>7</v>
      </c>
      <c r="J175" s="11" t="str">
        <f aca="false">INDEX(Customers!$Q$22:$Q$25,MATCH(I175,Customers!$P$22:$P$25,1))</f>
        <v>Loyal</v>
      </c>
    </row>
    <row r="176" customFormat="false" ht="15" hidden="false" customHeight="true" outlineLevel="0" collapsed="false">
      <c r="A176" s="11" t="str">
        <f aca="false">Customers!A79</f>
        <v>C075</v>
      </c>
      <c r="B176" s="11" t="n">
        <f aca="false">COUNTIF('Sales Data'!$D$2:$D$1201,A176)</f>
        <v>8</v>
      </c>
      <c r="C176" s="92" t="n">
        <f aca="false">_xlfn.MAXIFS('Sales Data'!$B$2:$B$1201,'Sales Data'!$D$2:$D$1201,A176)</f>
        <v>46014</v>
      </c>
      <c r="D176" s="11" t="n">
        <f aca="false">Customers!$Q$4-C176</f>
        <v>8</v>
      </c>
      <c r="E176" s="31" t="n">
        <f aca="false">SUMIFS('Sales Data'!$P$2:$P$1201,'Sales Data'!$D$2:$D$1201,A176)</f>
        <v>95404</v>
      </c>
      <c r="F176" s="11" t="n">
        <f aca="false">INDEX(Customers!$Q$7:$Q$9,MATCH(D176,Customers!$P$7:$P$9,1))</f>
        <v>3</v>
      </c>
      <c r="G176" s="11" t="n">
        <f aca="false">INDEX(Customers!$Q$12:$Q$14,MATCH(B176,Customers!$P$12:$P$14,1))</f>
        <v>3</v>
      </c>
      <c r="H176" s="11" t="n">
        <f aca="false">INDEX(Customers!$Q$17:$Q$19,MATCH(E176,Customers!$P$17:$P$19,1))</f>
        <v>3</v>
      </c>
      <c r="I176" s="11" t="n">
        <f aca="false">F176+G176+H176</f>
        <v>9</v>
      </c>
      <c r="J176" s="11" t="str">
        <f aca="false">INDEX(Customers!$Q$22:$Q$25,MATCH(I176,Customers!$P$22:$P$25,1))</f>
        <v>Champion</v>
      </c>
    </row>
    <row r="177" customFormat="false" ht="15" hidden="false" customHeight="true" outlineLevel="0" collapsed="false">
      <c r="A177" s="11" t="str">
        <f aca="false">Customers!A80</f>
        <v>C076</v>
      </c>
      <c r="B177" s="11" t="n">
        <f aca="false">COUNTIF('Sales Data'!$D$2:$D$1201,A177)</f>
        <v>4</v>
      </c>
      <c r="C177" s="92" t="n">
        <f aca="false">_xlfn.MAXIFS('Sales Data'!$B$2:$B$1201,'Sales Data'!$D$2:$D$1201,A177)</f>
        <v>45997</v>
      </c>
      <c r="D177" s="11" t="n">
        <f aca="false">Customers!$Q$4-C177</f>
        <v>25</v>
      </c>
      <c r="E177" s="31" t="n">
        <f aca="false">SUMIFS('Sales Data'!$P$2:$P$1201,'Sales Data'!$D$2:$D$1201,A177)</f>
        <v>4802</v>
      </c>
      <c r="F177" s="11" t="n">
        <f aca="false">INDEX(Customers!$Q$7:$Q$9,MATCH(D177,Customers!$P$7:$P$9,1))</f>
        <v>3</v>
      </c>
      <c r="G177" s="11" t="n">
        <f aca="false">INDEX(Customers!$Q$12:$Q$14,MATCH(B177,Customers!$P$12:$P$14,1))</f>
        <v>2</v>
      </c>
      <c r="H177" s="11" t="n">
        <f aca="false">INDEX(Customers!$Q$17:$Q$19,MATCH(E177,Customers!$P$17:$P$19,1))</f>
        <v>1</v>
      </c>
      <c r="I177" s="11" t="n">
        <f aca="false">F177+G177+H177</f>
        <v>6</v>
      </c>
      <c r="J177" s="11" t="str">
        <f aca="false">INDEX(Customers!$Q$22:$Q$25,MATCH(I177,Customers!$P$22:$P$25,1))</f>
        <v>Loyal</v>
      </c>
    </row>
    <row r="178" customFormat="false" ht="15" hidden="false" customHeight="true" outlineLevel="0" collapsed="false">
      <c r="A178" s="11" t="str">
        <f aca="false">Customers!A81</f>
        <v>C077</v>
      </c>
      <c r="B178" s="11" t="n">
        <f aca="false">COUNTIF('Sales Data'!$D$2:$D$1201,A178)</f>
        <v>7</v>
      </c>
      <c r="C178" s="92" t="n">
        <f aca="false">_xlfn.MAXIFS('Sales Data'!$B$2:$B$1201,'Sales Data'!$D$2:$D$1201,A178)</f>
        <v>46005</v>
      </c>
      <c r="D178" s="11" t="n">
        <f aca="false">Customers!$Q$4-C178</f>
        <v>17</v>
      </c>
      <c r="E178" s="31" t="n">
        <f aca="false">SUMIFS('Sales Data'!$P$2:$P$1201,'Sales Data'!$D$2:$D$1201,A178)</f>
        <v>42192</v>
      </c>
      <c r="F178" s="11" t="n">
        <f aca="false">INDEX(Customers!$Q$7:$Q$9,MATCH(D178,Customers!$P$7:$P$9,1))</f>
        <v>3</v>
      </c>
      <c r="G178" s="11" t="n">
        <f aca="false">INDEX(Customers!$Q$12:$Q$14,MATCH(B178,Customers!$P$12:$P$14,1))</f>
        <v>3</v>
      </c>
      <c r="H178" s="11" t="n">
        <f aca="false">INDEX(Customers!$Q$17:$Q$19,MATCH(E178,Customers!$P$17:$P$19,1))</f>
        <v>2</v>
      </c>
      <c r="I178" s="11" t="n">
        <f aca="false">F178+G178+H178</f>
        <v>8</v>
      </c>
      <c r="J178" s="11" t="str">
        <f aca="false">INDEX(Customers!$Q$22:$Q$25,MATCH(I178,Customers!$P$22:$P$25,1))</f>
        <v>Champion</v>
      </c>
    </row>
    <row r="179" customFormat="false" ht="15" hidden="false" customHeight="true" outlineLevel="0" collapsed="false">
      <c r="A179" s="11" t="str">
        <f aca="false">Customers!A82</f>
        <v>C078</v>
      </c>
      <c r="B179" s="11" t="n">
        <f aca="false">COUNTIF('Sales Data'!$D$2:$D$1201,A179)</f>
        <v>9</v>
      </c>
      <c r="C179" s="92" t="n">
        <f aca="false">_xlfn.MAXIFS('Sales Data'!$B$2:$B$1201,'Sales Data'!$D$2:$D$1201,A179)</f>
        <v>45998</v>
      </c>
      <c r="D179" s="11" t="n">
        <f aca="false">Customers!$Q$4-C179</f>
        <v>24</v>
      </c>
      <c r="E179" s="31" t="n">
        <f aca="false">SUMIFS('Sales Data'!$P$2:$P$1201,'Sales Data'!$D$2:$D$1201,A179)</f>
        <v>54822</v>
      </c>
      <c r="F179" s="11" t="n">
        <f aca="false">INDEX(Customers!$Q$7:$Q$9,MATCH(D179,Customers!$P$7:$P$9,1))</f>
        <v>3</v>
      </c>
      <c r="G179" s="11" t="n">
        <f aca="false">INDEX(Customers!$Q$12:$Q$14,MATCH(B179,Customers!$P$12:$P$14,1))</f>
        <v>3</v>
      </c>
      <c r="H179" s="11" t="n">
        <f aca="false">INDEX(Customers!$Q$17:$Q$19,MATCH(E179,Customers!$P$17:$P$19,1))</f>
        <v>3</v>
      </c>
      <c r="I179" s="11" t="n">
        <f aca="false">F179+G179+H179</f>
        <v>9</v>
      </c>
      <c r="J179" s="11" t="str">
        <f aca="false">INDEX(Customers!$Q$22:$Q$25,MATCH(I179,Customers!$P$22:$P$25,1))</f>
        <v>Champion</v>
      </c>
    </row>
    <row r="180" customFormat="false" ht="15" hidden="false" customHeight="true" outlineLevel="0" collapsed="false">
      <c r="A180" s="11" t="str">
        <f aca="false">Customers!A83</f>
        <v>C079</v>
      </c>
      <c r="B180" s="11" t="n">
        <f aca="false">COUNTIF('Sales Data'!$D$2:$D$1201,A180)</f>
        <v>10</v>
      </c>
      <c r="C180" s="92" t="n">
        <f aca="false">_xlfn.MAXIFS('Sales Data'!$B$2:$B$1201,'Sales Data'!$D$2:$D$1201,A180)</f>
        <v>46000</v>
      </c>
      <c r="D180" s="11" t="n">
        <f aca="false">Customers!$Q$4-C180</f>
        <v>22</v>
      </c>
      <c r="E180" s="31" t="n">
        <f aca="false">SUMIFS('Sales Data'!$P$2:$P$1201,'Sales Data'!$D$2:$D$1201,A180)</f>
        <v>46711</v>
      </c>
      <c r="F180" s="11" t="n">
        <f aca="false">INDEX(Customers!$Q$7:$Q$9,MATCH(D180,Customers!$P$7:$P$9,1))</f>
        <v>3</v>
      </c>
      <c r="G180" s="11" t="n">
        <f aca="false">INDEX(Customers!$Q$12:$Q$14,MATCH(B180,Customers!$P$12:$P$14,1))</f>
        <v>3</v>
      </c>
      <c r="H180" s="11" t="n">
        <f aca="false">INDEX(Customers!$Q$17:$Q$19,MATCH(E180,Customers!$P$17:$P$19,1))</f>
        <v>3</v>
      </c>
      <c r="I180" s="11" t="n">
        <f aca="false">F180+G180+H180</f>
        <v>9</v>
      </c>
      <c r="J180" s="11" t="str">
        <f aca="false">INDEX(Customers!$Q$22:$Q$25,MATCH(I180,Customers!$P$22:$P$25,1))</f>
        <v>Champion</v>
      </c>
    </row>
    <row r="181" customFormat="false" ht="15" hidden="false" customHeight="true" outlineLevel="0" collapsed="false">
      <c r="A181" s="11" t="str">
        <f aca="false">Customers!A84</f>
        <v>C080</v>
      </c>
      <c r="B181" s="11" t="n">
        <f aca="false">COUNTIF('Sales Data'!$D$2:$D$1201,A181)</f>
        <v>3</v>
      </c>
      <c r="C181" s="92" t="n">
        <f aca="false">_xlfn.MAXIFS('Sales Data'!$B$2:$B$1201,'Sales Data'!$D$2:$D$1201,A181)</f>
        <v>45799</v>
      </c>
      <c r="D181" s="11" t="n">
        <f aca="false">Customers!$Q$4-C181</f>
        <v>223</v>
      </c>
      <c r="E181" s="31" t="n">
        <f aca="false">SUMIFS('Sales Data'!$P$2:$P$1201,'Sales Data'!$D$2:$D$1201,A181)</f>
        <v>19196</v>
      </c>
      <c r="F181" s="11" t="n">
        <f aca="false">INDEX(Customers!$Q$7:$Q$9,MATCH(D181,Customers!$P$7:$P$9,1))</f>
        <v>1</v>
      </c>
      <c r="G181" s="11" t="n">
        <f aca="false">INDEX(Customers!$Q$12:$Q$14,MATCH(B181,Customers!$P$12:$P$14,1))</f>
        <v>2</v>
      </c>
      <c r="H181" s="11" t="n">
        <f aca="false">INDEX(Customers!$Q$17:$Q$19,MATCH(E181,Customers!$P$17:$P$19,1))</f>
        <v>2</v>
      </c>
      <c r="I181" s="11" t="n">
        <f aca="false">F181+G181+H181</f>
        <v>5</v>
      </c>
      <c r="J181" s="11" t="str">
        <f aca="false">INDEX(Customers!$Q$22:$Q$25,MATCH(I181,Customers!$P$22:$P$25,1))</f>
        <v>At Risk</v>
      </c>
    </row>
    <row r="182" customFormat="false" ht="15" hidden="false" customHeight="true" outlineLevel="0" collapsed="false">
      <c r="A182" s="11" t="str">
        <f aca="false">Customers!A85</f>
        <v>C081</v>
      </c>
      <c r="B182" s="11" t="n">
        <f aca="false">COUNTIF('Sales Data'!$D$2:$D$1201,A182)</f>
        <v>7</v>
      </c>
      <c r="C182" s="92" t="n">
        <f aca="false">_xlfn.MAXIFS('Sales Data'!$B$2:$B$1201,'Sales Data'!$D$2:$D$1201,A182)</f>
        <v>46007</v>
      </c>
      <c r="D182" s="11" t="n">
        <f aca="false">Customers!$Q$4-C182</f>
        <v>15</v>
      </c>
      <c r="E182" s="31" t="n">
        <f aca="false">SUMIFS('Sales Data'!$P$2:$P$1201,'Sales Data'!$D$2:$D$1201,A182)</f>
        <v>28496</v>
      </c>
      <c r="F182" s="11" t="n">
        <f aca="false">INDEX(Customers!$Q$7:$Q$9,MATCH(D182,Customers!$P$7:$P$9,1))</f>
        <v>3</v>
      </c>
      <c r="G182" s="11" t="n">
        <f aca="false">INDEX(Customers!$Q$12:$Q$14,MATCH(B182,Customers!$P$12:$P$14,1))</f>
        <v>3</v>
      </c>
      <c r="H182" s="11" t="n">
        <f aca="false">INDEX(Customers!$Q$17:$Q$19,MATCH(E182,Customers!$P$17:$P$19,1))</f>
        <v>2</v>
      </c>
      <c r="I182" s="11" t="n">
        <f aca="false">F182+G182+H182</f>
        <v>8</v>
      </c>
      <c r="J182" s="11" t="str">
        <f aca="false">INDEX(Customers!$Q$22:$Q$25,MATCH(I182,Customers!$P$22:$P$25,1))</f>
        <v>Champion</v>
      </c>
    </row>
    <row r="183" customFormat="false" ht="15" hidden="false" customHeight="true" outlineLevel="0" collapsed="false">
      <c r="A183" s="11" t="str">
        <f aca="false">Customers!A86</f>
        <v>C082</v>
      </c>
      <c r="B183" s="11" t="n">
        <f aca="false">COUNTIF('Sales Data'!$D$2:$D$1201,A183)</f>
        <v>10</v>
      </c>
      <c r="C183" s="92" t="n">
        <f aca="false">_xlfn.MAXIFS('Sales Data'!$B$2:$B$1201,'Sales Data'!$D$2:$D$1201,A183)</f>
        <v>46006</v>
      </c>
      <c r="D183" s="11" t="n">
        <f aca="false">Customers!$Q$4-C183</f>
        <v>16</v>
      </c>
      <c r="E183" s="31" t="n">
        <f aca="false">SUMIFS('Sales Data'!$P$2:$P$1201,'Sales Data'!$D$2:$D$1201,A183)</f>
        <v>25052</v>
      </c>
      <c r="F183" s="11" t="n">
        <f aca="false">INDEX(Customers!$Q$7:$Q$9,MATCH(D183,Customers!$P$7:$P$9,1))</f>
        <v>3</v>
      </c>
      <c r="G183" s="11" t="n">
        <f aca="false">INDEX(Customers!$Q$12:$Q$14,MATCH(B183,Customers!$P$12:$P$14,1))</f>
        <v>3</v>
      </c>
      <c r="H183" s="11" t="n">
        <f aca="false">INDEX(Customers!$Q$17:$Q$19,MATCH(E183,Customers!$P$17:$P$19,1))</f>
        <v>2</v>
      </c>
      <c r="I183" s="11" t="n">
        <f aca="false">F183+G183+H183</f>
        <v>8</v>
      </c>
      <c r="J183" s="11" t="str">
        <f aca="false">INDEX(Customers!$Q$22:$Q$25,MATCH(I183,Customers!$P$22:$P$25,1))</f>
        <v>Champion</v>
      </c>
    </row>
    <row r="184" customFormat="false" ht="15" hidden="false" customHeight="true" outlineLevel="0" collapsed="false">
      <c r="A184" s="11" t="str">
        <f aca="false">Customers!A87</f>
        <v>C083</v>
      </c>
      <c r="B184" s="11" t="n">
        <f aca="false">COUNTIF('Sales Data'!$D$2:$D$1201,A184)</f>
        <v>4</v>
      </c>
      <c r="C184" s="92" t="n">
        <f aca="false">_xlfn.MAXIFS('Sales Data'!$B$2:$B$1201,'Sales Data'!$D$2:$D$1201,A184)</f>
        <v>45999</v>
      </c>
      <c r="D184" s="11" t="n">
        <f aca="false">Customers!$Q$4-C184</f>
        <v>23</v>
      </c>
      <c r="E184" s="31" t="n">
        <f aca="false">SUMIFS('Sales Data'!$P$2:$P$1201,'Sales Data'!$D$2:$D$1201,A184)</f>
        <v>8475</v>
      </c>
      <c r="F184" s="11" t="n">
        <f aca="false">INDEX(Customers!$Q$7:$Q$9,MATCH(D184,Customers!$P$7:$P$9,1))</f>
        <v>3</v>
      </c>
      <c r="G184" s="11" t="n">
        <f aca="false">INDEX(Customers!$Q$12:$Q$14,MATCH(B184,Customers!$P$12:$P$14,1))</f>
        <v>2</v>
      </c>
      <c r="H184" s="11" t="n">
        <f aca="false">INDEX(Customers!$Q$17:$Q$19,MATCH(E184,Customers!$P$17:$P$19,1))</f>
        <v>1</v>
      </c>
      <c r="I184" s="11" t="n">
        <f aca="false">F184+G184+H184</f>
        <v>6</v>
      </c>
      <c r="J184" s="11" t="str">
        <f aca="false">INDEX(Customers!$Q$22:$Q$25,MATCH(I184,Customers!$P$22:$P$25,1))</f>
        <v>Loyal</v>
      </c>
    </row>
    <row r="185" customFormat="false" ht="15" hidden="false" customHeight="true" outlineLevel="0" collapsed="false">
      <c r="A185" s="11" t="str">
        <f aca="false">Customers!A88</f>
        <v>C084</v>
      </c>
      <c r="B185" s="11" t="n">
        <f aca="false">COUNTIF('Sales Data'!$D$2:$D$1201,A185)</f>
        <v>16</v>
      </c>
      <c r="C185" s="92" t="n">
        <f aca="false">_xlfn.MAXIFS('Sales Data'!$B$2:$B$1201,'Sales Data'!$D$2:$D$1201,A185)</f>
        <v>46014</v>
      </c>
      <c r="D185" s="11" t="n">
        <f aca="false">Customers!$Q$4-C185</f>
        <v>8</v>
      </c>
      <c r="E185" s="31" t="n">
        <f aca="false">SUMIFS('Sales Data'!$P$2:$P$1201,'Sales Data'!$D$2:$D$1201,A185)</f>
        <v>111399</v>
      </c>
      <c r="F185" s="11" t="n">
        <f aca="false">INDEX(Customers!$Q$7:$Q$9,MATCH(D185,Customers!$P$7:$P$9,1))</f>
        <v>3</v>
      </c>
      <c r="G185" s="11" t="n">
        <f aca="false">INDEX(Customers!$Q$12:$Q$14,MATCH(B185,Customers!$P$12:$P$14,1))</f>
        <v>3</v>
      </c>
      <c r="H185" s="11" t="n">
        <f aca="false">INDEX(Customers!$Q$17:$Q$19,MATCH(E185,Customers!$P$17:$P$19,1))</f>
        <v>3</v>
      </c>
      <c r="I185" s="11" t="n">
        <f aca="false">F185+G185+H185</f>
        <v>9</v>
      </c>
      <c r="J185" s="11" t="str">
        <f aca="false">INDEX(Customers!$Q$22:$Q$25,MATCH(I185,Customers!$P$22:$P$25,1))</f>
        <v>Champion</v>
      </c>
    </row>
    <row r="186" customFormat="false" ht="15" hidden="false" customHeight="true" outlineLevel="0" collapsed="false">
      <c r="A186" s="11" t="str">
        <f aca="false">Customers!A89</f>
        <v>C085</v>
      </c>
      <c r="B186" s="11" t="n">
        <f aca="false">COUNTIF('Sales Data'!$D$2:$D$1201,A186)</f>
        <v>18</v>
      </c>
      <c r="C186" s="92" t="n">
        <f aca="false">_xlfn.MAXIFS('Sales Data'!$B$2:$B$1201,'Sales Data'!$D$2:$D$1201,A186)</f>
        <v>46011</v>
      </c>
      <c r="D186" s="11" t="n">
        <f aca="false">Customers!$Q$4-C186</f>
        <v>11</v>
      </c>
      <c r="E186" s="31" t="n">
        <f aca="false">SUMIFS('Sales Data'!$P$2:$P$1201,'Sales Data'!$D$2:$D$1201,A186)</f>
        <v>57075</v>
      </c>
      <c r="F186" s="11" t="n">
        <f aca="false">INDEX(Customers!$Q$7:$Q$9,MATCH(D186,Customers!$P$7:$P$9,1))</f>
        <v>3</v>
      </c>
      <c r="G186" s="11" t="n">
        <f aca="false">INDEX(Customers!$Q$12:$Q$14,MATCH(B186,Customers!$P$12:$P$14,1))</f>
        <v>3</v>
      </c>
      <c r="H186" s="11" t="n">
        <f aca="false">INDEX(Customers!$Q$17:$Q$19,MATCH(E186,Customers!$P$17:$P$19,1))</f>
        <v>3</v>
      </c>
      <c r="I186" s="11" t="n">
        <f aca="false">F186+G186+H186</f>
        <v>9</v>
      </c>
      <c r="J186" s="11" t="str">
        <f aca="false">INDEX(Customers!$Q$22:$Q$25,MATCH(I186,Customers!$P$22:$P$25,1))</f>
        <v>Champion</v>
      </c>
    </row>
    <row r="187" customFormat="false" ht="15" hidden="false" customHeight="true" outlineLevel="0" collapsed="false">
      <c r="A187" s="11" t="str">
        <f aca="false">Customers!A90</f>
        <v>C086</v>
      </c>
      <c r="B187" s="11" t="n">
        <f aca="false">COUNTIF('Sales Data'!$D$2:$D$1201,A187)</f>
        <v>1</v>
      </c>
      <c r="C187" s="92" t="n">
        <f aca="false">_xlfn.MAXIFS('Sales Data'!$B$2:$B$1201,'Sales Data'!$D$2:$D$1201,A187)</f>
        <v>45877</v>
      </c>
      <c r="D187" s="11" t="n">
        <f aca="false">Customers!$Q$4-C187</f>
        <v>145</v>
      </c>
      <c r="E187" s="31" t="n">
        <f aca="false">SUMIFS('Sales Data'!$P$2:$P$1201,'Sales Data'!$D$2:$D$1201,A187)</f>
        <v>2799</v>
      </c>
      <c r="F187" s="11" t="n">
        <f aca="false">INDEX(Customers!$Q$7:$Q$9,MATCH(D187,Customers!$P$7:$P$9,1))</f>
        <v>2</v>
      </c>
      <c r="G187" s="11" t="n">
        <f aca="false">INDEX(Customers!$Q$12:$Q$14,MATCH(B187,Customers!$P$12:$P$14,1))</f>
        <v>1</v>
      </c>
      <c r="H187" s="11" t="n">
        <f aca="false">INDEX(Customers!$Q$17:$Q$19,MATCH(E187,Customers!$P$17:$P$19,1))</f>
        <v>1</v>
      </c>
      <c r="I187" s="11" t="n">
        <f aca="false">F187+G187+H187</f>
        <v>4</v>
      </c>
      <c r="J187" s="11" t="str">
        <f aca="false">INDEX(Customers!$Q$22:$Q$25,MATCH(I187,Customers!$P$22:$P$25,1))</f>
        <v>At Risk</v>
      </c>
    </row>
    <row r="188" customFormat="false" ht="15" hidden="false" customHeight="true" outlineLevel="0" collapsed="false">
      <c r="A188" s="11" t="str">
        <f aca="false">Customers!A91</f>
        <v>C087</v>
      </c>
      <c r="B188" s="11" t="n">
        <f aca="false">COUNTIF('Sales Data'!$D$2:$D$1201,A188)</f>
        <v>7</v>
      </c>
      <c r="C188" s="92" t="n">
        <f aca="false">_xlfn.MAXIFS('Sales Data'!$B$2:$B$1201,'Sales Data'!$D$2:$D$1201,A188)</f>
        <v>46014</v>
      </c>
      <c r="D188" s="11" t="n">
        <f aca="false">Customers!$Q$4-C188</f>
        <v>8</v>
      </c>
      <c r="E188" s="31" t="n">
        <f aca="false">SUMIFS('Sales Data'!$P$2:$P$1201,'Sales Data'!$D$2:$D$1201,A188)</f>
        <v>26366</v>
      </c>
      <c r="F188" s="11" t="n">
        <f aca="false">INDEX(Customers!$Q$7:$Q$9,MATCH(D188,Customers!$P$7:$P$9,1))</f>
        <v>3</v>
      </c>
      <c r="G188" s="11" t="n">
        <f aca="false">INDEX(Customers!$Q$12:$Q$14,MATCH(B188,Customers!$P$12:$P$14,1))</f>
        <v>3</v>
      </c>
      <c r="H188" s="11" t="n">
        <f aca="false">INDEX(Customers!$Q$17:$Q$19,MATCH(E188,Customers!$P$17:$P$19,1))</f>
        <v>2</v>
      </c>
      <c r="I188" s="11" t="n">
        <f aca="false">F188+G188+H188</f>
        <v>8</v>
      </c>
      <c r="J188" s="11" t="str">
        <f aca="false">INDEX(Customers!$Q$22:$Q$25,MATCH(I188,Customers!$P$22:$P$25,1))</f>
        <v>Champion</v>
      </c>
    </row>
    <row r="189" customFormat="false" ht="15" hidden="false" customHeight="true" outlineLevel="0" collapsed="false">
      <c r="A189" s="11" t="str">
        <f aca="false">Customers!A92</f>
        <v>C088</v>
      </c>
      <c r="B189" s="11" t="n">
        <f aca="false">COUNTIF('Sales Data'!$D$2:$D$1201,A189)</f>
        <v>1</v>
      </c>
      <c r="C189" s="92" t="n">
        <f aca="false">_xlfn.MAXIFS('Sales Data'!$B$2:$B$1201,'Sales Data'!$D$2:$D$1201,A189)</f>
        <v>45941</v>
      </c>
      <c r="D189" s="11" t="n">
        <f aca="false">Customers!$Q$4-C189</f>
        <v>81</v>
      </c>
      <c r="E189" s="31" t="n">
        <f aca="false">SUMIFS('Sales Data'!$P$2:$P$1201,'Sales Data'!$D$2:$D$1201,A189)</f>
        <v>749</v>
      </c>
      <c r="F189" s="11" t="n">
        <f aca="false">INDEX(Customers!$Q$7:$Q$9,MATCH(D189,Customers!$P$7:$P$9,1))</f>
        <v>2</v>
      </c>
      <c r="G189" s="11" t="n">
        <f aca="false">INDEX(Customers!$Q$12:$Q$14,MATCH(B189,Customers!$P$12:$P$14,1))</f>
        <v>1</v>
      </c>
      <c r="H189" s="11" t="n">
        <f aca="false">INDEX(Customers!$Q$17:$Q$19,MATCH(E189,Customers!$P$17:$P$19,1))</f>
        <v>1</v>
      </c>
      <c r="I189" s="11" t="n">
        <f aca="false">F189+G189+H189</f>
        <v>4</v>
      </c>
      <c r="J189" s="11" t="str">
        <f aca="false">INDEX(Customers!$Q$22:$Q$25,MATCH(I189,Customers!$P$22:$P$25,1))</f>
        <v>At Risk</v>
      </c>
    </row>
    <row r="190" customFormat="false" ht="15" hidden="false" customHeight="true" outlineLevel="0" collapsed="false">
      <c r="A190" s="11" t="str">
        <f aca="false">Customers!A93</f>
        <v>C089</v>
      </c>
      <c r="B190" s="11" t="n">
        <f aca="false">COUNTIF('Sales Data'!$D$2:$D$1201,A190)</f>
        <v>5</v>
      </c>
      <c r="C190" s="92" t="n">
        <f aca="false">_xlfn.MAXIFS('Sales Data'!$B$2:$B$1201,'Sales Data'!$D$2:$D$1201,A190)</f>
        <v>46012</v>
      </c>
      <c r="D190" s="11" t="n">
        <f aca="false">Customers!$Q$4-C190</f>
        <v>10</v>
      </c>
      <c r="E190" s="31" t="n">
        <f aca="false">SUMIFS('Sales Data'!$P$2:$P$1201,'Sales Data'!$D$2:$D$1201,A190)</f>
        <v>24922</v>
      </c>
      <c r="F190" s="11" t="n">
        <f aca="false">INDEX(Customers!$Q$7:$Q$9,MATCH(D190,Customers!$P$7:$P$9,1))</f>
        <v>3</v>
      </c>
      <c r="G190" s="11" t="n">
        <f aca="false">INDEX(Customers!$Q$12:$Q$14,MATCH(B190,Customers!$P$12:$P$14,1))</f>
        <v>2</v>
      </c>
      <c r="H190" s="11" t="n">
        <f aca="false">INDEX(Customers!$Q$17:$Q$19,MATCH(E190,Customers!$P$17:$P$19,1))</f>
        <v>2</v>
      </c>
      <c r="I190" s="11" t="n">
        <f aca="false">F190+G190+H190</f>
        <v>7</v>
      </c>
      <c r="J190" s="11" t="str">
        <f aca="false">INDEX(Customers!$Q$22:$Q$25,MATCH(I190,Customers!$P$22:$P$25,1))</f>
        <v>Loyal</v>
      </c>
    </row>
    <row r="191" customFormat="false" ht="15" hidden="false" customHeight="true" outlineLevel="0" collapsed="false">
      <c r="A191" s="11" t="str">
        <f aca="false">Customers!A94</f>
        <v>C090</v>
      </c>
      <c r="B191" s="11" t="n">
        <f aca="false">COUNTIF('Sales Data'!$D$2:$D$1201,A191)</f>
        <v>5</v>
      </c>
      <c r="C191" s="92" t="n">
        <f aca="false">_xlfn.MAXIFS('Sales Data'!$B$2:$B$1201,'Sales Data'!$D$2:$D$1201,A191)</f>
        <v>45813</v>
      </c>
      <c r="D191" s="11" t="n">
        <f aca="false">Customers!$Q$4-C191</f>
        <v>209</v>
      </c>
      <c r="E191" s="31" t="n">
        <f aca="false">SUMIFS('Sales Data'!$P$2:$P$1201,'Sales Data'!$D$2:$D$1201,A191)</f>
        <v>17446</v>
      </c>
      <c r="F191" s="11" t="n">
        <f aca="false">INDEX(Customers!$Q$7:$Q$9,MATCH(D191,Customers!$P$7:$P$9,1))</f>
        <v>1</v>
      </c>
      <c r="G191" s="11" t="n">
        <f aca="false">INDEX(Customers!$Q$12:$Q$14,MATCH(B191,Customers!$P$12:$P$14,1))</f>
        <v>2</v>
      </c>
      <c r="H191" s="11" t="n">
        <f aca="false">INDEX(Customers!$Q$17:$Q$19,MATCH(E191,Customers!$P$17:$P$19,1))</f>
        <v>2</v>
      </c>
      <c r="I191" s="11" t="n">
        <f aca="false">F191+G191+H191</f>
        <v>5</v>
      </c>
      <c r="J191" s="11" t="str">
        <f aca="false">INDEX(Customers!$Q$22:$Q$25,MATCH(I191,Customers!$P$22:$P$25,1))</f>
        <v>At Risk</v>
      </c>
    </row>
    <row r="192" customFormat="false" ht="15" hidden="false" customHeight="true" outlineLevel="0" collapsed="false">
      <c r="A192" s="11" t="str">
        <f aca="false">Customers!A95</f>
        <v>C091</v>
      </c>
      <c r="B192" s="11" t="n">
        <f aca="false">COUNTIF('Sales Data'!$D$2:$D$1201,A192)</f>
        <v>3</v>
      </c>
      <c r="C192" s="92" t="n">
        <f aca="false">_xlfn.MAXIFS('Sales Data'!$B$2:$B$1201,'Sales Data'!$D$2:$D$1201,A192)</f>
        <v>45976</v>
      </c>
      <c r="D192" s="11" t="n">
        <f aca="false">Customers!$Q$4-C192</f>
        <v>46</v>
      </c>
      <c r="E192" s="31" t="n">
        <f aca="false">SUMIFS('Sales Data'!$P$2:$P$1201,'Sales Data'!$D$2:$D$1201,A192)</f>
        <v>10736</v>
      </c>
      <c r="F192" s="11" t="n">
        <f aca="false">INDEX(Customers!$Q$7:$Q$9,MATCH(D192,Customers!$P$7:$P$9,1))</f>
        <v>2</v>
      </c>
      <c r="G192" s="11" t="n">
        <f aca="false">INDEX(Customers!$Q$12:$Q$14,MATCH(B192,Customers!$P$12:$P$14,1))</f>
        <v>2</v>
      </c>
      <c r="H192" s="11" t="n">
        <f aca="false">INDEX(Customers!$Q$17:$Q$19,MATCH(E192,Customers!$P$17:$P$19,1))</f>
        <v>1</v>
      </c>
      <c r="I192" s="11" t="n">
        <f aca="false">F192+G192+H192</f>
        <v>5</v>
      </c>
      <c r="J192" s="11" t="str">
        <f aca="false">INDEX(Customers!$Q$22:$Q$25,MATCH(I192,Customers!$P$22:$P$25,1))</f>
        <v>At Risk</v>
      </c>
    </row>
    <row r="193" customFormat="false" ht="15" hidden="false" customHeight="true" outlineLevel="0" collapsed="false">
      <c r="A193" s="11" t="str">
        <f aca="false">Customers!A96</f>
        <v>C092</v>
      </c>
      <c r="B193" s="11" t="n">
        <f aca="false">COUNTIF('Sales Data'!$D$2:$D$1201,A193)</f>
        <v>4</v>
      </c>
      <c r="C193" s="92" t="n">
        <f aca="false">_xlfn.MAXIFS('Sales Data'!$B$2:$B$1201,'Sales Data'!$D$2:$D$1201,A193)</f>
        <v>46001</v>
      </c>
      <c r="D193" s="11" t="n">
        <f aca="false">Customers!$Q$4-C193</f>
        <v>21</v>
      </c>
      <c r="E193" s="31" t="n">
        <f aca="false">SUMIFS('Sales Data'!$P$2:$P$1201,'Sales Data'!$D$2:$D$1201,A193)</f>
        <v>6236</v>
      </c>
      <c r="F193" s="11" t="n">
        <f aca="false">INDEX(Customers!$Q$7:$Q$9,MATCH(D193,Customers!$P$7:$P$9,1))</f>
        <v>3</v>
      </c>
      <c r="G193" s="11" t="n">
        <f aca="false">INDEX(Customers!$Q$12:$Q$14,MATCH(B193,Customers!$P$12:$P$14,1))</f>
        <v>2</v>
      </c>
      <c r="H193" s="11" t="n">
        <f aca="false">INDEX(Customers!$Q$17:$Q$19,MATCH(E193,Customers!$P$17:$P$19,1))</f>
        <v>1</v>
      </c>
      <c r="I193" s="11" t="n">
        <f aca="false">F193+G193+H193</f>
        <v>6</v>
      </c>
      <c r="J193" s="11" t="str">
        <f aca="false">INDEX(Customers!$Q$22:$Q$25,MATCH(I193,Customers!$P$22:$P$25,1))</f>
        <v>Loyal</v>
      </c>
    </row>
    <row r="194" customFormat="false" ht="15" hidden="false" customHeight="true" outlineLevel="0" collapsed="false">
      <c r="A194" s="11" t="str">
        <f aca="false">Customers!A97</f>
        <v>C093</v>
      </c>
      <c r="B194" s="11" t="n">
        <f aca="false">COUNTIF('Sales Data'!$D$2:$D$1201,A194)</f>
        <v>5</v>
      </c>
      <c r="C194" s="92" t="n">
        <f aca="false">_xlfn.MAXIFS('Sales Data'!$B$2:$B$1201,'Sales Data'!$D$2:$D$1201,A194)</f>
        <v>46020</v>
      </c>
      <c r="D194" s="11" t="n">
        <f aca="false">Customers!$Q$4-C194</f>
        <v>2</v>
      </c>
      <c r="E194" s="31" t="n">
        <f aca="false">SUMIFS('Sales Data'!$P$2:$P$1201,'Sales Data'!$D$2:$D$1201,A194)</f>
        <v>7294</v>
      </c>
      <c r="F194" s="11" t="n">
        <f aca="false">INDEX(Customers!$Q$7:$Q$9,MATCH(D194,Customers!$P$7:$P$9,1))</f>
        <v>3</v>
      </c>
      <c r="G194" s="11" t="n">
        <f aca="false">INDEX(Customers!$Q$12:$Q$14,MATCH(B194,Customers!$P$12:$P$14,1))</f>
        <v>2</v>
      </c>
      <c r="H194" s="11" t="n">
        <f aca="false">INDEX(Customers!$Q$17:$Q$19,MATCH(E194,Customers!$P$17:$P$19,1))</f>
        <v>1</v>
      </c>
      <c r="I194" s="11" t="n">
        <f aca="false">F194+G194+H194</f>
        <v>6</v>
      </c>
      <c r="J194" s="11" t="str">
        <f aca="false">INDEX(Customers!$Q$22:$Q$25,MATCH(I194,Customers!$P$22:$P$25,1))</f>
        <v>Loyal</v>
      </c>
    </row>
    <row r="195" customFormat="false" ht="15" hidden="false" customHeight="true" outlineLevel="0" collapsed="false">
      <c r="A195" s="11" t="str">
        <f aca="false">Customers!A98</f>
        <v>C094</v>
      </c>
      <c r="B195" s="11" t="n">
        <f aca="false">COUNTIF('Sales Data'!$D$2:$D$1201,A195)</f>
        <v>1</v>
      </c>
      <c r="C195" s="92" t="n">
        <f aca="false">_xlfn.MAXIFS('Sales Data'!$B$2:$B$1201,'Sales Data'!$D$2:$D$1201,A195)</f>
        <v>46009</v>
      </c>
      <c r="D195" s="11" t="n">
        <f aca="false">Customers!$Q$4-C195</f>
        <v>13</v>
      </c>
      <c r="E195" s="31" t="n">
        <f aca="false">SUMIFS('Sales Data'!$P$2:$P$1201,'Sales Data'!$D$2:$D$1201,A195)</f>
        <v>1197</v>
      </c>
      <c r="F195" s="11" t="n">
        <f aca="false">INDEX(Customers!$Q$7:$Q$9,MATCH(D195,Customers!$P$7:$P$9,1))</f>
        <v>3</v>
      </c>
      <c r="G195" s="11" t="n">
        <f aca="false">INDEX(Customers!$Q$12:$Q$14,MATCH(B195,Customers!$P$12:$P$14,1))</f>
        <v>1</v>
      </c>
      <c r="H195" s="11" t="n">
        <f aca="false">INDEX(Customers!$Q$17:$Q$19,MATCH(E195,Customers!$P$17:$P$19,1))</f>
        <v>1</v>
      </c>
      <c r="I195" s="11" t="n">
        <f aca="false">F195+G195+H195</f>
        <v>5</v>
      </c>
      <c r="J195" s="11" t="str">
        <f aca="false">INDEX(Customers!$Q$22:$Q$25,MATCH(I195,Customers!$P$22:$P$25,1))</f>
        <v>At Risk</v>
      </c>
    </row>
    <row r="196" customFormat="false" ht="15" hidden="false" customHeight="true" outlineLevel="0" collapsed="false">
      <c r="A196" s="11" t="str">
        <f aca="false">Customers!A99</f>
        <v>C095</v>
      </c>
      <c r="B196" s="11" t="n">
        <f aca="false">COUNTIF('Sales Data'!$D$2:$D$1201,A196)</f>
        <v>19</v>
      </c>
      <c r="C196" s="92" t="n">
        <f aca="false">_xlfn.MAXIFS('Sales Data'!$B$2:$B$1201,'Sales Data'!$D$2:$D$1201,A196)</f>
        <v>46005</v>
      </c>
      <c r="D196" s="11" t="n">
        <f aca="false">Customers!$Q$4-C196</f>
        <v>17</v>
      </c>
      <c r="E196" s="31" t="n">
        <f aca="false">SUMIFS('Sales Data'!$P$2:$P$1201,'Sales Data'!$D$2:$D$1201,A196)</f>
        <v>77928</v>
      </c>
      <c r="F196" s="11" t="n">
        <f aca="false">INDEX(Customers!$Q$7:$Q$9,MATCH(D196,Customers!$P$7:$P$9,1))</f>
        <v>3</v>
      </c>
      <c r="G196" s="11" t="n">
        <f aca="false">INDEX(Customers!$Q$12:$Q$14,MATCH(B196,Customers!$P$12:$P$14,1))</f>
        <v>3</v>
      </c>
      <c r="H196" s="11" t="n">
        <f aca="false">INDEX(Customers!$Q$17:$Q$19,MATCH(E196,Customers!$P$17:$P$19,1))</f>
        <v>3</v>
      </c>
      <c r="I196" s="11" t="n">
        <f aca="false">F196+G196+H196</f>
        <v>9</v>
      </c>
      <c r="J196" s="11" t="str">
        <f aca="false">INDEX(Customers!$Q$22:$Q$25,MATCH(I196,Customers!$P$22:$P$25,1))</f>
        <v>Champion</v>
      </c>
    </row>
    <row r="197" customFormat="false" ht="15" hidden="false" customHeight="true" outlineLevel="0" collapsed="false">
      <c r="A197" s="11" t="str">
        <f aca="false">Customers!A100</f>
        <v>C096</v>
      </c>
      <c r="B197" s="11" t="n">
        <f aca="false">COUNTIF('Sales Data'!$D$2:$D$1201,A197)</f>
        <v>3</v>
      </c>
      <c r="C197" s="92" t="n">
        <f aca="false">_xlfn.MAXIFS('Sales Data'!$B$2:$B$1201,'Sales Data'!$D$2:$D$1201,A197)</f>
        <v>45989</v>
      </c>
      <c r="D197" s="11" t="n">
        <f aca="false">Customers!$Q$4-C197</f>
        <v>33</v>
      </c>
      <c r="E197" s="31" t="n">
        <f aca="false">SUMIFS('Sales Data'!$P$2:$P$1201,'Sales Data'!$D$2:$D$1201,A197)</f>
        <v>9164</v>
      </c>
      <c r="F197" s="11" t="n">
        <f aca="false">INDEX(Customers!$Q$7:$Q$9,MATCH(D197,Customers!$P$7:$P$9,1))</f>
        <v>3</v>
      </c>
      <c r="G197" s="11" t="n">
        <f aca="false">INDEX(Customers!$Q$12:$Q$14,MATCH(B197,Customers!$P$12:$P$14,1))</f>
        <v>2</v>
      </c>
      <c r="H197" s="11" t="n">
        <f aca="false">INDEX(Customers!$Q$17:$Q$19,MATCH(E197,Customers!$P$17:$P$19,1))</f>
        <v>1</v>
      </c>
      <c r="I197" s="11" t="n">
        <f aca="false">F197+G197+H197</f>
        <v>6</v>
      </c>
      <c r="J197" s="11" t="str">
        <f aca="false">INDEX(Customers!$Q$22:$Q$25,MATCH(I197,Customers!$P$22:$P$25,1))</f>
        <v>Loyal</v>
      </c>
    </row>
    <row r="198" customFormat="false" ht="15" hidden="false" customHeight="true" outlineLevel="0" collapsed="false">
      <c r="A198" s="11" t="str">
        <f aca="false">Customers!A101</f>
        <v>C097</v>
      </c>
      <c r="B198" s="11" t="n">
        <f aca="false">COUNTIF('Sales Data'!$D$2:$D$1201,A198)</f>
        <v>4</v>
      </c>
      <c r="C198" s="92" t="n">
        <f aca="false">_xlfn.MAXIFS('Sales Data'!$B$2:$B$1201,'Sales Data'!$D$2:$D$1201,A198)</f>
        <v>45936</v>
      </c>
      <c r="D198" s="11" t="n">
        <f aca="false">Customers!$Q$4-C198</f>
        <v>86</v>
      </c>
      <c r="E198" s="31" t="n">
        <f aca="false">SUMIFS('Sales Data'!$P$2:$P$1201,'Sales Data'!$D$2:$D$1201,A198)</f>
        <v>6754</v>
      </c>
      <c r="F198" s="11" t="n">
        <f aca="false">INDEX(Customers!$Q$7:$Q$9,MATCH(D198,Customers!$P$7:$P$9,1))</f>
        <v>2</v>
      </c>
      <c r="G198" s="11" t="n">
        <f aca="false">INDEX(Customers!$Q$12:$Q$14,MATCH(B198,Customers!$P$12:$P$14,1))</f>
        <v>2</v>
      </c>
      <c r="H198" s="11" t="n">
        <f aca="false">INDEX(Customers!$Q$17:$Q$19,MATCH(E198,Customers!$P$17:$P$19,1))</f>
        <v>1</v>
      </c>
      <c r="I198" s="11" t="n">
        <f aca="false">F198+G198+H198</f>
        <v>5</v>
      </c>
      <c r="J198" s="11" t="str">
        <f aca="false">INDEX(Customers!$Q$22:$Q$25,MATCH(I198,Customers!$P$22:$P$25,1))</f>
        <v>At Risk</v>
      </c>
    </row>
    <row r="199" customFormat="false" ht="15" hidden="false" customHeight="true" outlineLevel="0" collapsed="false">
      <c r="A199" s="11" t="str">
        <f aca="false">Customers!A102</f>
        <v>C098</v>
      </c>
      <c r="B199" s="11" t="n">
        <f aca="false">COUNTIF('Sales Data'!$D$2:$D$1201,A199)</f>
        <v>3</v>
      </c>
      <c r="C199" s="92" t="n">
        <f aca="false">_xlfn.MAXIFS('Sales Data'!$B$2:$B$1201,'Sales Data'!$D$2:$D$1201,A199)</f>
        <v>45886</v>
      </c>
      <c r="D199" s="11" t="n">
        <f aca="false">Customers!$Q$4-C199</f>
        <v>136</v>
      </c>
      <c r="E199" s="31" t="n">
        <f aca="false">SUMIFS('Sales Data'!$P$2:$P$1201,'Sales Data'!$D$2:$D$1201,A199)</f>
        <v>17197</v>
      </c>
      <c r="F199" s="11" t="n">
        <f aca="false">INDEX(Customers!$Q$7:$Q$9,MATCH(D199,Customers!$P$7:$P$9,1))</f>
        <v>2</v>
      </c>
      <c r="G199" s="11" t="n">
        <f aca="false">INDEX(Customers!$Q$12:$Q$14,MATCH(B199,Customers!$P$12:$P$14,1))</f>
        <v>2</v>
      </c>
      <c r="H199" s="11" t="n">
        <f aca="false">INDEX(Customers!$Q$17:$Q$19,MATCH(E199,Customers!$P$17:$P$19,1))</f>
        <v>2</v>
      </c>
      <c r="I199" s="11" t="n">
        <f aca="false">F199+G199+H199</f>
        <v>6</v>
      </c>
      <c r="J199" s="11" t="str">
        <f aca="false">INDEX(Customers!$Q$22:$Q$25,MATCH(I199,Customers!$P$22:$P$25,1))</f>
        <v>Loyal</v>
      </c>
    </row>
    <row r="200" customFormat="false" ht="15" hidden="false" customHeight="true" outlineLevel="0" collapsed="false">
      <c r="A200" s="11" t="str">
        <f aca="false">Customers!A103</f>
        <v>C099</v>
      </c>
      <c r="B200" s="11" t="n">
        <f aca="false">COUNTIF('Sales Data'!$D$2:$D$1201,A200)</f>
        <v>6</v>
      </c>
      <c r="C200" s="92" t="n">
        <f aca="false">_xlfn.MAXIFS('Sales Data'!$B$2:$B$1201,'Sales Data'!$D$2:$D$1201,A200)</f>
        <v>45999</v>
      </c>
      <c r="D200" s="11" t="n">
        <f aca="false">Customers!$Q$4-C200</f>
        <v>23</v>
      </c>
      <c r="E200" s="31" t="n">
        <f aca="false">SUMIFS('Sales Data'!$P$2:$P$1201,'Sales Data'!$D$2:$D$1201,A200)</f>
        <v>38730</v>
      </c>
      <c r="F200" s="11" t="n">
        <f aca="false">INDEX(Customers!$Q$7:$Q$9,MATCH(D200,Customers!$P$7:$P$9,1))</f>
        <v>3</v>
      </c>
      <c r="G200" s="11" t="n">
        <f aca="false">INDEX(Customers!$Q$12:$Q$14,MATCH(B200,Customers!$P$12:$P$14,1))</f>
        <v>2</v>
      </c>
      <c r="H200" s="11" t="n">
        <f aca="false">INDEX(Customers!$Q$17:$Q$19,MATCH(E200,Customers!$P$17:$P$19,1))</f>
        <v>2</v>
      </c>
      <c r="I200" s="11" t="n">
        <f aca="false">F200+G200+H200</f>
        <v>7</v>
      </c>
      <c r="J200" s="11" t="str">
        <f aca="false">INDEX(Customers!$Q$22:$Q$25,MATCH(I200,Customers!$P$22:$P$25,1))</f>
        <v>Loyal</v>
      </c>
    </row>
    <row r="201" customFormat="false" ht="15" hidden="false" customHeight="true" outlineLevel="0" collapsed="false">
      <c r="A201" s="11" t="str">
        <f aca="false">Customers!A104</f>
        <v>C100</v>
      </c>
      <c r="B201" s="11" t="n">
        <f aca="false">COUNTIF('Sales Data'!$D$2:$D$1201,A201)</f>
        <v>3</v>
      </c>
      <c r="C201" s="92" t="n">
        <f aca="false">_xlfn.MAXIFS('Sales Data'!$B$2:$B$1201,'Sales Data'!$D$2:$D$1201,A201)</f>
        <v>45975</v>
      </c>
      <c r="D201" s="11" t="n">
        <f aca="false">Customers!$Q$4-C201</f>
        <v>47</v>
      </c>
      <c r="E201" s="31" t="n">
        <f aca="false">SUMIFS('Sales Data'!$P$2:$P$1201,'Sales Data'!$D$2:$D$1201,A201)</f>
        <v>9054</v>
      </c>
      <c r="F201" s="11" t="n">
        <f aca="false">INDEX(Customers!$Q$7:$Q$9,MATCH(D201,Customers!$P$7:$P$9,1))</f>
        <v>2</v>
      </c>
      <c r="G201" s="11" t="n">
        <f aca="false">INDEX(Customers!$Q$12:$Q$14,MATCH(B201,Customers!$P$12:$P$14,1))</f>
        <v>2</v>
      </c>
      <c r="H201" s="11" t="n">
        <f aca="false">INDEX(Customers!$Q$17:$Q$19,MATCH(E201,Customers!$P$17:$P$19,1))</f>
        <v>1</v>
      </c>
      <c r="I201" s="11" t="n">
        <f aca="false">F201+G201+H201</f>
        <v>5</v>
      </c>
      <c r="J201" s="11" t="str">
        <f aca="false">INDEX(Customers!$Q$22:$Q$25,MATCH(I201,Customers!$P$22:$P$25,1))</f>
        <v>At Risk</v>
      </c>
    </row>
    <row r="202" customFormat="false" ht="15" hidden="false" customHeight="true" outlineLevel="0" collapsed="false">
      <c r="A202" s="11" t="str">
        <f aca="false">Customers!A105</f>
        <v>C101</v>
      </c>
      <c r="B202" s="11" t="n">
        <f aca="false">COUNTIF('Sales Data'!$D$2:$D$1201,A202)</f>
        <v>1</v>
      </c>
      <c r="C202" s="92" t="n">
        <f aca="false">_xlfn.MAXIFS('Sales Data'!$B$2:$B$1201,'Sales Data'!$D$2:$D$1201,A202)</f>
        <v>45678</v>
      </c>
      <c r="D202" s="11" t="n">
        <f aca="false">Customers!$Q$4-C202</f>
        <v>344</v>
      </c>
      <c r="E202" s="31" t="n">
        <f aca="false">SUMIFS('Sales Data'!$P$2:$P$1201,'Sales Data'!$D$2:$D$1201,A202)</f>
        <v>699</v>
      </c>
      <c r="F202" s="11" t="n">
        <f aca="false">INDEX(Customers!$Q$7:$Q$9,MATCH(D202,Customers!$P$7:$P$9,1))</f>
        <v>1</v>
      </c>
      <c r="G202" s="11" t="n">
        <f aca="false">INDEX(Customers!$Q$12:$Q$14,MATCH(B202,Customers!$P$12:$P$14,1))</f>
        <v>1</v>
      </c>
      <c r="H202" s="11" t="n">
        <f aca="false">INDEX(Customers!$Q$17:$Q$19,MATCH(E202,Customers!$P$17:$P$19,1))</f>
        <v>1</v>
      </c>
      <c r="I202" s="11" t="n">
        <f aca="false">F202+G202+H202</f>
        <v>3</v>
      </c>
      <c r="J202" s="11" t="str">
        <f aca="false">INDEX(Customers!$Q$22:$Q$25,MATCH(I202,Customers!$P$22:$P$25,1))</f>
        <v>Lost</v>
      </c>
    </row>
    <row r="203" customFormat="false" ht="15" hidden="false" customHeight="true" outlineLevel="0" collapsed="false">
      <c r="A203" s="11" t="str">
        <f aca="false">Customers!A106</f>
        <v>C102</v>
      </c>
      <c r="B203" s="11" t="n">
        <f aca="false">COUNTIF('Sales Data'!$D$2:$D$1201,A203)</f>
        <v>8</v>
      </c>
      <c r="C203" s="92" t="n">
        <f aca="false">_xlfn.MAXIFS('Sales Data'!$B$2:$B$1201,'Sales Data'!$D$2:$D$1201,A203)</f>
        <v>45993</v>
      </c>
      <c r="D203" s="11" t="n">
        <f aca="false">Customers!$Q$4-C203</f>
        <v>29</v>
      </c>
      <c r="E203" s="31" t="n">
        <f aca="false">SUMIFS('Sales Data'!$P$2:$P$1201,'Sales Data'!$D$2:$D$1201,A203)</f>
        <v>26993</v>
      </c>
      <c r="F203" s="11" t="n">
        <f aca="false">INDEX(Customers!$Q$7:$Q$9,MATCH(D203,Customers!$P$7:$P$9,1))</f>
        <v>3</v>
      </c>
      <c r="G203" s="11" t="n">
        <f aca="false">INDEX(Customers!$Q$12:$Q$14,MATCH(B203,Customers!$P$12:$P$14,1))</f>
        <v>3</v>
      </c>
      <c r="H203" s="11" t="n">
        <f aca="false">INDEX(Customers!$Q$17:$Q$19,MATCH(E203,Customers!$P$17:$P$19,1))</f>
        <v>2</v>
      </c>
      <c r="I203" s="11" t="n">
        <f aca="false">F203+G203+H203</f>
        <v>8</v>
      </c>
      <c r="J203" s="11" t="str">
        <f aca="false">INDEX(Customers!$Q$22:$Q$25,MATCH(I203,Customers!$P$22:$P$25,1))</f>
        <v>Champion</v>
      </c>
    </row>
    <row r="204" customFormat="false" ht="15" hidden="false" customHeight="true" outlineLevel="0" collapsed="false">
      <c r="A204" s="11" t="str">
        <f aca="false">Customers!A107</f>
        <v>C103</v>
      </c>
      <c r="B204" s="11" t="n">
        <f aca="false">COUNTIF('Sales Data'!$D$2:$D$1201,A204)</f>
        <v>2</v>
      </c>
      <c r="C204" s="92" t="n">
        <f aca="false">_xlfn.MAXIFS('Sales Data'!$B$2:$B$1201,'Sales Data'!$D$2:$D$1201,A204)</f>
        <v>46011</v>
      </c>
      <c r="D204" s="11" t="n">
        <f aca="false">Customers!$Q$4-C204</f>
        <v>11</v>
      </c>
      <c r="E204" s="31" t="n">
        <f aca="false">SUMIFS('Sales Data'!$P$2:$P$1201,'Sales Data'!$D$2:$D$1201,A204)</f>
        <v>17188</v>
      </c>
      <c r="F204" s="11" t="n">
        <f aca="false">INDEX(Customers!$Q$7:$Q$9,MATCH(D204,Customers!$P$7:$P$9,1))</f>
        <v>3</v>
      </c>
      <c r="G204" s="11" t="n">
        <f aca="false">INDEX(Customers!$Q$12:$Q$14,MATCH(B204,Customers!$P$12:$P$14,1))</f>
        <v>1</v>
      </c>
      <c r="H204" s="11" t="n">
        <f aca="false">INDEX(Customers!$Q$17:$Q$19,MATCH(E204,Customers!$P$17:$P$19,1))</f>
        <v>2</v>
      </c>
      <c r="I204" s="11" t="n">
        <f aca="false">F204+G204+H204</f>
        <v>6</v>
      </c>
      <c r="J204" s="11" t="str">
        <f aca="false">INDEX(Customers!$Q$22:$Q$25,MATCH(I204,Customers!$P$22:$P$25,1))</f>
        <v>Loyal</v>
      </c>
    </row>
    <row r="205" customFormat="false" ht="15" hidden="false" customHeight="true" outlineLevel="0" collapsed="false">
      <c r="A205" s="11" t="str">
        <f aca="false">Customers!A108</f>
        <v>C104</v>
      </c>
      <c r="B205" s="11" t="n">
        <f aca="false">COUNTIF('Sales Data'!$D$2:$D$1201,A205)</f>
        <v>8</v>
      </c>
      <c r="C205" s="92" t="n">
        <f aca="false">_xlfn.MAXIFS('Sales Data'!$B$2:$B$1201,'Sales Data'!$D$2:$D$1201,A205)</f>
        <v>46006</v>
      </c>
      <c r="D205" s="11" t="n">
        <f aca="false">Customers!$Q$4-C205</f>
        <v>16</v>
      </c>
      <c r="E205" s="31" t="n">
        <f aca="false">SUMIFS('Sales Data'!$P$2:$P$1201,'Sales Data'!$D$2:$D$1201,A205)</f>
        <v>35339</v>
      </c>
      <c r="F205" s="11" t="n">
        <f aca="false">INDEX(Customers!$Q$7:$Q$9,MATCH(D205,Customers!$P$7:$P$9,1))</f>
        <v>3</v>
      </c>
      <c r="G205" s="11" t="n">
        <f aca="false">INDEX(Customers!$Q$12:$Q$14,MATCH(B205,Customers!$P$12:$P$14,1))</f>
        <v>3</v>
      </c>
      <c r="H205" s="11" t="n">
        <f aca="false">INDEX(Customers!$Q$17:$Q$19,MATCH(E205,Customers!$P$17:$P$19,1))</f>
        <v>2</v>
      </c>
      <c r="I205" s="11" t="n">
        <f aca="false">F205+G205+H205</f>
        <v>8</v>
      </c>
      <c r="J205" s="11" t="str">
        <f aca="false">INDEX(Customers!$Q$22:$Q$25,MATCH(I205,Customers!$P$22:$P$25,1))</f>
        <v>Champion</v>
      </c>
    </row>
    <row r="206" customFormat="false" ht="15" hidden="false" customHeight="true" outlineLevel="0" collapsed="false">
      <c r="A206" s="11" t="str">
        <f aca="false">Customers!A109</f>
        <v>C105</v>
      </c>
      <c r="B206" s="11" t="n">
        <f aca="false">COUNTIF('Sales Data'!$D$2:$D$1201,A206)</f>
        <v>5</v>
      </c>
      <c r="C206" s="92" t="n">
        <f aca="false">_xlfn.MAXIFS('Sales Data'!$B$2:$B$1201,'Sales Data'!$D$2:$D$1201,A206)</f>
        <v>45969</v>
      </c>
      <c r="D206" s="11" t="n">
        <f aca="false">Customers!$Q$4-C206</f>
        <v>53</v>
      </c>
      <c r="E206" s="31" t="n">
        <f aca="false">SUMIFS('Sales Data'!$P$2:$P$1201,'Sales Data'!$D$2:$D$1201,A206)</f>
        <v>43884</v>
      </c>
      <c r="F206" s="11" t="n">
        <f aca="false">INDEX(Customers!$Q$7:$Q$9,MATCH(D206,Customers!$P$7:$P$9,1))</f>
        <v>2</v>
      </c>
      <c r="G206" s="11" t="n">
        <f aca="false">INDEX(Customers!$Q$12:$Q$14,MATCH(B206,Customers!$P$12:$P$14,1))</f>
        <v>2</v>
      </c>
      <c r="H206" s="11" t="n">
        <f aca="false">INDEX(Customers!$Q$17:$Q$19,MATCH(E206,Customers!$P$17:$P$19,1))</f>
        <v>2</v>
      </c>
      <c r="I206" s="11" t="n">
        <f aca="false">F206+G206+H206</f>
        <v>6</v>
      </c>
      <c r="J206" s="11" t="str">
        <f aca="false">INDEX(Customers!$Q$22:$Q$25,MATCH(I206,Customers!$P$22:$P$25,1))</f>
        <v>Loyal</v>
      </c>
    </row>
    <row r="207" customFormat="false" ht="15" hidden="false" customHeight="true" outlineLevel="0" collapsed="false">
      <c r="A207" s="11" t="str">
        <f aca="false">Customers!A110</f>
        <v>C106</v>
      </c>
      <c r="B207" s="11" t="n">
        <f aca="false">COUNTIF('Sales Data'!$D$2:$D$1201,A207)</f>
        <v>7</v>
      </c>
      <c r="C207" s="92" t="n">
        <f aca="false">_xlfn.MAXIFS('Sales Data'!$B$2:$B$1201,'Sales Data'!$D$2:$D$1201,A207)</f>
        <v>45982</v>
      </c>
      <c r="D207" s="11" t="n">
        <f aca="false">Customers!$Q$4-C207</f>
        <v>40</v>
      </c>
      <c r="E207" s="31" t="n">
        <f aca="false">SUMIFS('Sales Data'!$P$2:$P$1201,'Sales Data'!$D$2:$D$1201,A207)</f>
        <v>28878</v>
      </c>
      <c r="F207" s="11" t="n">
        <f aca="false">INDEX(Customers!$Q$7:$Q$9,MATCH(D207,Customers!$P$7:$P$9,1))</f>
        <v>3</v>
      </c>
      <c r="G207" s="11" t="n">
        <f aca="false">INDEX(Customers!$Q$12:$Q$14,MATCH(B207,Customers!$P$12:$P$14,1))</f>
        <v>3</v>
      </c>
      <c r="H207" s="11" t="n">
        <f aca="false">INDEX(Customers!$Q$17:$Q$19,MATCH(E207,Customers!$P$17:$P$19,1))</f>
        <v>2</v>
      </c>
      <c r="I207" s="11" t="n">
        <f aca="false">F207+G207+H207</f>
        <v>8</v>
      </c>
      <c r="J207" s="11" t="str">
        <f aca="false">INDEX(Customers!$Q$22:$Q$25,MATCH(I207,Customers!$P$22:$P$25,1))</f>
        <v>Champion</v>
      </c>
    </row>
    <row r="208" customFormat="false" ht="15" hidden="false" customHeight="true" outlineLevel="0" collapsed="false">
      <c r="A208" s="11" t="str">
        <f aca="false">Customers!A111</f>
        <v>C107</v>
      </c>
      <c r="B208" s="11" t="n">
        <f aca="false">COUNTIF('Sales Data'!$D$2:$D$1201,A208)</f>
        <v>6</v>
      </c>
      <c r="C208" s="92" t="n">
        <f aca="false">_xlfn.MAXIFS('Sales Data'!$B$2:$B$1201,'Sales Data'!$D$2:$D$1201,A208)</f>
        <v>45999</v>
      </c>
      <c r="D208" s="11" t="n">
        <f aca="false">Customers!$Q$4-C208</f>
        <v>23</v>
      </c>
      <c r="E208" s="31" t="n">
        <f aca="false">SUMIFS('Sales Data'!$P$2:$P$1201,'Sales Data'!$D$2:$D$1201,A208)</f>
        <v>12887</v>
      </c>
      <c r="F208" s="11" t="n">
        <f aca="false">INDEX(Customers!$Q$7:$Q$9,MATCH(D208,Customers!$P$7:$P$9,1))</f>
        <v>3</v>
      </c>
      <c r="G208" s="11" t="n">
        <f aca="false">INDEX(Customers!$Q$12:$Q$14,MATCH(B208,Customers!$P$12:$P$14,1))</f>
        <v>2</v>
      </c>
      <c r="H208" s="11" t="n">
        <f aca="false">INDEX(Customers!$Q$17:$Q$19,MATCH(E208,Customers!$P$17:$P$19,1))</f>
        <v>2</v>
      </c>
      <c r="I208" s="11" t="n">
        <f aca="false">F208+G208+H208</f>
        <v>7</v>
      </c>
      <c r="J208" s="11" t="str">
        <f aca="false">INDEX(Customers!$Q$22:$Q$25,MATCH(I208,Customers!$P$22:$P$25,1))</f>
        <v>Loyal</v>
      </c>
    </row>
    <row r="209" customFormat="false" ht="15" hidden="false" customHeight="true" outlineLevel="0" collapsed="false">
      <c r="A209" s="11" t="str">
        <f aca="false">Customers!A112</f>
        <v>C108</v>
      </c>
      <c r="B209" s="11" t="n">
        <f aca="false">COUNTIF('Sales Data'!$D$2:$D$1201,A209)</f>
        <v>7</v>
      </c>
      <c r="C209" s="92" t="n">
        <f aca="false">_xlfn.MAXIFS('Sales Data'!$B$2:$B$1201,'Sales Data'!$D$2:$D$1201,A209)</f>
        <v>45985</v>
      </c>
      <c r="D209" s="11" t="n">
        <f aca="false">Customers!$Q$4-C209</f>
        <v>37</v>
      </c>
      <c r="E209" s="31" t="n">
        <f aca="false">SUMIFS('Sales Data'!$P$2:$P$1201,'Sales Data'!$D$2:$D$1201,A209)</f>
        <v>43535</v>
      </c>
      <c r="F209" s="11" t="n">
        <f aca="false">INDEX(Customers!$Q$7:$Q$9,MATCH(D209,Customers!$P$7:$P$9,1))</f>
        <v>3</v>
      </c>
      <c r="G209" s="11" t="n">
        <f aca="false">INDEX(Customers!$Q$12:$Q$14,MATCH(B209,Customers!$P$12:$P$14,1))</f>
        <v>3</v>
      </c>
      <c r="H209" s="11" t="n">
        <f aca="false">INDEX(Customers!$Q$17:$Q$19,MATCH(E209,Customers!$P$17:$P$19,1))</f>
        <v>2</v>
      </c>
      <c r="I209" s="11" t="n">
        <f aca="false">F209+G209+H209</f>
        <v>8</v>
      </c>
      <c r="J209" s="11" t="str">
        <f aca="false">INDEX(Customers!$Q$22:$Q$25,MATCH(I209,Customers!$P$22:$P$25,1))</f>
        <v>Champion</v>
      </c>
    </row>
    <row r="210" customFormat="false" ht="15" hidden="false" customHeight="true" outlineLevel="0" collapsed="false">
      <c r="A210" s="11" t="str">
        <f aca="false">Customers!A113</f>
        <v>C109</v>
      </c>
      <c r="B210" s="11" t="n">
        <f aca="false">COUNTIF('Sales Data'!$D$2:$D$1201,A210)</f>
        <v>8</v>
      </c>
      <c r="C210" s="92" t="n">
        <f aca="false">_xlfn.MAXIFS('Sales Data'!$B$2:$B$1201,'Sales Data'!$D$2:$D$1201,A210)</f>
        <v>45994</v>
      </c>
      <c r="D210" s="11" t="n">
        <f aca="false">Customers!$Q$4-C210</f>
        <v>28</v>
      </c>
      <c r="E210" s="31" t="n">
        <f aca="false">SUMIFS('Sales Data'!$P$2:$P$1201,'Sales Data'!$D$2:$D$1201,A210)</f>
        <v>22818</v>
      </c>
      <c r="F210" s="11" t="n">
        <f aca="false">INDEX(Customers!$Q$7:$Q$9,MATCH(D210,Customers!$P$7:$P$9,1))</f>
        <v>3</v>
      </c>
      <c r="G210" s="11" t="n">
        <f aca="false">INDEX(Customers!$Q$12:$Q$14,MATCH(B210,Customers!$P$12:$P$14,1))</f>
        <v>3</v>
      </c>
      <c r="H210" s="11" t="n">
        <f aca="false">INDEX(Customers!$Q$17:$Q$19,MATCH(E210,Customers!$P$17:$P$19,1))</f>
        <v>2</v>
      </c>
      <c r="I210" s="11" t="n">
        <f aca="false">F210+G210+H210</f>
        <v>8</v>
      </c>
      <c r="J210" s="11" t="str">
        <f aca="false">INDEX(Customers!$Q$22:$Q$25,MATCH(I210,Customers!$P$22:$P$25,1))</f>
        <v>Champion</v>
      </c>
    </row>
    <row r="211" customFormat="false" ht="15" hidden="false" customHeight="true" outlineLevel="0" collapsed="false">
      <c r="A211" s="11" t="str">
        <f aca="false">Customers!A114</f>
        <v>C110</v>
      </c>
      <c r="B211" s="11" t="n">
        <f aca="false">COUNTIF('Sales Data'!$D$2:$D$1201,A211)</f>
        <v>8</v>
      </c>
      <c r="C211" s="92" t="n">
        <f aca="false">_xlfn.MAXIFS('Sales Data'!$B$2:$B$1201,'Sales Data'!$D$2:$D$1201,A211)</f>
        <v>46000</v>
      </c>
      <c r="D211" s="11" t="n">
        <f aca="false">Customers!$Q$4-C211</f>
        <v>22</v>
      </c>
      <c r="E211" s="31" t="n">
        <f aca="false">SUMIFS('Sales Data'!$P$2:$P$1201,'Sales Data'!$D$2:$D$1201,A211)</f>
        <v>17546</v>
      </c>
      <c r="F211" s="11" t="n">
        <f aca="false">INDEX(Customers!$Q$7:$Q$9,MATCH(D211,Customers!$P$7:$P$9,1))</f>
        <v>3</v>
      </c>
      <c r="G211" s="11" t="n">
        <f aca="false">INDEX(Customers!$Q$12:$Q$14,MATCH(B211,Customers!$P$12:$P$14,1))</f>
        <v>3</v>
      </c>
      <c r="H211" s="11" t="n">
        <f aca="false">INDEX(Customers!$Q$17:$Q$19,MATCH(E211,Customers!$P$17:$P$19,1))</f>
        <v>2</v>
      </c>
      <c r="I211" s="11" t="n">
        <f aca="false">F211+G211+H211</f>
        <v>8</v>
      </c>
      <c r="J211" s="11" t="str">
        <f aca="false">INDEX(Customers!$Q$22:$Q$25,MATCH(I211,Customers!$P$22:$P$25,1))</f>
        <v>Champion</v>
      </c>
    </row>
    <row r="212" customFormat="false" ht="15" hidden="false" customHeight="true" outlineLevel="0" collapsed="false">
      <c r="A212" s="11" t="str">
        <f aca="false">Customers!A115</f>
        <v>C111</v>
      </c>
      <c r="B212" s="11" t="n">
        <f aca="false">COUNTIF('Sales Data'!$D$2:$D$1201,A212)</f>
        <v>2</v>
      </c>
      <c r="C212" s="92" t="n">
        <f aca="false">_xlfn.MAXIFS('Sales Data'!$B$2:$B$1201,'Sales Data'!$D$2:$D$1201,A212)</f>
        <v>46008</v>
      </c>
      <c r="D212" s="11" t="n">
        <f aca="false">Customers!$Q$4-C212</f>
        <v>14</v>
      </c>
      <c r="E212" s="31" t="n">
        <f aca="false">SUMIFS('Sales Data'!$P$2:$P$1201,'Sales Data'!$D$2:$D$1201,A212)</f>
        <v>14395</v>
      </c>
      <c r="F212" s="11" t="n">
        <f aca="false">INDEX(Customers!$Q$7:$Q$9,MATCH(D212,Customers!$P$7:$P$9,1))</f>
        <v>3</v>
      </c>
      <c r="G212" s="11" t="n">
        <f aca="false">INDEX(Customers!$Q$12:$Q$14,MATCH(B212,Customers!$P$12:$P$14,1))</f>
        <v>1</v>
      </c>
      <c r="H212" s="11" t="n">
        <f aca="false">INDEX(Customers!$Q$17:$Q$19,MATCH(E212,Customers!$P$17:$P$19,1))</f>
        <v>2</v>
      </c>
      <c r="I212" s="11" t="n">
        <f aca="false">F212+G212+H212</f>
        <v>6</v>
      </c>
      <c r="J212" s="11" t="str">
        <f aca="false">INDEX(Customers!$Q$22:$Q$25,MATCH(I212,Customers!$P$22:$P$25,1))</f>
        <v>Loyal</v>
      </c>
    </row>
    <row r="213" customFormat="false" ht="15" hidden="false" customHeight="true" outlineLevel="0" collapsed="false">
      <c r="A213" s="11" t="str">
        <f aca="false">Customers!A116</f>
        <v>C112</v>
      </c>
      <c r="B213" s="11" t="n">
        <f aca="false">COUNTIF('Sales Data'!$D$2:$D$1201,A213)</f>
        <v>9</v>
      </c>
      <c r="C213" s="92" t="n">
        <f aca="false">_xlfn.MAXIFS('Sales Data'!$B$2:$B$1201,'Sales Data'!$D$2:$D$1201,A213)</f>
        <v>46014</v>
      </c>
      <c r="D213" s="11" t="n">
        <f aca="false">Customers!$Q$4-C213</f>
        <v>8</v>
      </c>
      <c r="E213" s="31" t="n">
        <f aca="false">SUMIFS('Sales Data'!$P$2:$P$1201,'Sales Data'!$D$2:$D$1201,A213)</f>
        <v>61182</v>
      </c>
      <c r="F213" s="11" t="n">
        <f aca="false">INDEX(Customers!$Q$7:$Q$9,MATCH(D213,Customers!$P$7:$P$9,1))</f>
        <v>3</v>
      </c>
      <c r="G213" s="11" t="n">
        <f aca="false">INDEX(Customers!$Q$12:$Q$14,MATCH(B213,Customers!$P$12:$P$14,1))</f>
        <v>3</v>
      </c>
      <c r="H213" s="11" t="n">
        <f aca="false">INDEX(Customers!$Q$17:$Q$19,MATCH(E213,Customers!$P$17:$P$19,1))</f>
        <v>3</v>
      </c>
      <c r="I213" s="11" t="n">
        <f aca="false">F213+G213+H213</f>
        <v>9</v>
      </c>
      <c r="J213" s="11" t="str">
        <f aca="false">INDEX(Customers!$Q$22:$Q$25,MATCH(I213,Customers!$P$22:$P$25,1))</f>
        <v>Champion</v>
      </c>
    </row>
    <row r="214" customFormat="false" ht="15" hidden="false" customHeight="true" outlineLevel="0" collapsed="false">
      <c r="A214" s="11" t="str">
        <f aca="false">Customers!A117</f>
        <v>C113</v>
      </c>
      <c r="B214" s="11" t="n">
        <f aca="false">COUNTIF('Sales Data'!$D$2:$D$1201,A214)</f>
        <v>11</v>
      </c>
      <c r="C214" s="92" t="n">
        <f aca="false">_xlfn.MAXIFS('Sales Data'!$B$2:$B$1201,'Sales Data'!$D$2:$D$1201,A214)</f>
        <v>45981</v>
      </c>
      <c r="D214" s="11" t="n">
        <f aca="false">Customers!$Q$4-C214</f>
        <v>41</v>
      </c>
      <c r="E214" s="31" t="n">
        <f aca="false">SUMIFS('Sales Data'!$P$2:$P$1201,'Sales Data'!$D$2:$D$1201,A214)</f>
        <v>43504</v>
      </c>
      <c r="F214" s="11" t="n">
        <f aca="false">INDEX(Customers!$Q$7:$Q$9,MATCH(D214,Customers!$P$7:$P$9,1))</f>
        <v>3</v>
      </c>
      <c r="G214" s="11" t="n">
        <f aca="false">INDEX(Customers!$Q$12:$Q$14,MATCH(B214,Customers!$P$12:$P$14,1))</f>
        <v>3</v>
      </c>
      <c r="H214" s="11" t="n">
        <f aca="false">INDEX(Customers!$Q$17:$Q$19,MATCH(E214,Customers!$P$17:$P$19,1))</f>
        <v>2</v>
      </c>
      <c r="I214" s="11" t="n">
        <f aca="false">F214+G214+H214</f>
        <v>8</v>
      </c>
      <c r="J214" s="11" t="str">
        <f aca="false">INDEX(Customers!$Q$22:$Q$25,MATCH(I214,Customers!$P$22:$P$25,1))</f>
        <v>Champion</v>
      </c>
    </row>
    <row r="215" customFormat="false" ht="15" hidden="false" customHeight="true" outlineLevel="0" collapsed="false">
      <c r="A215" s="11" t="str">
        <f aca="false">Customers!A118</f>
        <v>C114</v>
      </c>
      <c r="B215" s="11" t="n">
        <f aca="false">COUNTIF('Sales Data'!$D$2:$D$1201,A215)</f>
        <v>3</v>
      </c>
      <c r="C215" s="92" t="n">
        <f aca="false">_xlfn.MAXIFS('Sales Data'!$B$2:$B$1201,'Sales Data'!$D$2:$D$1201,A215)</f>
        <v>45945</v>
      </c>
      <c r="D215" s="11" t="n">
        <f aca="false">Customers!$Q$4-C215</f>
        <v>77</v>
      </c>
      <c r="E215" s="31" t="n">
        <f aca="false">SUMIFS('Sales Data'!$P$2:$P$1201,'Sales Data'!$D$2:$D$1201,A215)</f>
        <v>12056</v>
      </c>
      <c r="F215" s="11" t="n">
        <f aca="false">INDEX(Customers!$Q$7:$Q$9,MATCH(D215,Customers!$P$7:$P$9,1))</f>
        <v>2</v>
      </c>
      <c r="G215" s="11" t="n">
        <f aca="false">INDEX(Customers!$Q$12:$Q$14,MATCH(B215,Customers!$P$12:$P$14,1))</f>
        <v>2</v>
      </c>
      <c r="H215" s="11" t="n">
        <f aca="false">INDEX(Customers!$Q$17:$Q$19,MATCH(E215,Customers!$P$17:$P$19,1))</f>
        <v>2</v>
      </c>
      <c r="I215" s="11" t="n">
        <f aca="false">F215+G215+H215</f>
        <v>6</v>
      </c>
      <c r="J215" s="11" t="str">
        <f aca="false">INDEX(Customers!$Q$22:$Q$25,MATCH(I215,Customers!$P$22:$P$25,1))</f>
        <v>Loyal</v>
      </c>
    </row>
    <row r="216" customFormat="false" ht="15" hidden="false" customHeight="true" outlineLevel="0" collapsed="false">
      <c r="A216" s="11" t="str">
        <f aca="false">Customers!A119</f>
        <v>C115</v>
      </c>
      <c r="B216" s="11" t="n">
        <f aca="false">COUNTIF('Sales Data'!$D$2:$D$1201,A216)</f>
        <v>3</v>
      </c>
      <c r="C216" s="92" t="n">
        <f aca="false">_xlfn.MAXIFS('Sales Data'!$B$2:$B$1201,'Sales Data'!$D$2:$D$1201,A216)</f>
        <v>46020</v>
      </c>
      <c r="D216" s="11" t="n">
        <f aca="false">Customers!$Q$4-C216</f>
        <v>2</v>
      </c>
      <c r="E216" s="31" t="n">
        <f aca="false">SUMIFS('Sales Data'!$P$2:$P$1201,'Sales Data'!$D$2:$D$1201,A216)</f>
        <v>19792</v>
      </c>
      <c r="F216" s="11" t="n">
        <f aca="false">INDEX(Customers!$Q$7:$Q$9,MATCH(D216,Customers!$P$7:$P$9,1))</f>
        <v>3</v>
      </c>
      <c r="G216" s="11" t="n">
        <f aca="false">INDEX(Customers!$Q$12:$Q$14,MATCH(B216,Customers!$P$12:$P$14,1))</f>
        <v>2</v>
      </c>
      <c r="H216" s="11" t="n">
        <f aca="false">INDEX(Customers!$Q$17:$Q$19,MATCH(E216,Customers!$P$17:$P$19,1))</f>
        <v>2</v>
      </c>
      <c r="I216" s="11" t="n">
        <f aca="false">F216+G216+H216</f>
        <v>7</v>
      </c>
      <c r="J216" s="11" t="str">
        <f aca="false">INDEX(Customers!$Q$22:$Q$25,MATCH(I216,Customers!$P$22:$P$25,1))</f>
        <v>Loyal</v>
      </c>
    </row>
    <row r="217" customFormat="false" ht="15" hidden="false" customHeight="true" outlineLevel="0" collapsed="false">
      <c r="A217" s="11" t="str">
        <f aca="false">Customers!A120</f>
        <v>C116</v>
      </c>
      <c r="B217" s="11" t="n">
        <f aca="false">COUNTIF('Sales Data'!$D$2:$D$1201,A217)</f>
        <v>7</v>
      </c>
      <c r="C217" s="92" t="n">
        <f aca="false">_xlfn.MAXIFS('Sales Data'!$B$2:$B$1201,'Sales Data'!$D$2:$D$1201,A217)</f>
        <v>45980</v>
      </c>
      <c r="D217" s="11" t="n">
        <f aca="false">Customers!$Q$4-C217</f>
        <v>42</v>
      </c>
      <c r="E217" s="31" t="n">
        <f aca="false">SUMIFS('Sales Data'!$P$2:$P$1201,'Sales Data'!$D$2:$D$1201,A217)</f>
        <v>25194</v>
      </c>
      <c r="F217" s="11" t="n">
        <f aca="false">INDEX(Customers!$Q$7:$Q$9,MATCH(D217,Customers!$P$7:$P$9,1))</f>
        <v>3</v>
      </c>
      <c r="G217" s="11" t="n">
        <f aca="false">INDEX(Customers!$Q$12:$Q$14,MATCH(B217,Customers!$P$12:$P$14,1))</f>
        <v>3</v>
      </c>
      <c r="H217" s="11" t="n">
        <f aca="false">INDEX(Customers!$Q$17:$Q$19,MATCH(E217,Customers!$P$17:$P$19,1))</f>
        <v>2</v>
      </c>
      <c r="I217" s="11" t="n">
        <f aca="false">F217+G217+H217</f>
        <v>8</v>
      </c>
      <c r="J217" s="11" t="str">
        <f aca="false">INDEX(Customers!$Q$22:$Q$25,MATCH(I217,Customers!$P$22:$P$25,1))</f>
        <v>Champion</v>
      </c>
    </row>
    <row r="218" customFormat="false" ht="15" hidden="false" customHeight="true" outlineLevel="0" collapsed="false">
      <c r="A218" s="11" t="str">
        <f aca="false">Customers!A121</f>
        <v>C117</v>
      </c>
      <c r="B218" s="11" t="n">
        <f aca="false">COUNTIF('Sales Data'!$D$2:$D$1201,A218)</f>
        <v>3</v>
      </c>
      <c r="C218" s="92" t="n">
        <f aca="false">_xlfn.MAXIFS('Sales Data'!$B$2:$B$1201,'Sales Data'!$D$2:$D$1201,A218)</f>
        <v>46008</v>
      </c>
      <c r="D218" s="11" t="n">
        <f aca="false">Customers!$Q$4-C218</f>
        <v>14</v>
      </c>
      <c r="E218" s="31" t="n">
        <f aca="false">SUMIFS('Sales Data'!$P$2:$P$1201,'Sales Data'!$D$2:$D$1201,A218)</f>
        <v>29395</v>
      </c>
      <c r="F218" s="11" t="n">
        <f aca="false">INDEX(Customers!$Q$7:$Q$9,MATCH(D218,Customers!$P$7:$P$9,1))</f>
        <v>3</v>
      </c>
      <c r="G218" s="11" t="n">
        <f aca="false">INDEX(Customers!$Q$12:$Q$14,MATCH(B218,Customers!$P$12:$P$14,1))</f>
        <v>2</v>
      </c>
      <c r="H218" s="11" t="n">
        <f aca="false">INDEX(Customers!$Q$17:$Q$19,MATCH(E218,Customers!$P$17:$P$19,1))</f>
        <v>2</v>
      </c>
      <c r="I218" s="11" t="n">
        <f aca="false">F218+G218+H218</f>
        <v>7</v>
      </c>
      <c r="J218" s="11" t="str">
        <f aca="false">INDEX(Customers!$Q$22:$Q$25,MATCH(I218,Customers!$P$22:$P$25,1))</f>
        <v>Loyal</v>
      </c>
    </row>
    <row r="219" customFormat="false" ht="15" hidden="false" customHeight="true" outlineLevel="0" collapsed="false">
      <c r="A219" s="11" t="str">
        <f aca="false">Customers!A122</f>
        <v>C118</v>
      </c>
      <c r="B219" s="11" t="n">
        <f aca="false">COUNTIF('Sales Data'!$D$2:$D$1201,A219)</f>
        <v>6</v>
      </c>
      <c r="C219" s="92" t="n">
        <f aca="false">_xlfn.MAXIFS('Sales Data'!$B$2:$B$1201,'Sales Data'!$D$2:$D$1201,A219)</f>
        <v>45945</v>
      </c>
      <c r="D219" s="11" t="n">
        <f aca="false">Customers!$Q$4-C219</f>
        <v>77</v>
      </c>
      <c r="E219" s="31" t="n">
        <f aca="false">SUMIFS('Sales Data'!$P$2:$P$1201,'Sales Data'!$D$2:$D$1201,A219)</f>
        <v>21294</v>
      </c>
      <c r="F219" s="11" t="n">
        <f aca="false">INDEX(Customers!$Q$7:$Q$9,MATCH(D219,Customers!$P$7:$P$9,1))</f>
        <v>2</v>
      </c>
      <c r="G219" s="11" t="n">
        <f aca="false">INDEX(Customers!$Q$12:$Q$14,MATCH(B219,Customers!$P$12:$P$14,1))</f>
        <v>2</v>
      </c>
      <c r="H219" s="11" t="n">
        <f aca="false">INDEX(Customers!$Q$17:$Q$19,MATCH(E219,Customers!$P$17:$P$19,1))</f>
        <v>2</v>
      </c>
      <c r="I219" s="11" t="n">
        <f aca="false">F219+G219+H219</f>
        <v>6</v>
      </c>
      <c r="J219" s="11" t="str">
        <f aca="false">INDEX(Customers!$Q$22:$Q$25,MATCH(I219,Customers!$P$22:$P$25,1))</f>
        <v>Loyal</v>
      </c>
    </row>
    <row r="220" customFormat="false" ht="15" hidden="false" customHeight="true" outlineLevel="0" collapsed="false">
      <c r="A220" s="11" t="str">
        <f aca="false">Customers!A123</f>
        <v>C119</v>
      </c>
      <c r="B220" s="11" t="n">
        <f aca="false">COUNTIF('Sales Data'!$D$2:$D$1201,A220)</f>
        <v>2</v>
      </c>
      <c r="C220" s="92" t="n">
        <f aca="false">_xlfn.MAXIFS('Sales Data'!$B$2:$B$1201,'Sales Data'!$D$2:$D$1201,A220)</f>
        <v>45980</v>
      </c>
      <c r="D220" s="11" t="n">
        <f aca="false">Customers!$Q$4-C220</f>
        <v>42</v>
      </c>
      <c r="E220" s="31" t="n">
        <f aca="false">SUMIFS('Sales Data'!$P$2:$P$1201,'Sales Data'!$D$2:$D$1201,A220)</f>
        <v>4326</v>
      </c>
      <c r="F220" s="11" t="n">
        <f aca="false">INDEX(Customers!$Q$7:$Q$9,MATCH(D220,Customers!$P$7:$P$9,1))</f>
        <v>3</v>
      </c>
      <c r="G220" s="11" t="n">
        <f aca="false">INDEX(Customers!$Q$12:$Q$14,MATCH(B220,Customers!$P$12:$P$14,1))</f>
        <v>1</v>
      </c>
      <c r="H220" s="11" t="n">
        <f aca="false">INDEX(Customers!$Q$17:$Q$19,MATCH(E220,Customers!$P$17:$P$19,1))</f>
        <v>1</v>
      </c>
      <c r="I220" s="11" t="n">
        <f aca="false">F220+G220+H220</f>
        <v>5</v>
      </c>
      <c r="J220" s="11" t="str">
        <f aca="false">INDEX(Customers!$Q$22:$Q$25,MATCH(I220,Customers!$P$22:$P$25,1))</f>
        <v>At Risk</v>
      </c>
    </row>
    <row r="221" customFormat="false" ht="15" hidden="false" customHeight="true" outlineLevel="0" collapsed="false">
      <c r="A221" s="11" t="str">
        <f aca="false">Customers!A124</f>
        <v>C120</v>
      </c>
      <c r="B221" s="11" t="n">
        <f aca="false">COUNTIF('Sales Data'!$D$2:$D$1201,A221)</f>
        <v>8</v>
      </c>
      <c r="C221" s="92" t="n">
        <f aca="false">_xlfn.MAXIFS('Sales Data'!$B$2:$B$1201,'Sales Data'!$D$2:$D$1201,A221)</f>
        <v>45999</v>
      </c>
      <c r="D221" s="11" t="n">
        <f aca="false">Customers!$Q$4-C221</f>
        <v>23</v>
      </c>
      <c r="E221" s="31" t="n">
        <f aca="false">SUMIFS('Sales Data'!$P$2:$P$1201,'Sales Data'!$D$2:$D$1201,A221)</f>
        <v>34748</v>
      </c>
      <c r="F221" s="11" t="n">
        <f aca="false">INDEX(Customers!$Q$7:$Q$9,MATCH(D221,Customers!$P$7:$P$9,1))</f>
        <v>3</v>
      </c>
      <c r="G221" s="11" t="n">
        <f aca="false">INDEX(Customers!$Q$12:$Q$14,MATCH(B221,Customers!$P$12:$P$14,1))</f>
        <v>3</v>
      </c>
      <c r="H221" s="11" t="n">
        <f aca="false">INDEX(Customers!$Q$17:$Q$19,MATCH(E221,Customers!$P$17:$P$19,1))</f>
        <v>2</v>
      </c>
      <c r="I221" s="11" t="n">
        <f aca="false">F221+G221+H221</f>
        <v>8</v>
      </c>
      <c r="J221" s="11" t="str">
        <f aca="false">INDEX(Customers!$Q$22:$Q$25,MATCH(I221,Customers!$P$22:$P$25,1))</f>
        <v>Champion</v>
      </c>
    </row>
    <row r="222" customFormat="false" ht="15" hidden="false" customHeight="true" outlineLevel="0" collapsed="false">
      <c r="A222" s="11" t="str">
        <f aca="false">Customers!A125</f>
        <v>C121</v>
      </c>
      <c r="B222" s="11" t="n">
        <f aca="false">COUNTIF('Sales Data'!$D$2:$D$1201,A222)</f>
        <v>1</v>
      </c>
      <c r="C222" s="92" t="n">
        <f aca="false">_xlfn.MAXIFS('Sales Data'!$B$2:$B$1201,'Sales Data'!$D$2:$D$1201,A222)</f>
        <v>45690</v>
      </c>
      <c r="D222" s="11" t="n">
        <f aca="false">Customers!$Q$4-C222</f>
        <v>332</v>
      </c>
      <c r="E222" s="31" t="n">
        <f aca="false">SUMIFS('Sales Data'!$P$2:$P$1201,'Sales Data'!$D$2:$D$1201,A222)</f>
        <v>10557</v>
      </c>
      <c r="F222" s="11" t="n">
        <f aca="false">INDEX(Customers!$Q$7:$Q$9,MATCH(D222,Customers!$P$7:$P$9,1))</f>
        <v>1</v>
      </c>
      <c r="G222" s="11" t="n">
        <f aca="false">INDEX(Customers!$Q$12:$Q$14,MATCH(B222,Customers!$P$12:$P$14,1))</f>
        <v>1</v>
      </c>
      <c r="H222" s="11" t="n">
        <f aca="false">INDEX(Customers!$Q$17:$Q$19,MATCH(E222,Customers!$P$17:$P$19,1))</f>
        <v>1</v>
      </c>
      <c r="I222" s="11" t="n">
        <f aca="false">F222+G222+H222</f>
        <v>3</v>
      </c>
      <c r="J222" s="11" t="str">
        <f aca="false">INDEX(Customers!$Q$22:$Q$25,MATCH(I222,Customers!$P$22:$P$25,1))</f>
        <v>Lost</v>
      </c>
    </row>
    <row r="223" customFormat="false" ht="15" hidden="false" customHeight="true" outlineLevel="0" collapsed="false">
      <c r="A223" s="11" t="str">
        <f aca="false">Customers!A126</f>
        <v>C122</v>
      </c>
      <c r="B223" s="11" t="n">
        <f aca="false">COUNTIF('Sales Data'!$D$2:$D$1201,A223)</f>
        <v>3</v>
      </c>
      <c r="C223" s="92" t="n">
        <f aca="false">_xlfn.MAXIFS('Sales Data'!$B$2:$B$1201,'Sales Data'!$D$2:$D$1201,A223)</f>
        <v>45776</v>
      </c>
      <c r="D223" s="11" t="n">
        <f aca="false">Customers!$Q$4-C223</f>
        <v>246</v>
      </c>
      <c r="E223" s="31" t="n">
        <f aca="false">SUMIFS('Sales Data'!$P$2:$P$1201,'Sales Data'!$D$2:$D$1201,A223)</f>
        <v>5642</v>
      </c>
      <c r="F223" s="11" t="n">
        <f aca="false">INDEX(Customers!$Q$7:$Q$9,MATCH(D223,Customers!$P$7:$P$9,1))</f>
        <v>1</v>
      </c>
      <c r="G223" s="11" t="n">
        <f aca="false">INDEX(Customers!$Q$12:$Q$14,MATCH(B223,Customers!$P$12:$P$14,1))</f>
        <v>2</v>
      </c>
      <c r="H223" s="11" t="n">
        <f aca="false">INDEX(Customers!$Q$17:$Q$19,MATCH(E223,Customers!$P$17:$P$19,1))</f>
        <v>1</v>
      </c>
      <c r="I223" s="11" t="n">
        <f aca="false">F223+G223+H223</f>
        <v>4</v>
      </c>
      <c r="J223" s="11" t="str">
        <f aca="false">INDEX(Customers!$Q$22:$Q$25,MATCH(I223,Customers!$P$22:$P$25,1))</f>
        <v>At Risk</v>
      </c>
    </row>
    <row r="224" customFormat="false" ht="15" hidden="false" customHeight="true" outlineLevel="0" collapsed="false">
      <c r="A224" s="11" t="str">
        <f aca="false">Customers!A127</f>
        <v>C123</v>
      </c>
      <c r="B224" s="11" t="n">
        <f aca="false">COUNTIF('Sales Data'!$D$2:$D$1201,A224)</f>
        <v>5</v>
      </c>
      <c r="C224" s="92" t="n">
        <f aca="false">_xlfn.MAXIFS('Sales Data'!$B$2:$B$1201,'Sales Data'!$D$2:$D$1201,A224)</f>
        <v>45960</v>
      </c>
      <c r="D224" s="11" t="n">
        <f aca="false">Customers!$Q$4-C224</f>
        <v>62</v>
      </c>
      <c r="E224" s="31" t="n">
        <f aca="false">SUMIFS('Sales Data'!$P$2:$P$1201,'Sales Data'!$D$2:$D$1201,A224)</f>
        <v>43086</v>
      </c>
      <c r="F224" s="11" t="n">
        <f aca="false">INDEX(Customers!$Q$7:$Q$9,MATCH(D224,Customers!$P$7:$P$9,1))</f>
        <v>2</v>
      </c>
      <c r="G224" s="11" t="n">
        <f aca="false">INDEX(Customers!$Q$12:$Q$14,MATCH(B224,Customers!$P$12:$P$14,1))</f>
        <v>2</v>
      </c>
      <c r="H224" s="11" t="n">
        <f aca="false">INDEX(Customers!$Q$17:$Q$19,MATCH(E224,Customers!$P$17:$P$19,1))</f>
        <v>2</v>
      </c>
      <c r="I224" s="11" t="n">
        <f aca="false">F224+G224+H224</f>
        <v>6</v>
      </c>
      <c r="J224" s="11" t="str">
        <f aca="false">INDEX(Customers!$Q$22:$Q$25,MATCH(I224,Customers!$P$22:$P$25,1))</f>
        <v>Loyal</v>
      </c>
    </row>
    <row r="225" customFormat="false" ht="15" hidden="false" customHeight="true" outlineLevel="0" collapsed="false">
      <c r="A225" s="11" t="str">
        <f aca="false">Customers!A128</f>
        <v>C124</v>
      </c>
      <c r="B225" s="11" t="n">
        <f aca="false">COUNTIF('Sales Data'!$D$2:$D$1201,A225)</f>
        <v>4</v>
      </c>
      <c r="C225" s="92" t="n">
        <f aca="false">_xlfn.MAXIFS('Sales Data'!$B$2:$B$1201,'Sales Data'!$D$2:$D$1201,A225)</f>
        <v>45973</v>
      </c>
      <c r="D225" s="11" t="n">
        <f aca="false">Customers!$Q$4-C225</f>
        <v>49</v>
      </c>
      <c r="E225" s="31" t="n">
        <f aca="false">SUMIFS('Sales Data'!$P$2:$P$1201,'Sales Data'!$D$2:$D$1201,A225)</f>
        <v>6989</v>
      </c>
      <c r="F225" s="11" t="n">
        <f aca="false">INDEX(Customers!$Q$7:$Q$9,MATCH(D225,Customers!$P$7:$P$9,1))</f>
        <v>2</v>
      </c>
      <c r="G225" s="11" t="n">
        <f aca="false">INDEX(Customers!$Q$12:$Q$14,MATCH(B225,Customers!$P$12:$P$14,1))</f>
        <v>2</v>
      </c>
      <c r="H225" s="11" t="n">
        <f aca="false">INDEX(Customers!$Q$17:$Q$19,MATCH(E225,Customers!$P$17:$P$19,1))</f>
        <v>1</v>
      </c>
      <c r="I225" s="11" t="n">
        <f aca="false">F225+G225+H225</f>
        <v>5</v>
      </c>
      <c r="J225" s="11" t="str">
        <f aca="false">INDEX(Customers!$Q$22:$Q$25,MATCH(I225,Customers!$P$22:$P$25,1))</f>
        <v>At Risk</v>
      </c>
    </row>
    <row r="226" customFormat="false" ht="15" hidden="false" customHeight="true" outlineLevel="0" collapsed="false">
      <c r="A226" s="11" t="str">
        <f aca="false">Customers!A129</f>
        <v>C125</v>
      </c>
      <c r="B226" s="11" t="n">
        <f aca="false">COUNTIF('Sales Data'!$D$2:$D$1201,A226)</f>
        <v>3</v>
      </c>
      <c r="C226" s="92" t="n">
        <f aca="false">_xlfn.MAXIFS('Sales Data'!$B$2:$B$1201,'Sales Data'!$D$2:$D$1201,A226)</f>
        <v>45968</v>
      </c>
      <c r="D226" s="11" t="n">
        <f aca="false">Customers!$Q$4-C226</f>
        <v>54</v>
      </c>
      <c r="E226" s="31" t="n">
        <f aca="false">SUMIFS('Sales Data'!$P$2:$P$1201,'Sales Data'!$D$2:$D$1201,A226)</f>
        <v>4456</v>
      </c>
      <c r="F226" s="11" t="n">
        <f aca="false">INDEX(Customers!$Q$7:$Q$9,MATCH(D226,Customers!$P$7:$P$9,1))</f>
        <v>2</v>
      </c>
      <c r="G226" s="11" t="n">
        <f aca="false">INDEX(Customers!$Q$12:$Q$14,MATCH(B226,Customers!$P$12:$P$14,1))</f>
        <v>2</v>
      </c>
      <c r="H226" s="11" t="n">
        <f aca="false">INDEX(Customers!$Q$17:$Q$19,MATCH(E226,Customers!$P$17:$P$19,1))</f>
        <v>1</v>
      </c>
      <c r="I226" s="11" t="n">
        <f aca="false">F226+G226+H226</f>
        <v>5</v>
      </c>
      <c r="J226" s="11" t="str">
        <f aca="false">INDEX(Customers!$Q$22:$Q$25,MATCH(I226,Customers!$P$22:$P$25,1))</f>
        <v>At Risk</v>
      </c>
    </row>
    <row r="227" customFormat="false" ht="15" hidden="false" customHeight="true" outlineLevel="0" collapsed="false">
      <c r="A227" s="11" t="str">
        <f aca="false">Customers!A130</f>
        <v>C126</v>
      </c>
      <c r="B227" s="11" t="n">
        <f aca="false">COUNTIF('Sales Data'!$D$2:$D$1201,A227)</f>
        <v>1</v>
      </c>
      <c r="C227" s="92" t="n">
        <f aca="false">_xlfn.MAXIFS('Sales Data'!$B$2:$B$1201,'Sales Data'!$D$2:$D$1201,A227)</f>
        <v>45788</v>
      </c>
      <c r="D227" s="11" t="n">
        <f aca="false">Customers!$Q$4-C227</f>
        <v>234</v>
      </c>
      <c r="E227" s="31" t="n">
        <f aca="false">SUMIFS('Sales Data'!$P$2:$P$1201,'Sales Data'!$D$2:$D$1201,A227)</f>
        <v>3499</v>
      </c>
      <c r="F227" s="11" t="n">
        <f aca="false">INDEX(Customers!$Q$7:$Q$9,MATCH(D227,Customers!$P$7:$P$9,1))</f>
        <v>1</v>
      </c>
      <c r="G227" s="11" t="n">
        <f aca="false">INDEX(Customers!$Q$12:$Q$14,MATCH(B227,Customers!$P$12:$P$14,1))</f>
        <v>1</v>
      </c>
      <c r="H227" s="11" t="n">
        <f aca="false">INDEX(Customers!$Q$17:$Q$19,MATCH(E227,Customers!$P$17:$P$19,1))</f>
        <v>1</v>
      </c>
      <c r="I227" s="11" t="n">
        <f aca="false">F227+G227+H227</f>
        <v>3</v>
      </c>
      <c r="J227" s="11" t="str">
        <f aca="false">INDEX(Customers!$Q$22:$Q$25,MATCH(I227,Customers!$P$22:$P$25,1))</f>
        <v>Lost</v>
      </c>
    </row>
    <row r="228" customFormat="false" ht="15" hidden="false" customHeight="true" outlineLevel="0" collapsed="false">
      <c r="A228" s="11" t="str">
        <f aca="false">Customers!A131</f>
        <v>C127</v>
      </c>
      <c r="B228" s="11" t="n">
        <f aca="false">COUNTIF('Sales Data'!$D$2:$D$1201,A228)</f>
        <v>1</v>
      </c>
      <c r="C228" s="92" t="n">
        <f aca="false">_xlfn.MAXIFS('Sales Data'!$B$2:$B$1201,'Sales Data'!$D$2:$D$1201,A228)</f>
        <v>45858</v>
      </c>
      <c r="D228" s="11" t="n">
        <f aca="false">Customers!$Q$4-C228</f>
        <v>164</v>
      </c>
      <c r="E228" s="31" t="n">
        <f aca="false">SUMIFS('Sales Data'!$P$2:$P$1201,'Sales Data'!$D$2:$D$1201,A228)</f>
        <v>20896</v>
      </c>
      <c r="F228" s="11" t="n">
        <f aca="false">INDEX(Customers!$Q$7:$Q$9,MATCH(D228,Customers!$P$7:$P$9,1))</f>
        <v>1</v>
      </c>
      <c r="G228" s="11" t="n">
        <f aca="false">INDEX(Customers!$Q$12:$Q$14,MATCH(B228,Customers!$P$12:$P$14,1))</f>
        <v>1</v>
      </c>
      <c r="H228" s="11" t="n">
        <f aca="false">INDEX(Customers!$Q$17:$Q$19,MATCH(E228,Customers!$P$17:$P$19,1))</f>
        <v>2</v>
      </c>
      <c r="I228" s="11" t="n">
        <f aca="false">F228+G228+H228</f>
        <v>4</v>
      </c>
      <c r="J228" s="11" t="str">
        <f aca="false">INDEX(Customers!$Q$22:$Q$25,MATCH(I228,Customers!$P$22:$P$25,1))</f>
        <v>At Risk</v>
      </c>
    </row>
    <row r="229" customFormat="false" ht="15" hidden="false" customHeight="true" outlineLevel="0" collapsed="false">
      <c r="A229" s="11" t="str">
        <f aca="false">Customers!A132</f>
        <v>C128</v>
      </c>
      <c r="B229" s="11" t="n">
        <f aca="false">COUNTIF('Sales Data'!$D$2:$D$1201,A229)</f>
        <v>2</v>
      </c>
      <c r="C229" s="92" t="n">
        <f aca="false">_xlfn.MAXIFS('Sales Data'!$B$2:$B$1201,'Sales Data'!$D$2:$D$1201,A229)</f>
        <v>45958</v>
      </c>
      <c r="D229" s="11" t="n">
        <f aca="false">Customers!$Q$4-C229</f>
        <v>64</v>
      </c>
      <c r="E229" s="31" t="n">
        <f aca="false">SUMIFS('Sales Data'!$P$2:$P$1201,'Sales Data'!$D$2:$D$1201,A229)</f>
        <v>4056</v>
      </c>
      <c r="F229" s="11" t="n">
        <f aca="false">INDEX(Customers!$Q$7:$Q$9,MATCH(D229,Customers!$P$7:$P$9,1))</f>
        <v>2</v>
      </c>
      <c r="G229" s="11" t="n">
        <f aca="false">INDEX(Customers!$Q$12:$Q$14,MATCH(B229,Customers!$P$12:$P$14,1))</f>
        <v>1</v>
      </c>
      <c r="H229" s="11" t="n">
        <f aca="false">INDEX(Customers!$Q$17:$Q$19,MATCH(E229,Customers!$P$17:$P$19,1))</f>
        <v>1</v>
      </c>
      <c r="I229" s="11" t="n">
        <f aca="false">F229+G229+H229</f>
        <v>4</v>
      </c>
      <c r="J229" s="11" t="str">
        <f aca="false">INDEX(Customers!$Q$22:$Q$25,MATCH(I229,Customers!$P$22:$P$25,1))</f>
        <v>At Risk</v>
      </c>
    </row>
    <row r="230" customFormat="false" ht="15" hidden="false" customHeight="true" outlineLevel="0" collapsed="false">
      <c r="A230" s="11" t="str">
        <f aca="false">Customers!A133</f>
        <v>C129</v>
      </c>
      <c r="B230" s="11" t="n">
        <f aca="false">COUNTIF('Sales Data'!$D$2:$D$1201,A230)</f>
        <v>8</v>
      </c>
      <c r="C230" s="92" t="n">
        <f aca="false">_xlfn.MAXIFS('Sales Data'!$B$2:$B$1201,'Sales Data'!$D$2:$D$1201,A230)</f>
        <v>45937</v>
      </c>
      <c r="D230" s="11" t="n">
        <f aca="false">Customers!$Q$4-C230</f>
        <v>85</v>
      </c>
      <c r="E230" s="31" t="n">
        <f aca="false">SUMIFS('Sales Data'!$P$2:$P$1201,'Sales Data'!$D$2:$D$1201,A230)</f>
        <v>42060</v>
      </c>
      <c r="F230" s="11" t="n">
        <f aca="false">INDEX(Customers!$Q$7:$Q$9,MATCH(D230,Customers!$P$7:$P$9,1))</f>
        <v>2</v>
      </c>
      <c r="G230" s="11" t="n">
        <f aca="false">INDEX(Customers!$Q$12:$Q$14,MATCH(B230,Customers!$P$12:$P$14,1))</f>
        <v>3</v>
      </c>
      <c r="H230" s="11" t="n">
        <f aca="false">INDEX(Customers!$Q$17:$Q$19,MATCH(E230,Customers!$P$17:$P$19,1))</f>
        <v>2</v>
      </c>
      <c r="I230" s="11" t="n">
        <f aca="false">F230+G230+H230</f>
        <v>7</v>
      </c>
      <c r="J230" s="11" t="str">
        <f aca="false">INDEX(Customers!$Q$22:$Q$25,MATCH(I230,Customers!$P$22:$P$25,1))</f>
        <v>Loyal</v>
      </c>
    </row>
    <row r="231" customFormat="false" ht="15" hidden="false" customHeight="true" outlineLevel="0" collapsed="false">
      <c r="A231" s="11" t="str">
        <f aca="false">Customers!A134</f>
        <v>C130</v>
      </c>
      <c r="B231" s="11" t="n">
        <f aca="false">COUNTIF('Sales Data'!$D$2:$D$1201,A231)</f>
        <v>8</v>
      </c>
      <c r="C231" s="92" t="n">
        <f aca="false">_xlfn.MAXIFS('Sales Data'!$B$2:$B$1201,'Sales Data'!$D$2:$D$1201,A231)</f>
        <v>45983</v>
      </c>
      <c r="D231" s="11" t="n">
        <f aca="false">Customers!$Q$4-C231</f>
        <v>39</v>
      </c>
      <c r="E231" s="31" t="n">
        <f aca="false">SUMIFS('Sales Data'!$P$2:$P$1201,'Sales Data'!$D$2:$D$1201,A231)</f>
        <v>61492</v>
      </c>
      <c r="F231" s="11" t="n">
        <f aca="false">INDEX(Customers!$Q$7:$Q$9,MATCH(D231,Customers!$P$7:$P$9,1))</f>
        <v>3</v>
      </c>
      <c r="G231" s="11" t="n">
        <f aca="false">INDEX(Customers!$Q$12:$Q$14,MATCH(B231,Customers!$P$12:$P$14,1))</f>
        <v>3</v>
      </c>
      <c r="H231" s="11" t="n">
        <f aca="false">INDEX(Customers!$Q$17:$Q$19,MATCH(E231,Customers!$P$17:$P$19,1))</f>
        <v>3</v>
      </c>
      <c r="I231" s="11" t="n">
        <f aca="false">F231+G231+H231</f>
        <v>9</v>
      </c>
      <c r="J231" s="11" t="str">
        <f aca="false">INDEX(Customers!$Q$22:$Q$25,MATCH(I231,Customers!$P$22:$P$25,1))</f>
        <v>Champion</v>
      </c>
    </row>
    <row r="232" customFormat="false" ht="15" hidden="false" customHeight="true" outlineLevel="0" collapsed="false">
      <c r="A232" s="11" t="str">
        <f aca="false">Customers!A135</f>
        <v>C131</v>
      </c>
      <c r="B232" s="11" t="n">
        <f aca="false">COUNTIF('Sales Data'!$D$2:$D$1201,A232)</f>
        <v>2</v>
      </c>
      <c r="C232" s="92" t="n">
        <f aca="false">_xlfn.MAXIFS('Sales Data'!$B$2:$B$1201,'Sales Data'!$D$2:$D$1201,A232)</f>
        <v>45790</v>
      </c>
      <c r="D232" s="11" t="n">
        <f aca="false">Customers!$Q$4-C232</f>
        <v>232</v>
      </c>
      <c r="E232" s="31" t="n">
        <f aca="false">SUMIFS('Sales Data'!$P$2:$P$1201,'Sales Data'!$D$2:$D$1201,A232)</f>
        <v>4018</v>
      </c>
      <c r="F232" s="11" t="n">
        <f aca="false">INDEX(Customers!$Q$7:$Q$9,MATCH(D232,Customers!$P$7:$P$9,1))</f>
        <v>1</v>
      </c>
      <c r="G232" s="11" t="n">
        <f aca="false">INDEX(Customers!$Q$12:$Q$14,MATCH(B232,Customers!$P$12:$P$14,1))</f>
        <v>1</v>
      </c>
      <c r="H232" s="11" t="n">
        <f aca="false">INDEX(Customers!$Q$17:$Q$19,MATCH(E232,Customers!$P$17:$P$19,1))</f>
        <v>1</v>
      </c>
      <c r="I232" s="11" t="n">
        <f aca="false">F232+G232+H232</f>
        <v>3</v>
      </c>
      <c r="J232" s="11" t="str">
        <f aca="false">INDEX(Customers!$Q$22:$Q$25,MATCH(I232,Customers!$P$22:$P$25,1))</f>
        <v>Lost</v>
      </c>
    </row>
    <row r="233" customFormat="false" ht="15" hidden="false" customHeight="true" outlineLevel="0" collapsed="false">
      <c r="A233" s="11" t="str">
        <f aca="false">Customers!A136</f>
        <v>C132</v>
      </c>
      <c r="B233" s="11" t="n">
        <f aca="false">COUNTIF('Sales Data'!$D$2:$D$1201,A233)</f>
        <v>1</v>
      </c>
      <c r="C233" s="92" t="n">
        <f aca="false">_xlfn.MAXIFS('Sales Data'!$B$2:$B$1201,'Sales Data'!$D$2:$D$1201,A233)</f>
        <v>45771</v>
      </c>
      <c r="D233" s="11" t="n">
        <f aca="false">Customers!$Q$4-C233</f>
        <v>251</v>
      </c>
      <c r="E233" s="31" t="n">
        <f aca="false">SUMIFS('Sales Data'!$P$2:$P$1201,'Sales Data'!$D$2:$D$1201,A233)</f>
        <v>199</v>
      </c>
      <c r="F233" s="11" t="n">
        <f aca="false">INDEX(Customers!$Q$7:$Q$9,MATCH(D233,Customers!$P$7:$P$9,1))</f>
        <v>1</v>
      </c>
      <c r="G233" s="11" t="n">
        <f aca="false">INDEX(Customers!$Q$12:$Q$14,MATCH(B233,Customers!$P$12:$P$14,1))</f>
        <v>1</v>
      </c>
      <c r="H233" s="11" t="n">
        <f aca="false">INDEX(Customers!$Q$17:$Q$19,MATCH(E233,Customers!$P$17:$P$19,1))</f>
        <v>1</v>
      </c>
      <c r="I233" s="11" t="n">
        <f aca="false">F233+G233+H233</f>
        <v>3</v>
      </c>
      <c r="J233" s="11" t="str">
        <f aca="false">INDEX(Customers!$Q$22:$Q$25,MATCH(I233,Customers!$P$22:$P$25,1))</f>
        <v>Lost</v>
      </c>
    </row>
    <row r="234" customFormat="false" ht="15" hidden="false" customHeight="true" outlineLevel="0" collapsed="false">
      <c r="A234" s="11" t="str">
        <f aca="false">Customers!A137</f>
        <v>C133</v>
      </c>
      <c r="B234" s="11" t="n">
        <f aca="false">COUNTIF('Sales Data'!$D$2:$D$1201,A234)</f>
        <v>2</v>
      </c>
      <c r="C234" s="92" t="n">
        <f aca="false">_xlfn.MAXIFS('Sales Data'!$B$2:$B$1201,'Sales Data'!$D$2:$D$1201,A234)</f>
        <v>45969</v>
      </c>
      <c r="D234" s="11" t="n">
        <f aca="false">Customers!$Q$4-C234</f>
        <v>53</v>
      </c>
      <c r="E234" s="31" t="n">
        <f aca="false">SUMIFS('Sales Data'!$P$2:$P$1201,'Sales Data'!$D$2:$D$1201,A234)</f>
        <v>18897</v>
      </c>
      <c r="F234" s="11" t="n">
        <f aca="false">INDEX(Customers!$Q$7:$Q$9,MATCH(D234,Customers!$P$7:$P$9,1))</f>
        <v>2</v>
      </c>
      <c r="G234" s="11" t="n">
        <f aca="false">INDEX(Customers!$Q$12:$Q$14,MATCH(B234,Customers!$P$12:$P$14,1))</f>
        <v>1</v>
      </c>
      <c r="H234" s="11" t="n">
        <f aca="false">INDEX(Customers!$Q$17:$Q$19,MATCH(E234,Customers!$P$17:$P$19,1))</f>
        <v>2</v>
      </c>
      <c r="I234" s="11" t="n">
        <f aca="false">F234+G234+H234</f>
        <v>5</v>
      </c>
      <c r="J234" s="11" t="str">
        <f aca="false">INDEX(Customers!$Q$22:$Q$25,MATCH(I234,Customers!$P$22:$P$25,1))</f>
        <v>At Risk</v>
      </c>
    </row>
    <row r="235" customFormat="false" ht="15" hidden="false" customHeight="true" outlineLevel="0" collapsed="false">
      <c r="A235" s="11" t="str">
        <f aca="false">Customers!A138</f>
        <v>C134</v>
      </c>
      <c r="B235" s="11" t="n">
        <f aca="false">COUNTIF('Sales Data'!$D$2:$D$1201,A235)</f>
        <v>4</v>
      </c>
      <c r="C235" s="92" t="n">
        <f aca="false">_xlfn.MAXIFS('Sales Data'!$B$2:$B$1201,'Sales Data'!$D$2:$D$1201,A235)</f>
        <v>45943</v>
      </c>
      <c r="D235" s="11" t="n">
        <f aca="false">Customers!$Q$4-C235</f>
        <v>79</v>
      </c>
      <c r="E235" s="31" t="n">
        <f aca="false">SUMIFS('Sales Data'!$P$2:$P$1201,'Sales Data'!$D$2:$D$1201,A235)</f>
        <v>23794</v>
      </c>
      <c r="F235" s="11" t="n">
        <f aca="false">INDEX(Customers!$Q$7:$Q$9,MATCH(D235,Customers!$P$7:$P$9,1))</f>
        <v>2</v>
      </c>
      <c r="G235" s="11" t="n">
        <f aca="false">INDEX(Customers!$Q$12:$Q$14,MATCH(B235,Customers!$P$12:$P$14,1))</f>
        <v>2</v>
      </c>
      <c r="H235" s="11" t="n">
        <f aca="false">INDEX(Customers!$Q$17:$Q$19,MATCH(E235,Customers!$P$17:$P$19,1))</f>
        <v>2</v>
      </c>
      <c r="I235" s="11" t="n">
        <f aca="false">F235+G235+H235</f>
        <v>6</v>
      </c>
      <c r="J235" s="11" t="str">
        <f aca="false">INDEX(Customers!$Q$22:$Q$25,MATCH(I235,Customers!$P$22:$P$25,1))</f>
        <v>Loyal</v>
      </c>
    </row>
    <row r="236" customFormat="false" ht="15" hidden="false" customHeight="true" outlineLevel="0" collapsed="false">
      <c r="A236" s="11" t="str">
        <f aca="false">Customers!A139</f>
        <v>C135</v>
      </c>
      <c r="B236" s="11" t="n">
        <f aca="false">COUNTIF('Sales Data'!$D$2:$D$1201,A236)</f>
        <v>2</v>
      </c>
      <c r="C236" s="92" t="n">
        <f aca="false">_xlfn.MAXIFS('Sales Data'!$B$2:$B$1201,'Sales Data'!$D$2:$D$1201,A236)</f>
        <v>45851</v>
      </c>
      <c r="D236" s="11" t="n">
        <f aca="false">Customers!$Q$4-C236</f>
        <v>171</v>
      </c>
      <c r="E236" s="31" t="n">
        <f aca="false">SUMIFS('Sales Data'!$P$2:$P$1201,'Sales Data'!$D$2:$D$1201,A236)</f>
        <v>12795</v>
      </c>
      <c r="F236" s="11" t="n">
        <f aca="false">INDEX(Customers!$Q$7:$Q$9,MATCH(D236,Customers!$P$7:$P$9,1))</f>
        <v>1</v>
      </c>
      <c r="G236" s="11" t="n">
        <f aca="false">INDEX(Customers!$Q$12:$Q$14,MATCH(B236,Customers!$P$12:$P$14,1))</f>
        <v>1</v>
      </c>
      <c r="H236" s="11" t="n">
        <f aca="false">INDEX(Customers!$Q$17:$Q$19,MATCH(E236,Customers!$P$17:$P$19,1))</f>
        <v>2</v>
      </c>
      <c r="I236" s="11" t="n">
        <f aca="false">F236+G236+H236</f>
        <v>4</v>
      </c>
      <c r="J236" s="11" t="str">
        <f aca="false">INDEX(Customers!$Q$22:$Q$25,MATCH(I236,Customers!$P$22:$P$25,1))</f>
        <v>At Risk</v>
      </c>
    </row>
    <row r="237" customFormat="false" ht="15" hidden="false" customHeight="true" outlineLevel="0" collapsed="false">
      <c r="A237" s="11" t="str">
        <f aca="false">Customers!A140</f>
        <v>C136</v>
      </c>
      <c r="B237" s="11" t="n">
        <f aca="false">COUNTIF('Sales Data'!$D$2:$D$1201,A237)</f>
        <v>4</v>
      </c>
      <c r="C237" s="92" t="n">
        <f aca="false">_xlfn.MAXIFS('Sales Data'!$B$2:$B$1201,'Sales Data'!$D$2:$D$1201,A237)</f>
        <v>45984</v>
      </c>
      <c r="D237" s="11" t="n">
        <f aca="false">Customers!$Q$4-C237</f>
        <v>38</v>
      </c>
      <c r="E237" s="31" t="n">
        <f aca="false">SUMIFS('Sales Data'!$P$2:$P$1201,'Sales Data'!$D$2:$D$1201,A237)</f>
        <v>14538</v>
      </c>
      <c r="F237" s="11" t="n">
        <f aca="false">INDEX(Customers!$Q$7:$Q$9,MATCH(D237,Customers!$P$7:$P$9,1))</f>
        <v>3</v>
      </c>
      <c r="G237" s="11" t="n">
        <f aca="false">INDEX(Customers!$Q$12:$Q$14,MATCH(B237,Customers!$P$12:$P$14,1))</f>
        <v>2</v>
      </c>
      <c r="H237" s="11" t="n">
        <f aca="false">INDEX(Customers!$Q$17:$Q$19,MATCH(E237,Customers!$P$17:$P$19,1))</f>
        <v>2</v>
      </c>
      <c r="I237" s="11" t="n">
        <f aca="false">F237+G237+H237</f>
        <v>7</v>
      </c>
      <c r="J237" s="11" t="str">
        <f aca="false">INDEX(Customers!$Q$22:$Q$25,MATCH(I237,Customers!$P$22:$P$25,1))</f>
        <v>Loyal</v>
      </c>
    </row>
    <row r="238" customFormat="false" ht="15" hidden="false" customHeight="true" outlineLevel="0" collapsed="false">
      <c r="A238" s="11" t="str">
        <f aca="false">Customers!A141</f>
        <v>C137</v>
      </c>
      <c r="B238" s="11" t="n">
        <f aca="false">COUNTIF('Sales Data'!$D$2:$D$1201,A238)</f>
        <v>7</v>
      </c>
      <c r="C238" s="92" t="n">
        <f aca="false">_xlfn.MAXIFS('Sales Data'!$B$2:$B$1201,'Sales Data'!$D$2:$D$1201,A238)</f>
        <v>46020</v>
      </c>
      <c r="D238" s="11" t="n">
        <f aca="false">Customers!$Q$4-C238</f>
        <v>2</v>
      </c>
      <c r="E238" s="31" t="n">
        <f aca="false">SUMIFS('Sales Data'!$P$2:$P$1201,'Sales Data'!$D$2:$D$1201,A238)</f>
        <v>31751</v>
      </c>
      <c r="F238" s="11" t="n">
        <f aca="false">INDEX(Customers!$Q$7:$Q$9,MATCH(D238,Customers!$P$7:$P$9,1))</f>
        <v>3</v>
      </c>
      <c r="G238" s="11" t="n">
        <f aca="false">INDEX(Customers!$Q$12:$Q$14,MATCH(B238,Customers!$P$12:$P$14,1))</f>
        <v>3</v>
      </c>
      <c r="H238" s="11" t="n">
        <f aca="false">INDEX(Customers!$Q$17:$Q$19,MATCH(E238,Customers!$P$17:$P$19,1))</f>
        <v>2</v>
      </c>
      <c r="I238" s="11" t="n">
        <f aca="false">F238+G238+H238</f>
        <v>8</v>
      </c>
      <c r="J238" s="11" t="str">
        <f aca="false">INDEX(Customers!$Q$22:$Q$25,MATCH(I238,Customers!$P$22:$P$25,1))</f>
        <v>Champion</v>
      </c>
    </row>
    <row r="239" customFormat="false" ht="15" hidden="false" customHeight="true" outlineLevel="0" collapsed="false">
      <c r="A239" s="11" t="str">
        <f aca="false">Customers!A142</f>
        <v>C138</v>
      </c>
      <c r="B239" s="11" t="n">
        <f aca="false">COUNTIF('Sales Data'!$D$2:$D$1201,A239)</f>
        <v>5</v>
      </c>
      <c r="C239" s="92" t="n">
        <f aca="false">_xlfn.MAXIFS('Sales Data'!$B$2:$B$1201,'Sales Data'!$D$2:$D$1201,A239)</f>
        <v>45980</v>
      </c>
      <c r="D239" s="11" t="n">
        <f aca="false">Customers!$Q$4-C239</f>
        <v>42</v>
      </c>
      <c r="E239" s="31" t="n">
        <f aca="false">SUMIFS('Sales Data'!$P$2:$P$1201,'Sales Data'!$D$2:$D$1201,A239)</f>
        <v>3117</v>
      </c>
      <c r="F239" s="11" t="n">
        <f aca="false">INDEX(Customers!$Q$7:$Q$9,MATCH(D239,Customers!$P$7:$P$9,1))</f>
        <v>3</v>
      </c>
      <c r="G239" s="11" t="n">
        <f aca="false">INDEX(Customers!$Q$12:$Q$14,MATCH(B239,Customers!$P$12:$P$14,1))</f>
        <v>2</v>
      </c>
      <c r="H239" s="11" t="n">
        <f aca="false">INDEX(Customers!$Q$17:$Q$19,MATCH(E239,Customers!$P$17:$P$19,1))</f>
        <v>1</v>
      </c>
      <c r="I239" s="11" t="n">
        <f aca="false">F239+G239+H239</f>
        <v>6</v>
      </c>
      <c r="J239" s="11" t="str">
        <f aca="false">INDEX(Customers!$Q$22:$Q$25,MATCH(I239,Customers!$P$22:$P$25,1))</f>
        <v>Loyal</v>
      </c>
    </row>
    <row r="240" customFormat="false" ht="15" hidden="false" customHeight="true" outlineLevel="0" collapsed="false">
      <c r="A240" s="11" t="str">
        <f aca="false">Customers!A143</f>
        <v>C139</v>
      </c>
      <c r="B240" s="11" t="n">
        <f aca="false">COUNTIF('Sales Data'!$D$2:$D$1201,A240)</f>
        <v>8</v>
      </c>
      <c r="C240" s="92" t="n">
        <f aca="false">_xlfn.MAXIFS('Sales Data'!$B$2:$B$1201,'Sales Data'!$D$2:$D$1201,A240)</f>
        <v>45991</v>
      </c>
      <c r="D240" s="11" t="n">
        <f aca="false">Customers!$Q$4-C240</f>
        <v>31</v>
      </c>
      <c r="E240" s="31" t="n">
        <f aca="false">SUMIFS('Sales Data'!$P$2:$P$1201,'Sales Data'!$D$2:$D$1201,A240)</f>
        <v>50449</v>
      </c>
      <c r="F240" s="11" t="n">
        <f aca="false">INDEX(Customers!$Q$7:$Q$9,MATCH(D240,Customers!$P$7:$P$9,1))</f>
        <v>3</v>
      </c>
      <c r="G240" s="11" t="n">
        <f aca="false">INDEX(Customers!$Q$12:$Q$14,MATCH(B240,Customers!$P$12:$P$14,1))</f>
        <v>3</v>
      </c>
      <c r="H240" s="11" t="n">
        <f aca="false">INDEX(Customers!$Q$17:$Q$19,MATCH(E240,Customers!$P$17:$P$19,1))</f>
        <v>3</v>
      </c>
      <c r="I240" s="11" t="n">
        <f aca="false">F240+G240+H240</f>
        <v>9</v>
      </c>
      <c r="J240" s="11" t="str">
        <f aca="false">INDEX(Customers!$Q$22:$Q$25,MATCH(I240,Customers!$P$22:$P$25,1))</f>
        <v>Champion</v>
      </c>
    </row>
    <row r="241" customFormat="false" ht="15" hidden="false" customHeight="true" outlineLevel="0" collapsed="false">
      <c r="A241" s="11" t="str">
        <f aca="false">Customers!A144</f>
        <v>C140</v>
      </c>
      <c r="B241" s="11" t="n">
        <f aca="false">COUNTIF('Sales Data'!$D$2:$D$1201,A241)</f>
        <v>2</v>
      </c>
      <c r="C241" s="92" t="n">
        <f aca="false">_xlfn.MAXIFS('Sales Data'!$B$2:$B$1201,'Sales Data'!$D$2:$D$1201,A241)</f>
        <v>45901</v>
      </c>
      <c r="D241" s="11" t="n">
        <f aca="false">Customers!$Q$4-C241</f>
        <v>121</v>
      </c>
      <c r="E241" s="31" t="n">
        <f aca="false">SUMIFS('Sales Data'!$P$2:$P$1201,'Sales Data'!$D$2:$D$1201,A241)</f>
        <v>9194</v>
      </c>
      <c r="F241" s="11" t="n">
        <f aca="false">INDEX(Customers!$Q$7:$Q$9,MATCH(D241,Customers!$P$7:$P$9,1))</f>
        <v>2</v>
      </c>
      <c r="G241" s="11" t="n">
        <f aca="false">INDEX(Customers!$Q$12:$Q$14,MATCH(B241,Customers!$P$12:$P$14,1))</f>
        <v>1</v>
      </c>
      <c r="H241" s="11" t="n">
        <f aca="false">INDEX(Customers!$Q$17:$Q$19,MATCH(E241,Customers!$P$17:$P$19,1))</f>
        <v>1</v>
      </c>
      <c r="I241" s="11" t="n">
        <f aca="false">F241+G241+H241</f>
        <v>4</v>
      </c>
      <c r="J241" s="11" t="str">
        <f aca="false">INDEX(Customers!$Q$22:$Q$25,MATCH(I241,Customers!$P$22:$P$25,1))</f>
        <v>At Risk</v>
      </c>
    </row>
    <row r="242" customFormat="false" ht="15" hidden="false" customHeight="true" outlineLevel="0" collapsed="false">
      <c r="A242" s="11" t="str">
        <f aca="false">Customers!A145</f>
        <v>C141</v>
      </c>
      <c r="B242" s="11" t="n">
        <f aca="false">COUNTIF('Sales Data'!$D$2:$D$1201,A242)</f>
        <v>4</v>
      </c>
      <c r="C242" s="92" t="n">
        <f aca="false">_xlfn.MAXIFS('Sales Data'!$B$2:$B$1201,'Sales Data'!$D$2:$D$1201,A242)</f>
        <v>45980</v>
      </c>
      <c r="D242" s="11" t="n">
        <f aca="false">Customers!$Q$4-C242</f>
        <v>42</v>
      </c>
      <c r="E242" s="31" t="n">
        <f aca="false">SUMIFS('Sales Data'!$P$2:$P$1201,'Sales Data'!$D$2:$D$1201,A242)</f>
        <v>8169</v>
      </c>
      <c r="F242" s="11" t="n">
        <f aca="false">INDEX(Customers!$Q$7:$Q$9,MATCH(D242,Customers!$P$7:$P$9,1))</f>
        <v>3</v>
      </c>
      <c r="G242" s="11" t="n">
        <f aca="false">INDEX(Customers!$Q$12:$Q$14,MATCH(B242,Customers!$P$12:$P$14,1))</f>
        <v>2</v>
      </c>
      <c r="H242" s="11" t="n">
        <f aca="false">INDEX(Customers!$Q$17:$Q$19,MATCH(E242,Customers!$P$17:$P$19,1))</f>
        <v>1</v>
      </c>
      <c r="I242" s="11" t="n">
        <f aca="false">F242+G242+H242</f>
        <v>6</v>
      </c>
      <c r="J242" s="11" t="str">
        <f aca="false">INDEX(Customers!$Q$22:$Q$25,MATCH(I242,Customers!$P$22:$P$25,1))</f>
        <v>Loyal</v>
      </c>
    </row>
    <row r="243" customFormat="false" ht="15" hidden="false" customHeight="true" outlineLevel="0" collapsed="false">
      <c r="A243" s="11" t="str">
        <f aca="false">Customers!A146</f>
        <v>C142</v>
      </c>
      <c r="B243" s="11" t="n">
        <f aca="false">COUNTIF('Sales Data'!$D$2:$D$1201,A243)</f>
        <v>10</v>
      </c>
      <c r="C243" s="92" t="n">
        <f aca="false">_xlfn.MAXIFS('Sales Data'!$B$2:$B$1201,'Sales Data'!$D$2:$D$1201,A243)</f>
        <v>46000</v>
      </c>
      <c r="D243" s="11" t="n">
        <f aca="false">Customers!$Q$4-C243</f>
        <v>22</v>
      </c>
      <c r="E243" s="31" t="n">
        <f aca="false">SUMIFS('Sales Data'!$P$2:$P$1201,'Sales Data'!$D$2:$D$1201,A243)</f>
        <v>44791</v>
      </c>
      <c r="F243" s="11" t="n">
        <f aca="false">INDEX(Customers!$Q$7:$Q$9,MATCH(D243,Customers!$P$7:$P$9,1))</f>
        <v>3</v>
      </c>
      <c r="G243" s="11" t="n">
        <f aca="false">INDEX(Customers!$Q$12:$Q$14,MATCH(B243,Customers!$P$12:$P$14,1))</f>
        <v>3</v>
      </c>
      <c r="H243" s="11" t="n">
        <f aca="false">INDEX(Customers!$Q$17:$Q$19,MATCH(E243,Customers!$P$17:$P$19,1))</f>
        <v>2</v>
      </c>
      <c r="I243" s="11" t="n">
        <f aca="false">F243+G243+H243</f>
        <v>8</v>
      </c>
      <c r="J243" s="11" t="str">
        <f aca="false">INDEX(Customers!$Q$22:$Q$25,MATCH(I243,Customers!$P$22:$P$25,1))</f>
        <v>Champion</v>
      </c>
    </row>
    <row r="244" customFormat="false" ht="15" hidden="false" customHeight="true" outlineLevel="0" collapsed="false">
      <c r="A244" s="11" t="str">
        <f aca="false">Customers!A147</f>
        <v>C143</v>
      </c>
      <c r="B244" s="11" t="n">
        <f aca="false">COUNTIF('Sales Data'!$D$2:$D$1201,A244)</f>
        <v>3</v>
      </c>
      <c r="C244" s="92" t="n">
        <f aca="false">_xlfn.MAXIFS('Sales Data'!$B$2:$B$1201,'Sales Data'!$D$2:$D$1201,A244)</f>
        <v>45955</v>
      </c>
      <c r="D244" s="11" t="n">
        <f aca="false">Customers!$Q$4-C244</f>
        <v>67</v>
      </c>
      <c r="E244" s="31" t="n">
        <f aca="false">SUMIFS('Sales Data'!$P$2:$P$1201,'Sales Data'!$D$2:$D$1201,A244)</f>
        <v>25292</v>
      </c>
      <c r="F244" s="11" t="n">
        <f aca="false">INDEX(Customers!$Q$7:$Q$9,MATCH(D244,Customers!$P$7:$P$9,1))</f>
        <v>2</v>
      </c>
      <c r="G244" s="11" t="n">
        <f aca="false">INDEX(Customers!$Q$12:$Q$14,MATCH(B244,Customers!$P$12:$P$14,1))</f>
        <v>2</v>
      </c>
      <c r="H244" s="11" t="n">
        <f aca="false">INDEX(Customers!$Q$17:$Q$19,MATCH(E244,Customers!$P$17:$P$19,1))</f>
        <v>2</v>
      </c>
      <c r="I244" s="11" t="n">
        <f aca="false">F244+G244+H244</f>
        <v>6</v>
      </c>
      <c r="J244" s="11" t="str">
        <f aca="false">INDEX(Customers!$Q$22:$Q$25,MATCH(I244,Customers!$P$22:$P$25,1))</f>
        <v>Loyal</v>
      </c>
    </row>
    <row r="245" customFormat="false" ht="15" hidden="false" customHeight="true" outlineLevel="0" collapsed="false">
      <c r="A245" s="11" t="str">
        <f aca="false">Customers!A148</f>
        <v>C144</v>
      </c>
      <c r="B245" s="11" t="n">
        <f aca="false">COUNTIF('Sales Data'!$D$2:$D$1201,A245)</f>
        <v>1</v>
      </c>
      <c r="C245" s="92" t="n">
        <f aca="false">_xlfn.MAXIFS('Sales Data'!$B$2:$B$1201,'Sales Data'!$D$2:$D$1201,A245)</f>
        <v>45956</v>
      </c>
      <c r="D245" s="11" t="n">
        <f aca="false">Customers!$Q$4-C245</f>
        <v>66</v>
      </c>
      <c r="E245" s="31" t="n">
        <f aca="false">SUMIFS('Sales Data'!$P$2:$P$1201,'Sales Data'!$D$2:$D$1201,A245)</f>
        <v>1039</v>
      </c>
      <c r="F245" s="11" t="n">
        <f aca="false">INDEX(Customers!$Q$7:$Q$9,MATCH(D245,Customers!$P$7:$P$9,1))</f>
        <v>2</v>
      </c>
      <c r="G245" s="11" t="n">
        <f aca="false">INDEX(Customers!$Q$12:$Q$14,MATCH(B245,Customers!$P$12:$P$14,1))</f>
        <v>1</v>
      </c>
      <c r="H245" s="11" t="n">
        <f aca="false">INDEX(Customers!$Q$17:$Q$19,MATCH(E245,Customers!$P$17:$P$19,1))</f>
        <v>1</v>
      </c>
      <c r="I245" s="11" t="n">
        <f aca="false">F245+G245+H245</f>
        <v>4</v>
      </c>
      <c r="J245" s="11" t="str">
        <f aca="false">INDEX(Customers!$Q$22:$Q$25,MATCH(I245,Customers!$P$22:$P$25,1))</f>
        <v>At Risk</v>
      </c>
    </row>
    <row r="246" customFormat="false" ht="15" hidden="false" customHeight="true" outlineLevel="0" collapsed="false">
      <c r="A246" s="11" t="str">
        <f aca="false">Customers!A149</f>
        <v>C145</v>
      </c>
      <c r="B246" s="11" t="n">
        <f aca="false">COUNTIF('Sales Data'!$D$2:$D$1201,A246)</f>
        <v>10</v>
      </c>
      <c r="C246" s="92" t="n">
        <f aca="false">_xlfn.MAXIFS('Sales Data'!$B$2:$B$1201,'Sales Data'!$D$2:$D$1201,A246)</f>
        <v>46022</v>
      </c>
      <c r="D246" s="11" t="n">
        <f aca="false">Customers!$Q$4-C246</f>
        <v>0</v>
      </c>
      <c r="E246" s="31" t="n">
        <f aca="false">SUMIFS('Sales Data'!$P$2:$P$1201,'Sales Data'!$D$2:$D$1201,A246)</f>
        <v>67215</v>
      </c>
      <c r="F246" s="11" t="n">
        <f aca="false">INDEX(Customers!$Q$7:$Q$9,MATCH(D246,Customers!$P$7:$P$9,1))</f>
        <v>3</v>
      </c>
      <c r="G246" s="11" t="n">
        <f aca="false">INDEX(Customers!$Q$12:$Q$14,MATCH(B246,Customers!$P$12:$P$14,1))</f>
        <v>3</v>
      </c>
      <c r="H246" s="11" t="n">
        <f aca="false">INDEX(Customers!$Q$17:$Q$19,MATCH(E246,Customers!$P$17:$P$19,1))</f>
        <v>3</v>
      </c>
      <c r="I246" s="11" t="n">
        <f aca="false">F246+G246+H246</f>
        <v>9</v>
      </c>
      <c r="J246" s="11" t="str">
        <f aca="false">INDEX(Customers!$Q$22:$Q$25,MATCH(I246,Customers!$P$22:$P$25,1))</f>
        <v>Champion</v>
      </c>
    </row>
    <row r="247" customFormat="false" ht="15" hidden="false" customHeight="true" outlineLevel="0" collapsed="false">
      <c r="A247" s="11" t="str">
        <f aca="false">Customers!A150</f>
        <v>C146</v>
      </c>
      <c r="B247" s="11" t="n">
        <f aca="false">COUNTIF('Sales Data'!$D$2:$D$1201,A247)</f>
        <v>9</v>
      </c>
      <c r="C247" s="92" t="n">
        <f aca="false">_xlfn.MAXIFS('Sales Data'!$B$2:$B$1201,'Sales Data'!$D$2:$D$1201,A247)</f>
        <v>46000</v>
      </c>
      <c r="D247" s="11" t="n">
        <f aca="false">Customers!$Q$4-C247</f>
        <v>22</v>
      </c>
      <c r="E247" s="31" t="n">
        <f aca="false">SUMIFS('Sales Data'!$P$2:$P$1201,'Sales Data'!$D$2:$D$1201,A247)</f>
        <v>43267</v>
      </c>
      <c r="F247" s="11" t="n">
        <f aca="false">INDEX(Customers!$Q$7:$Q$9,MATCH(D247,Customers!$P$7:$P$9,1))</f>
        <v>3</v>
      </c>
      <c r="G247" s="11" t="n">
        <f aca="false">INDEX(Customers!$Q$12:$Q$14,MATCH(B247,Customers!$P$12:$P$14,1))</f>
        <v>3</v>
      </c>
      <c r="H247" s="11" t="n">
        <f aca="false">INDEX(Customers!$Q$17:$Q$19,MATCH(E247,Customers!$P$17:$P$19,1))</f>
        <v>2</v>
      </c>
      <c r="I247" s="11" t="n">
        <f aca="false">F247+G247+H247</f>
        <v>8</v>
      </c>
      <c r="J247" s="11" t="str">
        <f aca="false">INDEX(Customers!$Q$22:$Q$25,MATCH(I247,Customers!$P$22:$P$25,1))</f>
        <v>Champion</v>
      </c>
    </row>
    <row r="248" customFormat="false" ht="15" hidden="false" customHeight="true" outlineLevel="0" collapsed="false">
      <c r="A248" s="11" t="str">
        <f aca="false">Customers!A151</f>
        <v>C147</v>
      </c>
      <c r="B248" s="11" t="n">
        <f aca="false">COUNTIF('Sales Data'!$D$2:$D$1201,A248)</f>
        <v>4</v>
      </c>
      <c r="C248" s="92" t="n">
        <f aca="false">_xlfn.MAXIFS('Sales Data'!$B$2:$B$1201,'Sales Data'!$D$2:$D$1201,A248)</f>
        <v>45967</v>
      </c>
      <c r="D248" s="11" t="n">
        <f aca="false">Customers!$Q$4-C248</f>
        <v>55</v>
      </c>
      <c r="E248" s="31" t="n">
        <f aca="false">SUMIFS('Sales Data'!$P$2:$P$1201,'Sales Data'!$D$2:$D$1201,A248)</f>
        <v>37400</v>
      </c>
      <c r="F248" s="11" t="n">
        <f aca="false">INDEX(Customers!$Q$7:$Q$9,MATCH(D248,Customers!$P$7:$P$9,1))</f>
        <v>2</v>
      </c>
      <c r="G248" s="11" t="n">
        <f aca="false">INDEX(Customers!$Q$12:$Q$14,MATCH(B248,Customers!$P$12:$P$14,1))</f>
        <v>2</v>
      </c>
      <c r="H248" s="11" t="n">
        <f aca="false">INDEX(Customers!$Q$17:$Q$19,MATCH(E248,Customers!$P$17:$P$19,1))</f>
        <v>2</v>
      </c>
      <c r="I248" s="11" t="n">
        <f aca="false">F248+G248+H248</f>
        <v>6</v>
      </c>
      <c r="J248" s="11" t="str">
        <f aca="false">INDEX(Customers!$Q$22:$Q$25,MATCH(I248,Customers!$P$22:$P$25,1))</f>
        <v>Loyal</v>
      </c>
    </row>
    <row r="249" customFormat="false" ht="15" hidden="false" customHeight="true" outlineLevel="0" collapsed="false">
      <c r="A249" s="11" t="str">
        <f aca="false">Customers!A152</f>
        <v>C148</v>
      </c>
      <c r="B249" s="11" t="n">
        <f aca="false">COUNTIF('Sales Data'!$D$2:$D$1201,A249)</f>
        <v>3</v>
      </c>
      <c r="C249" s="92" t="n">
        <f aca="false">_xlfn.MAXIFS('Sales Data'!$B$2:$B$1201,'Sales Data'!$D$2:$D$1201,A249)</f>
        <v>45967</v>
      </c>
      <c r="D249" s="11" t="n">
        <f aca="false">Customers!$Q$4-C249</f>
        <v>55</v>
      </c>
      <c r="E249" s="31" t="n">
        <f aca="false">SUMIFS('Sales Data'!$P$2:$P$1201,'Sales Data'!$D$2:$D$1201,A249)</f>
        <v>8364</v>
      </c>
      <c r="F249" s="11" t="n">
        <f aca="false">INDEX(Customers!$Q$7:$Q$9,MATCH(D249,Customers!$P$7:$P$9,1))</f>
        <v>2</v>
      </c>
      <c r="G249" s="11" t="n">
        <f aca="false">INDEX(Customers!$Q$12:$Q$14,MATCH(B249,Customers!$P$12:$P$14,1))</f>
        <v>2</v>
      </c>
      <c r="H249" s="11" t="n">
        <f aca="false">INDEX(Customers!$Q$17:$Q$19,MATCH(E249,Customers!$P$17:$P$19,1))</f>
        <v>1</v>
      </c>
      <c r="I249" s="11" t="n">
        <f aca="false">F249+G249+H249</f>
        <v>5</v>
      </c>
      <c r="J249" s="11" t="str">
        <f aca="false">INDEX(Customers!$Q$22:$Q$25,MATCH(I249,Customers!$P$22:$P$25,1))</f>
        <v>At Risk</v>
      </c>
    </row>
    <row r="250" customFormat="false" ht="15" hidden="false" customHeight="true" outlineLevel="0" collapsed="false">
      <c r="A250" s="11" t="str">
        <f aca="false">Customers!A153</f>
        <v>C149</v>
      </c>
      <c r="B250" s="11" t="n">
        <f aca="false">COUNTIF('Sales Data'!$D$2:$D$1201,A250)</f>
        <v>2</v>
      </c>
      <c r="C250" s="92" t="n">
        <f aca="false">_xlfn.MAXIFS('Sales Data'!$B$2:$B$1201,'Sales Data'!$D$2:$D$1201,A250)</f>
        <v>45856</v>
      </c>
      <c r="D250" s="11" t="n">
        <f aca="false">Customers!$Q$4-C250</f>
        <v>166</v>
      </c>
      <c r="E250" s="31" t="n">
        <f aca="false">SUMIFS('Sales Data'!$P$2:$P$1201,'Sales Data'!$D$2:$D$1201,A250)</f>
        <v>7036</v>
      </c>
      <c r="F250" s="11" t="n">
        <f aca="false">INDEX(Customers!$Q$7:$Q$9,MATCH(D250,Customers!$P$7:$P$9,1))</f>
        <v>1</v>
      </c>
      <c r="G250" s="11" t="n">
        <f aca="false">INDEX(Customers!$Q$12:$Q$14,MATCH(B250,Customers!$P$12:$P$14,1))</f>
        <v>1</v>
      </c>
      <c r="H250" s="11" t="n">
        <f aca="false">INDEX(Customers!$Q$17:$Q$19,MATCH(E250,Customers!$P$17:$P$19,1))</f>
        <v>1</v>
      </c>
      <c r="I250" s="11" t="n">
        <f aca="false">F250+G250+H250</f>
        <v>3</v>
      </c>
      <c r="J250" s="11" t="str">
        <f aca="false">INDEX(Customers!$Q$22:$Q$25,MATCH(I250,Customers!$P$22:$P$25,1))</f>
        <v>Lost</v>
      </c>
    </row>
    <row r="251" customFormat="false" ht="15" hidden="false" customHeight="true" outlineLevel="0" collapsed="false">
      <c r="A251" s="11" t="str">
        <f aca="false">Customers!A154</f>
        <v>C150</v>
      </c>
      <c r="B251" s="11" t="n">
        <f aca="false">COUNTIF('Sales Data'!$D$2:$D$1201,A251)</f>
        <v>3</v>
      </c>
      <c r="C251" s="92" t="n">
        <f aca="false">_xlfn.MAXIFS('Sales Data'!$B$2:$B$1201,'Sales Data'!$D$2:$D$1201,A251)</f>
        <v>45942</v>
      </c>
      <c r="D251" s="11" t="n">
        <f aca="false">Customers!$Q$4-C251</f>
        <v>80</v>
      </c>
      <c r="E251" s="31" t="n">
        <f aca="false">SUMIFS('Sales Data'!$P$2:$P$1201,'Sales Data'!$D$2:$D$1201,A251)</f>
        <v>13957</v>
      </c>
      <c r="F251" s="11" t="n">
        <f aca="false">INDEX(Customers!$Q$7:$Q$9,MATCH(D251,Customers!$P$7:$P$9,1))</f>
        <v>2</v>
      </c>
      <c r="G251" s="11" t="n">
        <f aca="false">INDEX(Customers!$Q$12:$Q$14,MATCH(B251,Customers!$P$12:$P$14,1))</f>
        <v>2</v>
      </c>
      <c r="H251" s="11" t="n">
        <f aca="false">INDEX(Customers!$Q$17:$Q$19,MATCH(E251,Customers!$P$17:$P$19,1))</f>
        <v>2</v>
      </c>
      <c r="I251" s="11" t="n">
        <f aca="false">F251+G251+H251</f>
        <v>6</v>
      </c>
      <c r="J251" s="11" t="str">
        <f aca="false">INDEX(Customers!$Q$22:$Q$25,MATCH(I251,Customers!$P$22:$P$25,1))</f>
        <v>Loyal</v>
      </c>
    </row>
    <row r="252" customFormat="false" ht="15" hidden="false" customHeight="true" outlineLevel="0" collapsed="false">
      <c r="A252" s="11" t="str">
        <f aca="false">Customers!A155</f>
        <v>C151</v>
      </c>
      <c r="B252" s="11" t="n">
        <f aca="false">COUNTIF('Sales Data'!$D$2:$D$1201,A252)</f>
        <v>1</v>
      </c>
      <c r="C252" s="92" t="n">
        <f aca="false">_xlfn.MAXIFS('Sales Data'!$B$2:$B$1201,'Sales Data'!$D$2:$D$1201,A252)</f>
        <v>45850</v>
      </c>
      <c r="D252" s="11" t="n">
        <f aca="false">Customers!$Q$4-C252</f>
        <v>172</v>
      </c>
      <c r="E252" s="31" t="n">
        <f aca="false">SUMIFS('Sales Data'!$P$2:$P$1201,'Sales Data'!$D$2:$D$1201,A252)</f>
        <v>4199</v>
      </c>
      <c r="F252" s="11" t="n">
        <f aca="false">INDEX(Customers!$Q$7:$Q$9,MATCH(D252,Customers!$P$7:$P$9,1))</f>
        <v>1</v>
      </c>
      <c r="G252" s="11" t="n">
        <f aca="false">INDEX(Customers!$Q$12:$Q$14,MATCH(B252,Customers!$P$12:$P$14,1))</f>
        <v>1</v>
      </c>
      <c r="H252" s="11" t="n">
        <f aca="false">INDEX(Customers!$Q$17:$Q$19,MATCH(E252,Customers!$P$17:$P$19,1))</f>
        <v>1</v>
      </c>
      <c r="I252" s="11" t="n">
        <f aca="false">F252+G252+H252</f>
        <v>3</v>
      </c>
      <c r="J252" s="11" t="str">
        <f aca="false">INDEX(Customers!$Q$22:$Q$25,MATCH(I252,Customers!$P$22:$P$25,1))</f>
        <v>Lost</v>
      </c>
    </row>
    <row r="253" customFormat="false" ht="15" hidden="false" customHeight="true" outlineLevel="0" collapsed="false">
      <c r="A253" s="11" t="str">
        <f aca="false">Customers!A156</f>
        <v>C152</v>
      </c>
      <c r="B253" s="11" t="n">
        <f aca="false">COUNTIF('Sales Data'!$D$2:$D$1201,A253)</f>
        <v>1</v>
      </c>
      <c r="C253" s="92" t="n">
        <f aca="false">_xlfn.MAXIFS('Sales Data'!$B$2:$B$1201,'Sales Data'!$D$2:$D$1201,A253)</f>
        <v>45871</v>
      </c>
      <c r="D253" s="11" t="n">
        <f aca="false">Customers!$Q$4-C253</f>
        <v>151</v>
      </c>
      <c r="E253" s="31" t="n">
        <f aca="false">SUMIFS('Sales Data'!$P$2:$P$1201,'Sales Data'!$D$2:$D$1201,A253)</f>
        <v>7998</v>
      </c>
      <c r="F253" s="11" t="n">
        <f aca="false">INDEX(Customers!$Q$7:$Q$9,MATCH(D253,Customers!$P$7:$P$9,1))</f>
        <v>1</v>
      </c>
      <c r="G253" s="11" t="n">
        <f aca="false">INDEX(Customers!$Q$12:$Q$14,MATCH(B253,Customers!$P$12:$P$14,1))</f>
        <v>1</v>
      </c>
      <c r="H253" s="11" t="n">
        <f aca="false">INDEX(Customers!$Q$17:$Q$19,MATCH(E253,Customers!$P$17:$P$19,1))</f>
        <v>1</v>
      </c>
      <c r="I253" s="11" t="n">
        <f aca="false">F253+G253+H253</f>
        <v>3</v>
      </c>
      <c r="J253" s="11" t="str">
        <f aca="false">INDEX(Customers!$Q$22:$Q$25,MATCH(I253,Customers!$P$22:$P$25,1))</f>
        <v>Lost</v>
      </c>
    </row>
    <row r="254" customFormat="false" ht="15" hidden="false" customHeight="true" outlineLevel="0" collapsed="false">
      <c r="A254" s="11" t="str">
        <f aca="false">Customers!A157</f>
        <v>C153</v>
      </c>
      <c r="B254" s="11" t="n">
        <f aca="false">COUNTIF('Sales Data'!$D$2:$D$1201,A254)</f>
        <v>16</v>
      </c>
      <c r="C254" s="92" t="n">
        <f aca="false">_xlfn.MAXIFS('Sales Data'!$B$2:$B$1201,'Sales Data'!$D$2:$D$1201,A254)</f>
        <v>46012</v>
      </c>
      <c r="D254" s="11" t="n">
        <f aca="false">Customers!$Q$4-C254</f>
        <v>10</v>
      </c>
      <c r="E254" s="31" t="n">
        <f aca="false">SUMIFS('Sales Data'!$P$2:$P$1201,'Sales Data'!$D$2:$D$1201,A254)</f>
        <v>68194</v>
      </c>
      <c r="F254" s="11" t="n">
        <f aca="false">INDEX(Customers!$Q$7:$Q$9,MATCH(D254,Customers!$P$7:$P$9,1))</f>
        <v>3</v>
      </c>
      <c r="G254" s="11" t="n">
        <f aca="false">INDEX(Customers!$Q$12:$Q$14,MATCH(B254,Customers!$P$12:$P$14,1))</f>
        <v>3</v>
      </c>
      <c r="H254" s="11" t="n">
        <f aca="false">INDEX(Customers!$Q$17:$Q$19,MATCH(E254,Customers!$P$17:$P$19,1))</f>
        <v>3</v>
      </c>
      <c r="I254" s="11" t="n">
        <f aca="false">F254+G254+H254</f>
        <v>9</v>
      </c>
      <c r="J254" s="11" t="str">
        <f aca="false">INDEX(Customers!$Q$22:$Q$25,MATCH(I254,Customers!$P$22:$P$25,1))</f>
        <v>Champion</v>
      </c>
    </row>
    <row r="255" customFormat="false" ht="15" hidden="false" customHeight="true" outlineLevel="0" collapsed="false">
      <c r="A255" s="11" t="str">
        <f aca="false">Customers!A158</f>
        <v>C154</v>
      </c>
      <c r="B255" s="11" t="n">
        <f aca="false">COUNTIF('Sales Data'!$D$2:$D$1201,A255)</f>
        <v>4</v>
      </c>
      <c r="C255" s="92" t="n">
        <f aca="false">_xlfn.MAXIFS('Sales Data'!$B$2:$B$1201,'Sales Data'!$D$2:$D$1201,A255)</f>
        <v>45916</v>
      </c>
      <c r="D255" s="11" t="n">
        <f aca="false">Customers!$Q$4-C255</f>
        <v>106</v>
      </c>
      <c r="E255" s="31" t="n">
        <f aca="false">SUMIFS('Sales Data'!$P$2:$P$1201,'Sales Data'!$D$2:$D$1201,A255)</f>
        <v>2502</v>
      </c>
      <c r="F255" s="11" t="n">
        <f aca="false">INDEX(Customers!$Q$7:$Q$9,MATCH(D255,Customers!$P$7:$P$9,1))</f>
        <v>2</v>
      </c>
      <c r="G255" s="11" t="n">
        <f aca="false">INDEX(Customers!$Q$12:$Q$14,MATCH(B255,Customers!$P$12:$P$14,1))</f>
        <v>2</v>
      </c>
      <c r="H255" s="11" t="n">
        <f aca="false">INDEX(Customers!$Q$17:$Q$19,MATCH(E255,Customers!$P$17:$P$19,1))</f>
        <v>1</v>
      </c>
      <c r="I255" s="11" t="n">
        <f aca="false">F255+G255+H255</f>
        <v>5</v>
      </c>
      <c r="J255" s="11" t="str">
        <f aca="false">INDEX(Customers!$Q$22:$Q$25,MATCH(I255,Customers!$P$22:$P$25,1))</f>
        <v>At Risk</v>
      </c>
    </row>
    <row r="256" customFormat="false" ht="15" hidden="false" customHeight="true" outlineLevel="0" collapsed="false">
      <c r="A256" s="11" t="str">
        <f aca="false">Customers!A159</f>
        <v>C155</v>
      </c>
      <c r="B256" s="11" t="n">
        <f aca="false">COUNTIF('Sales Data'!$D$2:$D$1201,A256)</f>
        <v>5</v>
      </c>
      <c r="C256" s="92" t="n">
        <f aca="false">_xlfn.MAXIFS('Sales Data'!$B$2:$B$1201,'Sales Data'!$D$2:$D$1201,A256)</f>
        <v>46012</v>
      </c>
      <c r="D256" s="11" t="n">
        <f aca="false">Customers!$Q$4-C256</f>
        <v>10</v>
      </c>
      <c r="E256" s="31" t="n">
        <f aca="false">SUMIFS('Sales Data'!$P$2:$P$1201,'Sales Data'!$D$2:$D$1201,A256)</f>
        <v>14824</v>
      </c>
      <c r="F256" s="11" t="n">
        <f aca="false">INDEX(Customers!$Q$7:$Q$9,MATCH(D256,Customers!$P$7:$P$9,1))</f>
        <v>3</v>
      </c>
      <c r="G256" s="11" t="n">
        <f aca="false">INDEX(Customers!$Q$12:$Q$14,MATCH(B256,Customers!$P$12:$P$14,1))</f>
        <v>2</v>
      </c>
      <c r="H256" s="11" t="n">
        <f aca="false">INDEX(Customers!$Q$17:$Q$19,MATCH(E256,Customers!$P$17:$P$19,1))</f>
        <v>2</v>
      </c>
      <c r="I256" s="11" t="n">
        <f aca="false">F256+G256+H256</f>
        <v>7</v>
      </c>
      <c r="J256" s="11" t="str">
        <f aca="false">INDEX(Customers!$Q$22:$Q$25,MATCH(I256,Customers!$P$22:$P$25,1))</f>
        <v>Loyal</v>
      </c>
    </row>
    <row r="257" customFormat="false" ht="15" hidden="false" customHeight="true" outlineLevel="0" collapsed="false">
      <c r="A257" s="11" t="str">
        <f aca="false">Customers!A160</f>
        <v>C156</v>
      </c>
      <c r="B257" s="11" t="n">
        <f aca="false">COUNTIF('Sales Data'!$D$2:$D$1201,A257)</f>
        <v>1</v>
      </c>
      <c r="C257" s="92" t="n">
        <f aca="false">_xlfn.MAXIFS('Sales Data'!$B$2:$B$1201,'Sales Data'!$D$2:$D$1201,A257)</f>
        <v>45815</v>
      </c>
      <c r="D257" s="11" t="n">
        <f aca="false">Customers!$Q$4-C257</f>
        <v>207</v>
      </c>
      <c r="E257" s="31" t="n">
        <f aca="false">SUMIFS('Sales Data'!$P$2:$P$1201,'Sales Data'!$D$2:$D$1201,A257)</f>
        <v>5999</v>
      </c>
      <c r="F257" s="11" t="n">
        <f aca="false">INDEX(Customers!$Q$7:$Q$9,MATCH(D257,Customers!$P$7:$P$9,1))</f>
        <v>1</v>
      </c>
      <c r="G257" s="11" t="n">
        <f aca="false">INDEX(Customers!$Q$12:$Q$14,MATCH(B257,Customers!$P$12:$P$14,1))</f>
        <v>1</v>
      </c>
      <c r="H257" s="11" t="n">
        <f aca="false">INDEX(Customers!$Q$17:$Q$19,MATCH(E257,Customers!$P$17:$P$19,1))</f>
        <v>1</v>
      </c>
      <c r="I257" s="11" t="n">
        <f aca="false">F257+G257+H257</f>
        <v>3</v>
      </c>
      <c r="J257" s="11" t="str">
        <f aca="false">INDEX(Customers!$Q$22:$Q$25,MATCH(I257,Customers!$P$22:$P$25,1))</f>
        <v>Lost</v>
      </c>
    </row>
    <row r="258" customFormat="false" ht="15" hidden="false" customHeight="true" outlineLevel="0" collapsed="false">
      <c r="A258" s="11" t="str">
        <f aca="false">Customers!A161</f>
        <v>C157</v>
      </c>
      <c r="B258" s="11" t="n">
        <f aca="false">COUNTIF('Sales Data'!$D$2:$D$1201,A258)</f>
        <v>11</v>
      </c>
      <c r="C258" s="92" t="n">
        <f aca="false">_xlfn.MAXIFS('Sales Data'!$B$2:$B$1201,'Sales Data'!$D$2:$D$1201,A258)</f>
        <v>45993</v>
      </c>
      <c r="D258" s="11" t="n">
        <f aca="false">Customers!$Q$4-C258</f>
        <v>29</v>
      </c>
      <c r="E258" s="31" t="n">
        <f aca="false">SUMIFS('Sales Data'!$P$2:$P$1201,'Sales Data'!$D$2:$D$1201,A258)</f>
        <v>26935</v>
      </c>
      <c r="F258" s="11" t="n">
        <f aca="false">INDEX(Customers!$Q$7:$Q$9,MATCH(D258,Customers!$P$7:$P$9,1))</f>
        <v>3</v>
      </c>
      <c r="G258" s="11" t="n">
        <f aca="false">INDEX(Customers!$Q$12:$Q$14,MATCH(B258,Customers!$P$12:$P$14,1))</f>
        <v>3</v>
      </c>
      <c r="H258" s="11" t="n">
        <f aca="false">INDEX(Customers!$Q$17:$Q$19,MATCH(E258,Customers!$P$17:$P$19,1))</f>
        <v>2</v>
      </c>
      <c r="I258" s="11" t="n">
        <f aca="false">F258+G258+H258</f>
        <v>8</v>
      </c>
      <c r="J258" s="11" t="str">
        <f aca="false">INDEX(Customers!$Q$22:$Q$25,MATCH(I258,Customers!$P$22:$P$25,1))</f>
        <v>Champion</v>
      </c>
    </row>
    <row r="259" customFormat="false" ht="15" hidden="false" customHeight="true" outlineLevel="0" collapsed="false">
      <c r="A259" s="11" t="str">
        <f aca="false">Customers!A162</f>
        <v>C158</v>
      </c>
      <c r="B259" s="11" t="n">
        <f aca="false">COUNTIF('Sales Data'!$D$2:$D$1201,A259)</f>
        <v>3</v>
      </c>
      <c r="C259" s="92" t="n">
        <f aca="false">_xlfn.MAXIFS('Sales Data'!$B$2:$B$1201,'Sales Data'!$D$2:$D$1201,A259)</f>
        <v>45806</v>
      </c>
      <c r="D259" s="11" t="n">
        <f aca="false">Customers!$Q$4-C259</f>
        <v>216</v>
      </c>
      <c r="E259" s="31" t="n">
        <f aca="false">SUMIFS('Sales Data'!$P$2:$P$1201,'Sales Data'!$D$2:$D$1201,A259)</f>
        <v>3497</v>
      </c>
      <c r="F259" s="11" t="n">
        <f aca="false">INDEX(Customers!$Q$7:$Q$9,MATCH(D259,Customers!$P$7:$P$9,1))</f>
        <v>1</v>
      </c>
      <c r="G259" s="11" t="n">
        <f aca="false">INDEX(Customers!$Q$12:$Q$14,MATCH(B259,Customers!$P$12:$P$14,1))</f>
        <v>2</v>
      </c>
      <c r="H259" s="11" t="n">
        <f aca="false">INDEX(Customers!$Q$17:$Q$19,MATCH(E259,Customers!$P$17:$P$19,1))</f>
        <v>1</v>
      </c>
      <c r="I259" s="11" t="n">
        <f aca="false">F259+G259+H259</f>
        <v>4</v>
      </c>
      <c r="J259" s="11" t="str">
        <f aca="false">INDEX(Customers!$Q$22:$Q$25,MATCH(I259,Customers!$P$22:$P$25,1))</f>
        <v>At Risk</v>
      </c>
    </row>
    <row r="260" customFormat="false" ht="15" hidden="false" customHeight="true" outlineLevel="0" collapsed="false">
      <c r="A260" s="11" t="str">
        <f aca="false">Customers!A163</f>
        <v>C159</v>
      </c>
      <c r="B260" s="11" t="n">
        <f aca="false">COUNTIF('Sales Data'!$D$2:$D$1201,A260)</f>
        <v>2</v>
      </c>
      <c r="C260" s="92" t="n">
        <f aca="false">_xlfn.MAXIFS('Sales Data'!$B$2:$B$1201,'Sales Data'!$D$2:$D$1201,A260)</f>
        <v>45963</v>
      </c>
      <c r="D260" s="11" t="n">
        <f aca="false">Customers!$Q$4-C260</f>
        <v>59</v>
      </c>
      <c r="E260" s="31" t="n">
        <f aca="false">SUMIFS('Sales Data'!$P$2:$P$1201,'Sales Data'!$D$2:$D$1201,A260)</f>
        <v>1448</v>
      </c>
      <c r="F260" s="11" t="n">
        <f aca="false">INDEX(Customers!$Q$7:$Q$9,MATCH(D260,Customers!$P$7:$P$9,1))</f>
        <v>2</v>
      </c>
      <c r="G260" s="11" t="n">
        <f aca="false">INDEX(Customers!$Q$12:$Q$14,MATCH(B260,Customers!$P$12:$P$14,1))</f>
        <v>1</v>
      </c>
      <c r="H260" s="11" t="n">
        <f aca="false">INDEX(Customers!$Q$17:$Q$19,MATCH(E260,Customers!$P$17:$P$19,1))</f>
        <v>1</v>
      </c>
      <c r="I260" s="11" t="n">
        <f aca="false">F260+G260+H260</f>
        <v>4</v>
      </c>
      <c r="J260" s="11" t="str">
        <f aca="false">INDEX(Customers!$Q$22:$Q$25,MATCH(I260,Customers!$P$22:$P$25,1))</f>
        <v>At Risk</v>
      </c>
    </row>
    <row r="261" customFormat="false" ht="15" hidden="false" customHeight="true" outlineLevel="0" collapsed="false">
      <c r="A261" s="11" t="str">
        <f aca="false">Customers!A164</f>
        <v>C160</v>
      </c>
      <c r="B261" s="11" t="n">
        <f aca="false">COUNTIF('Sales Data'!$D$2:$D$1201,A261)</f>
        <v>2</v>
      </c>
      <c r="C261" s="92" t="n">
        <f aca="false">_xlfn.MAXIFS('Sales Data'!$B$2:$B$1201,'Sales Data'!$D$2:$D$1201,A261)</f>
        <v>46017</v>
      </c>
      <c r="D261" s="11" t="n">
        <f aca="false">Customers!$Q$4-C261</f>
        <v>5</v>
      </c>
      <c r="E261" s="31" t="n">
        <f aca="false">SUMIFS('Sales Data'!$P$2:$P$1201,'Sales Data'!$D$2:$D$1201,A261)</f>
        <v>6268</v>
      </c>
      <c r="F261" s="11" t="n">
        <f aca="false">INDEX(Customers!$Q$7:$Q$9,MATCH(D261,Customers!$P$7:$P$9,1))</f>
        <v>3</v>
      </c>
      <c r="G261" s="11" t="n">
        <f aca="false">INDEX(Customers!$Q$12:$Q$14,MATCH(B261,Customers!$P$12:$P$14,1))</f>
        <v>1</v>
      </c>
      <c r="H261" s="11" t="n">
        <f aca="false">INDEX(Customers!$Q$17:$Q$19,MATCH(E261,Customers!$P$17:$P$19,1))</f>
        <v>1</v>
      </c>
      <c r="I261" s="11" t="n">
        <f aca="false">F261+G261+H261</f>
        <v>5</v>
      </c>
      <c r="J261" s="11" t="str">
        <f aca="false">INDEX(Customers!$Q$22:$Q$25,MATCH(I261,Customers!$P$22:$P$25,1))</f>
        <v>At Risk</v>
      </c>
    </row>
    <row r="262" customFormat="false" ht="15" hidden="false" customHeight="true" outlineLevel="0" collapsed="false">
      <c r="A262" s="11" t="str">
        <f aca="false">Customers!A165</f>
        <v>C161</v>
      </c>
      <c r="B262" s="11" t="n">
        <f aca="false">COUNTIF('Sales Data'!$D$2:$D$1201,A262)</f>
        <v>1</v>
      </c>
      <c r="C262" s="92" t="n">
        <f aca="false">_xlfn.MAXIFS('Sales Data'!$B$2:$B$1201,'Sales Data'!$D$2:$D$1201,A262)</f>
        <v>46013</v>
      </c>
      <c r="D262" s="11" t="n">
        <f aca="false">Customers!$Q$4-C262</f>
        <v>9</v>
      </c>
      <c r="E262" s="31" t="n">
        <f aca="false">SUMIFS('Sales Data'!$P$2:$P$1201,'Sales Data'!$D$2:$D$1201,A262)</f>
        <v>2697</v>
      </c>
      <c r="F262" s="11" t="n">
        <f aca="false">INDEX(Customers!$Q$7:$Q$9,MATCH(D262,Customers!$P$7:$P$9,1))</f>
        <v>3</v>
      </c>
      <c r="G262" s="11" t="n">
        <f aca="false">INDEX(Customers!$Q$12:$Q$14,MATCH(B262,Customers!$P$12:$P$14,1))</f>
        <v>1</v>
      </c>
      <c r="H262" s="11" t="n">
        <f aca="false">INDEX(Customers!$Q$17:$Q$19,MATCH(E262,Customers!$P$17:$P$19,1))</f>
        <v>1</v>
      </c>
      <c r="I262" s="11" t="n">
        <f aca="false">F262+G262+H262</f>
        <v>5</v>
      </c>
      <c r="J262" s="11" t="str">
        <f aca="false">INDEX(Customers!$Q$22:$Q$25,MATCH(I262,Customers!$P$22:$P$25,1))</f>
        <v>At Risk</v>
      </c>
    </row>
    <row r="263" customFormat="false" ht="15" hidden="false" customHeight="true" outlineLevel="0" collapsed="false">
      <c r="A263" s="11" t="str">
        <f aca="false">Customers!A166</f>
        <v>C162</v>
      </c>
      <c r="B263" s="11" t="n">
        <f aca="false">COUNTIF('Sales Data'!$D$2:$D$1201,A263)</f>
        <v>17</v>
      </c>
      <c r="C263" s="92" t="n">
        <f aca="false">_xlfn.MAXIFS('Sales Data'!$B$2:$B$1201,'Sales Data'!$D$2:$D$1201,A263)</f>
        <v>46019</v>
      </c>
      <c r="D263" s="11" t="n">
        <f aca="false">Customers!$Q$4-C263</f>
        <v>3</v>
      </c>
      <c r="E263" s="31" t="n">
        <f aca="false">SUMIFS('Sales Data'!$P$2:$P$1201,'Sales Data'!$D$2:$D$1201,A263)</f>
        <v>80129</v>
      </c>
      <c r="F263" s="11" t="n">
        <f aca="false">INDEX(Customers!$Q$7:$Q$9,MATCH(D263,Customers!$P$7:$P$9,1))</f>
        <v>3</v>
      </c>
      <c r="G263" s="11" t="n">
        <f aca="false">INDEX(Customers!$Q$12:$Q$14,MATCH(B263,Customers!$P$12:$P$14,1))</f>
        <v>3</v>
      </c>
      <c r="H263" s="11" t="n">
        <f aca="false">INDEX(Customers!$Q$17:$Q$19,MATCH(E263,Customers!$P$17:$P$19,1))</f>
        <v>3</v>
      </c>
      <c r="I263" s="11" t="n">
        <f aca="false">F263+G263+H263</f>
        <v>9</v>
      </c>
      <c r="J263" s="11" t="str">
        <f aca="false">INDEX(Customers!$Q$22:$Q$25,MATCH(I263,Customers!$P$22:$P$25,1))</f>
        <v>Champion</v>
      </c>
    </row>
    <row r="264" customFormat="false" ht="15" hidden="false" customHeight="true" outlineLevel="0" collapsed="false">
      <c r="A264" s="11" t="str">
        <f aca="false">Customers!A167</f>
        <v>C163</v>
      </c>
      <c r="B264" s="11" t="n">
        <f aca="false">COUNTIF('Sales Data'!$D$2:$D$1201,A264)</f>
        <v>9</v>
      </c>
      <c r="C264" s="92" t="n">
        <f aca="false">_xlfn.MAXIFS('Sales Data'!$B$2:$B$1201,'Sales Data'!$D$2:$D$1201,A264)</f>
        <v>45985</v>
      </c>
      <c r="D264" s="11" t="n">
        <f aca="false">Customers!$Q$4-C264</f>
        <v>37</v>
      </c>
      <c r="E264" s="31" t="n">
        <f aca="false">SUMIFS('Sales Data'!$P$2:$P$1201,'Sales Data'!$D$2:$D$1201,A264)</f>
        <v>17787</v>
      </c>
      <c r="F264" s="11" t="n">
        <f aca="false">INDEX(Customers!$Q$7:$Q$9,MATCH(D264,Customers!$P$7:$P$9,1))</f>
        <v>3</v>
      </c>
      <c r="G264" s="11" t="n">
        <f aca="false">INDEX(Customers!$Q$12:$Q$14,MATCH(B264,Customers!$P$12:$P$14,1))</f>
        <v>3</v>
      </c>
      <c r="H264" s="11" t="n">
        <f aca="false">INDEX(Customers!$Q$17:$Q$19,MATCH(E264,Customers!$P$17:$P$19,1))</f>
        <v>2</v>
      </c>
      <c r="I264" s="11" t="n">
        <f aca="false">F264+G264+H264</f>
        <v>8</v>
      </c>
      <c r="J264" s="11" t="str">
        <f aca="false">INDEX(Customers!$Q$22:$Q$25,MATCH(I264,Customers!$P$22:$P$25,1))</f>
        <v>Champion</v>
      </c>
    </row>
    <row r="265" customFormat="false" ht="15" hidden="false" customHeight="true" outlineLevel="0" collapsed="false">
      <c r="A265" s="11" t="str">
        <f aca="false">Customers!A168</f>
        <v>C164</v>
      </c>
      <c r="B265" s="11" t="n">
        <f aca="false">COUNTIF('Sales Data'!$D$2:$D$1201,A265)</f>
        <v>4</v>
      </c>
      <c r="C265" s="92" t="n">
        <f aca="false">_xlfn.MAXIFS('Sales Data'!$B$2:$B$1201,'Sales Data'!$D$2:$D$1201,A265)</f>
        <v>45992</v>
      </c>
      <c r="D265" s="11" t="n">
        <f aca="false">Customers!$Q$4-C265</f>
        <v>30</v>
      </c>
      <c r="E265" s="31" t="n">
        <f aca="false">SUMIFS('Sales Data'!$P$2:$P$1201,'Sales Data'!$D$2:$D$1201,A265)</f>
        <v>12162</v>
      </c>
      <c r="F265" s="11" t="n">
        <f aca="false">INDEX(Customers!$Q$7:$Q$9,MATCH(D265,Customers!$P$7:$P$9,1))</f>
        <v>3</v>
      </c>
      <c r="G265" s="11" t="n">
        <f aca="false">INDEX(Customers!$Q$12:$Q$14,MATCH(B265,Customers!$P$12:$P$14,1))</f>
        <v>2</v>
      </c>
      <c r="H265" s="11" t="n">
        <f aca="false">INDEX(Customers!$Q$17:$Q$19,MATCH(E265,Customers!$P$17:$P$19,1))</f>
        <v>2</v>
      </c>
      <c r="I265" s="11" t="n">
        <f aca="false">F265+G265+H265</f>
        <v>7</v>
      </c>
      <c r="J265" s="11" t="str">
        <f aca="false">INDEX(Customers!$Q$22:$Q$25,MATCH(I265,Customers!$P$22:$P$25,1))</f>
        <v>Loyal</v>
      </c>
    </row>
    <row r="266" customFormat="false" ht="15" hidden="false" customHeight="true" outlineLevel="0" collapsed="false">
      <c r="A266" s="11" t="str">
        <f aca="false">Customers!A169</f>
        <v>C165</v>
      </c>
      <c r="B266" s="11" t="n">
        <f aca="false">COUNTIF('Sales Data'!$D$2:$D$1201,A266)</f>
        <v>3</v>
      </c>
      <c r="C266" s="92" t="n">
        <f aca="false">_xlfn.MAXIFS('Sales Data'!$B$2:$B$1201,'Sales Data'!$D$2:$D$1201,A266)</f>
        <v>45964</v>
      </c>
      <c r="D266" s="11" t="n">
        <f aca="false">Customers!$Q$4-C266</f>
        <v>58</v>
      </c>
      <c r="E266" s="31" t="n">
        <f aca="false">SUMIFS('Sales Data'!$P$2:$P$1201,'Sales Data'!$D$2:$D$1201,A266)</f>
        <v>2071</v>
      </c>
      <c r="F266" s="11" t="n">
        <f aca="false">INDEX(Customers!$Q$7:$Q$9,MATCH(D266,Customers!$P$7:$P$9,1))</f>
        <v>2</v>
      </c>
      <c r="G266" s="11" t="n">
        <f aca="false">INDEX(Customers!$Q$12:$Q$14,MATCH(B266,Customers!$P$12:$P$14,1))</f>
        <v>2</v>
      </c>
      <c r="H266" s="11" t="n">
        <f aca="false">INDEX(Customers!$Q$17:$Q$19,MATCH(E266,Customers!$P$17:$P$19,1))</f>
        <v>1</v>
      </c>
      <c r="I266" s="11" t="n">
        <f aca="false">F266+G266+H266</f>
        <v>5</v>
      </c>
      <c r="J266" s="11" t="str">
        <f aca="false">INDEX(Customers!$Q$22:$Q$25,MATCH(I266,Customers!$P$22:$P$25,1))</f>
        <v>At Risk</v>
      </c>
    </row>
    <row r="267" customFormat="false" ht="15" hidden="false" customHeight="true" outlineLevel="0" collapsed="false">
      <c r="A267" s="11" t="str">
        <f aca="false">Customers!A170</f>
        <v>C166</v>
      </c>
      <c r="B267" s="11" t="n">
        <f aca="false">COUNTIF('Sales Data'!$D$2:$D$1201,A267)</f>
        <v>16</v>
      </c>
      <c r="C267" s="92" t="n">
        <f aca="false">_xlfn.MAXIFS('Sales Data'!$B$2:$B$1201,'Sales Data'!$D$2:$D$1201,A267)</f>
        <v>45983</v>
      </c>
      <c r="D267" s="11" t="n">
        <f aca="false">Customers!$Q$4-C267</f>
        <v>39</v>
      </c>
      <c r="E267" s="31" t="n">
        <f aca="false">SUMIFS('Sales Data'!$P$2:$P$1201,'Sales Data'!$D$2:$D$1201,A267)</f>
        <v>112929</v>
      </c>
      <c r="F267" s="11" t="n">
        <f aca="false">INDEX(Customers!$Q$7:$Q$9,MATCH(D267,Customers!$P$7:$P$9,1))</f>
        <v>3</v>
      </c>
      <c r="G267" s="11" t="n">
        <f aca="false">INDEX(Customers!$Q$12:$Q$14,MATCH(B267,Customers!$P$12:$P$14,1))</f>
        <v>3</v>
      </c>
      <c r="H267" s="11" t="n">
        <f aca="false">INDEX(Customers!$Q$17:$Q$19,MATCH(E267,Customers!$P$17:$P$19,1))</f>
        <v>3</v>
      </c>
      <c r="I267" s="11" t="n">
        <f aca="false">F267+G267+H267</f>
        <v>9</v>
      </c>
      <c r="J267" s="11" t="str">
        <f aca="false">INDEX(Customers!$Q$22:$Q$25,MATCH(I267,Customers!$P$22:$P$25,1))</f>
        <v>Champion</v>
      </c>
    </row>
    <row r="268" customFormat="false" ht="15" hidden="false" customHeight="true" outlineLevel="0" collapsed="false">
      <c r="A268" s="11" t="str">
        <f aca="false">Customers!A171</f>
        <v>C167</v>
      </c>
      <c r="B268" s="11" t="n">
        <f aca="false">COUNTIF('Sales Data'!$D$2:$D$1201,A268)</f>
        <v>7</v>
      </c>
      <c r="C268" s="92" t="n">
        <f aca="false">_xlfn.MAXIFS('Sales Data'!$B$2:$B$1201,'Sales Data'!$D$2:$D$1201,A268)</f>
        <v>45961</v>
      </c>
      <c r="D268" s="11" t="n">
        <f aca="false">Customers!$Q$4-C268</f>
        <v>61</v>
      </c>
      <c r="E268" s="31" t="n">
        <f aca="false">SUMIFS('Sales Data'!$P$2:$P$1201,'Sales Data'!$D$2:$D$1201,A268)</f>
        <v>40709</v>
      </c>
      <c r="F268" s="11" t="n">
        <f aca="false">INDEX(Customers!$Q$7:$Q$9,MATCH(D268,Customers!$P$7:$P$9,1))</f>
        <v>2</v>
      </c>
      <c r="G268" s="11" t="n">
        <f aca="false">INDEX(Customers!$Q$12:$Q$14,MATCH(B268,Customers!$P$12:$P$14,1))</f>
        <v>3</v>
      </c>
      <c r="H268" s="11" t="n">
        <f aca="false">INDEX(Customers!$Q$17:$Q$19,MATCH(E268,Customers!$P$17:$P$19,1))</f>
        <v>2</v>
      </c>
      <c r="I268" s="11" t="n">
        <f aca="false">F268+G268+H268</f>
        <v>7</v>
      </c>
      <c r="J268" s="11" t="str">
        <f aca="false">INDEX(Customers!$Q$22:$Q$25,MATCH(I268,Customers!$P$22:$P$25,1))</f>
        <v>Loyal</v>
      </c>
    </row>
    <row r="269" customFormat="false" ht="15" hidden="false" customHeight="true" outlineLevel="0" collapsed="false">
      <c r="A269" s="11" t="str">
        <f aca="false">Customers!A172</f>
        <v>C168</v>
      </c>
      <c r="B269" s="11" t="n">
        <f aca="false">COUNTIF('Sales Data'!$D$2:$D$1201,A269)</f>
        <v>3</v>
      </c>
      <c r="C269" s="92" t="n">
        <f aca="false">_xlfn.MAXIFS('Sales Data'!$B$2:$B$1201,'Sales Data'!$D$2:$D$1201,A269)</f>
        <v>45738</v>
      </c>
      <c r="D269" s="11" t="n">
        <f aca="false">Customers!$Q$4-C269</f>
        <v>284</v>
      </c>
      <c r="E269" s="31" t="n">
        <f aca="false">SUMIFS('Sales Data'!$P$2:$P$1201,'Sales Data'!$D$2:$D$1201,A269)</f>
        <v>12474</v>
      </c>
      <c r="F269" s="11" t="n">
        <f aca="false">INDEX(Customers!$Q$7:$Q$9,MATCH(D269,Customers!$P$7:$P$9,1))</f>
        <v>1</v>
      </c>
      <c r="G269" s="11" t="n">
        <f aca="false">INDEX(Customers!$Q$12:$Q$14,MATCH(B269,Customers!$P$12:$P$14,1))</f>
        <v>2</v>
      </c>
      <c r="H269" s="11" t="n">
        <f aca="false">INDEX(Customers!$Q$17:$Q$19,MATCH(E269,Customers!$P$17:$P$19,1))</f>
        <v>2</v>
      </c>
      <c r="I269" s="11" t="n">
        <f aca="false">F269+G269+H269</f>
        <v>5</v>
      </c>
      <c r="J269" s="11" t="str">
        <f aca="false">INDEX(Customers!$Q$22:$Q$25,MATCH(I269,Customers!$P$22:$P$25,1))</f>
        <v>At Risk</v>
      </c>
    </row>
    <row r="270" customFormat="false" ht="15" hidden="false" customHeight="true" outlineLevel="0" collapsed="false">
      <c r="A270" s="11" t="str">
        <f aca="false">Customers!A173</f>
        <v>C169</v>
      </c>
      <c r="B270" s="11" t="n">
        <f aca="false">COUNTIF('Sales Data'!$D$2:$D$1201,A270)</f>
        <v>10</v>
      </c>
      <c r="C270" s="92" t="n">
        <f aca="false">_xlfn.MAXIFS('Sales Data'!$B$2:$B$1201,'Sales Data'!$D$2:$D$1201,A270)</f>
        <v>45930</v>
      </c>
      <c r="D270" s="11" t="n">
        <f aca="false">Customers!$Q$4-C270</f>
        <v>92</v>
      </c>
      <c r="E270" s="31" t="n">
        <f aca="false">SUMIFS('Sales Data'!$P$2:$P$1201,'Sales Data'!$D$2:$D$1201,A270)</f>
        <v>35016</v>
      </c>
      <c r="F270" s="11" t="n">
        <f aca="false">INDEX(Customers!$Q$7:$Q$9,MATCH(D270,Customers!$P$7:$P$9,1))</f>
        <v>2</v>
      </c>
      <c r="G270" s="11" t="n">
        <f aca="false">INDEX(Customers!$Q$12:$Q$14,MATCH(B270,Customers!$P$12:$P$14,1))</f>
        <v>3</v>
      </c>
      <c r="H270" s="11" t="n">
        <f aca="false">INDEX(Customers!$Q$17:$Q$19,MATCH(E270,Customers!$P$17:$P$19,1))</f>
        <v>2</v>
      </c>
      <c r="I270" s="11" t="n">
        <f aca="false">F270+G270+H270</f>
        <v>7</v>
      </c>
      <c r="J270" s="11" t="str">
        <f aca="false">INDEX(Customers!$Q$22:$Q$25,MATCH(I270,Customers!$P$22:$P$25,1))</f>
        <v>Loyal</v>
      </c>
    </row>
    <row r="271" customFormat="false" ht="15" hidden="false" customHeight="true" outlineLevel="0" collapsed="false">
      <c r="A271" s="11" t="str">
        <f aca="false">Customers!A174</f>
        <v>C170</v>
      </c>
      <c r="B271" s="11" t="n">
        <f aca="false">COUNTIF('Sales Data'!$D$2:$D$1201,A271)</f>
        <v>4</v>
      </c>
      <c r="C271" s="92" t="n">
        <f aca="false">_xlfn.MAXIFS('Sales Data'!$B$2:$B$1201,'Sales Data'!$D$2:$D$1201,A271)</f>
        <v>46000</v>
      </c>
      <c r="D271" s="11" t="n">
        <f aca="false">Customers!$Q$4-C271</f>
        <v>22</v>
      </c>
      <c r="E271" s="31" t="n">
        <f aca="false">SUMIFS('Sales Data'!$P$2:$P$1201,'Sales Data'!$D$2:$D$1201,A271)</f>
        <v>22577</v>
      </c>
      <c r="F271" s="11" t="n">
        <f aca="false">INDEX(Customers!$Q$7:$Q$9,MATCH(D271,Customers!$P$7:$P$9,1))</f>
        <v>3</v>
      </c>
      <c r="G271" s="11" t="n">
        <f aca="false">INDEX(Customers!$Q$12:$Q$14,MATCH(B271,Customers!$P$12:$P$14,1))</f>
        <v>2</v>
      </c>
      <c r="H271" s="11" t="n">
        <f aca="false">INDEX(Customers!$Q$17:$Q$19,MATCH(E271,Customers!$P$17:$P$19,1))</f>
        <v>2</v>
      </c>
      <c r="I271" s="11" t="n">
        <f aca="false">F271+G271+H271</f>
        <v>7</v>
      </c>
      <c r="J271" s="11" t="str">
        <f aca="false">INDEX(Customers!$Q$22:$Q$25,MATCH(I271,Customers!$P$22:$P$25,1))</f>
        <v>Loyal</v>
      </c>
    </row>
    <row r="272" customFormat="false" ht="15" hidden="false" customHeight="true" outlineLevel="0" collapsed="false">
      <c r="A272" s="11" t="str">
        <f aca="false">Customers!A175</f>
        <v>C171</v>
      </c>
      <c r="B272" s="11" t="n">
        <f aca="false">COUNTIF('Sales Data'!$D$2:$D$1201,A272)</f>
        <v>2</v>
      </c>
      <c r="C272" s="92" t="n">
        <f aca="false">_xlfn.MAXIFS('Sales Data'!$B$2:$B$1201,'Sales Data'!$D$2:$D$1201,A272)</f>
        <v>45920</v>
      </c>
      <c r="D272" s="11" t="n">
        <f aca="false">Customers!$Q$4-C272</f>
        <v>102</v>
      </c>
      <c r="E272" s="31" t="n">
        <f aca="false">SUMIFS('Sales Data'!$P$2:$P$1201,'Sales Data'!$D$2:$D$1201,A272)</f>
        <v>21495</v>
      </c>
      <c r="F272" s="11" t="n">
        <f aca="false">INDEX(Customers!$Q$7:$Q$9,MATCH(D272,Customers!$P$7:$P$9,1))</f>
        <v>2</v>
      </c>
      <c r="G272" s="11" t="n">
        <f aca="false">INDEX(Customers!$Q$12:$Q$14,MATCH(B272,Customers!$P$12:$P$14,1))</f>
        <v>1</v>
      </c>
      <c r="H272" s="11" t="n">
        <f aca="false">INDEX(Customers!$Q$17:$Q$19,MATCH(E272,Customers!$P$17:$P$19,1))</f>
        <v>2</v>
      </c>
      <c r="I272" s="11" t="n">
        <f aca="false">F272+G272+H272</f>
        <v>5</v>
      </c>
      <c r="J272" s="11" t="str">
        <f aca="false">INDEX(Customers!$Q$22:$Q$25,MATCH(I272,Customers!$P$22:$P$25,1))</f>
        <v>At Risk</v>
      </c>
    </row>
    <row r="273" customFormat="false" ht="15" hidden="false" customHeight="true" outlineLevel="0" collapsed="false">
      <c r="A273" s="11" t="str">
        <f aca="false">Customers!A176</f>
        <v>C172</v>
      </c>
      <c r="B273" s="11" t="n">
        <f aca="false">COUNTIF('Sales Data'!$D$2:$D$1201,A273)</f>
        <v>5</v>
      </c>
      <c r="C273" s="92" t="n">
        <f aca="false">_xlfn.MAXIFS('Sales Data'!$B$2:$B$1201,'Sales Data'!$D$2:$D$1201,A273)</f>
        <v>45998</v>
      </c>
      <c r="D273" s="11" t="n">
        <f aca="false">Customers!$Q$4-C273</f>
        <v>24</v>
      </c>
      <c r="E273" s="31" t="n">
        <f aca="false">SUMIFS('Sales Data'!$P$2:$P$1201,'Sales Data'!$D$2:$D$1201,A273)</f>
        <v>7763</v>
      </c>
      <c r="F273" s="11" t="n">
        <f aca="false">INDEX(Customers!$Q$7:$Q$9,MATCH(D273,Customers!$P$7:$P$9,1))</f>
        <v>3</v>
      </c>
      <c r="G273" s="11" t="n">
        <f aca="false">INDEX(Customers!$Q$12:$Q$14,MATCH(B273,Customers!$P$12:$P$14,1))</f>
        <v>2</v>
      </c>
      <c r="H273" s="11" t="n">
        <f aca="false">INDEX(Customers!$Q$17:$Q$19,MATCH(E273,Customers!$P$17:$P$19,1))</f>
        <v>1</v>
      </c>
      <c r="I273" s="11" t="n">
        <f aca="false">F273+G273+H273</f>
        <v>6</v>
      </c>
      <c r="J273" s="11" t="str">
        <f aca="false">INDEX(Customers!$Q$22:$Q$25,MATCH(I273,Customers!$P$22:$P$25,1))</f>
        <v>Loyal</v>
      </c>
    </row>
    <row r="274" customFormat="false" ht="15" hidden="false" customHeight="true" outlineLevel="0" collapsed="false">
      <c r="A274" s="11" t="str">
        <f aca="false">Customers!A177</f>
        <v>C173</v>
      </c>
      <c r="B274" s="11" t="n">
        <f aca="false">COUNTIF('Sales Data'!$D$2:$D$1201,A274)</f>
        <v>3</v>
      </c>
      <c r="C274" s="92" t="n">
        <f aca="false">_xlfn.MAXIFS('Sales Data'!$B$2:$B$1201,'Sales Data'!$D$2:$D$1201,A274)</f>
        <v>45934</v>
      </c>
      <c r="D274" s="11" t="n">
        <f aca="false">Customers!$Q$4-C274</f>
        <v>88</v>
      </c>
      <c r="E274" s="31" t="n">
        <f aca="false">SUMIFS('Sales Data'!$P$2:$P$1201,'Sales Data'!$D$2:$D$1201,A274)</f>
        <v>7146</v>
      </c>
      <c r="F274" s="11" t="n">
        <f aca="false">INDEX(Customers!$Q$7:$Q$9,MATCH(D274,Customers!$P$7:$P$9,1))</f>
        <v>2</v>
      </c>
      <c r="G274" s="11" t="n">
        <f aca="false">INDEX(Customers!$Q$12:$Q$14,MATCH(B274,Customers!$P$12:$P$14,1))</f>
        <v>2</v>
      </c>
      <c r="H274" s="11" t="n">
        <f aca="false">INDEX(Customers!$Q$17:$Q$19,MATCH(E274,Customers!$P$17:$P$19,1))</f>
        <v>1</v>
      </c>
      <c r="I274" s="11" t="n">
        <f aca="false">F274+G274+H274</f>
        <v>5</v>
      </c>
      <c r="J274" s="11" t="str">
        <f aca="false">INDEX(Customers!$Q$22:$Q$25,MATCH(I274,Customers!$P$22:$P$25,1))</f>
        <v>At Risk</v>
      </c>
    </row>
    <row r="275" customFormat="false" ht="15" hidden="false" customHeight="true" outlineLevel="0" collapsed="false">
      <c r="A275" s="11" t="str">
        <f aca="false">Customers!A178</f>
        <v>C174</v>
      </c>
      <c r="B275" s="11" t="n">
        <f aca="false">COUNTIF('Sales Data'!$D$2:$D$1201,A275)</f>
        <v>10</v>
      </c>
      <c r="C275" s="92" t="n">
        <f aca="false">_xlfn.MAXIFS('Sales Data'!$B$2:$B$1201,'Sales Data'!$D$2:$D$1201,A275)</f>
        <v>46020</v>
      </c>
      <c r="D275" s="11" t="n">
        <f aca="false">Customers!$Q$4-C275</f>
        <v>2</v>
      </c>
      <c r="E275" s="31" t="n">
        <f aca="false">SUMIFS('Sales Data'!$P$2:$P$1201,'Sales Data'!$D$2:$D$1201,A275)</f>
        <v>47453</v>
      </c>
      <c r="F275" s="11" t="n">
        <f aca="false">INDEX(Customers!$Q$7:$Q$9,MATCH(D275,Customers!$P$7:$P$9,1))</f>
        <v>3</v>
      </c>
      <c r="G275" s="11" t="n">
        <f aca="false">INDEX(Customers!$Q$12:$Q$14,MATCH(B275,Customers!$P$12:$P$14,1))</f>
        <v>3</v>
      </c>
      <c r="H275" s="11" t="n">
        <f aca="false">INDEX(Customers!$Q$17:$Q$19,MATCH(E275,Customers!$P$17:$P$19,1))</f>
        <v>3</v>
      </c>
      <c r="I275" s="11" t="n">
        <f aca="false">F275+G275+H275</f>
        <v>9</v>
      </c>
      <c r="J275" s="11" t="str">
        <f aca="false">INDEX(Customers!$Q$22:$Q$25,MATCH(I275,Customers!$P$22:$P$25,1))</f>
        <v>Champion</v>
      </c>
    </row>
    <row r="276" customFormat="false" ht="15" hidden="false" customHeight="true" outlineLevel="0" collapsed="false">
      <c r="A276" s="11" t="str">
        <f aca="false">Customers!A179</f>
        <v>C175</v>
      </c>
      <c r="B276" s="11" t="n">
        <f aca="false">COUNTIF('Sales Data'!$D$2:$D$1201,A276)</f>
        <v>9</v>
      </c>
      <c r="C276" s="92" t="n">
        <f aca="false">_xlfn.MAXIFS('Sales Data'!$B$2:$B$1201,'Sales Data'!$D$2:$D$1201,A276)</f>
        <v>46003</v>
      </c>
      <c r="D276" s="11" t="n">
        <f aca="false">Customers!$Q$4-C276</f>
        <v>19</v>
      </c>
      <c r="E276" s="31" t="n">
        <f aca="false">SUMIFS('Sales Data'!$P$2:$P$1201,'Sales Data'!$D$2:$D$1201,A276)</f>
        <v>16024</v>
      </c>
      <c r="F276" s="11" t="n">
        <f aca="false">INDEX(Customers!$Q$7:$Q$9,MATCH(D276,Customers!$P$7:$P$9,1))</f>
        <v>3</v>
      </c>
      <c r="G276" s="11" t="n">
        <f aca="false">INDEX(Customers!$Q$12:$Q$14,MATCH(B276,Customers!$P$12:$P$14,1))</f>
        <v>3</v>
      </c>
      <c r="H276" s="11" t="n">
        <f aca="false">INDEX(Customers!$Q$17:$Q$19,MATCH(E276,Customers!$P$17:$P$19,1))</f>
        <v>2</v>
      </c>
      <c r="I276" s="11" t="n">
        <f aca="false">F276+G276+H276</f>
        <v>8</v>
      </c>
      <c r="J276" s="11" t="str">
        <f aca="false">INDEX(Customers!$Q$22:$Q$25,MATCH(I276,Customers!$P$22:$P$25,1))</f>
        <v>Champion</v>
      </c>
    </row>
    <row r="277" customFormat="false" ht="15" hidden="false" customHeight="true" outlineLevel="0" collapsed="false">
      <c r="A277" s="11" t="str">
        <f aca="false">Customers!A180</f>
        <v>C176</v>
      </c>
      <c r="B277" s="11" t="n">
        <f aca="false">COUNTIF('Sales Data'!$D$2:$D$1201,A277)</f>
        <v>1</v>
      </c>
      <c r="C277" s="92" t="n">
        <f aca="false">_xlfn.MAXIFS('Sales Data'!$B$2:$B$1201,'Sales Data'!$D$2:$D$1201,A277)</f>
        <v>45676</v>
      </c>
      <c r="D277" s="11" t="n">
        <f aca="false">Customers!$Q$4-C277</f>
        <v>346</v>
      </c>
      <c r="E277" s="31" t="n">
        <f aca="false">SUMIFS('Sales Data'!$P$2:$P$1201,'Sales Data'!$D$2:$D$1201,A277)</f>
        <v>509</v>
      </c>
      <c r="F277" s="11" t="n">
        <f aca="false">INDEX(Customers!$Q$7:$Q$9,MATCH(D277,Customers!$P$7:$P$9,1))</f>
        <v>1</v>
      </c>
      <c r="G277" s="11" t="n">
        <f aca="false">INDEX(Customers!$Q$12:$Q$14,MATCH(B277,Customers!$P$12:$P$14,1))</f>
        <v>1</v>
      </c>
      <c r="H277" s="11" t="n">
        <f aca="false">INDEX(Customers!$Q$17:$Q$19,MATCH(E277,Customers!$P$17:$P$19,1))</f>
        <v>1</v>
      </c>
      <c r="I277" s="11" t="n">
        <f aca="false">F277+G277+H277</f>
        <v>3</v>
      </c>
      <c r="J277" s="11" t="str">
        <f aca="false">INDEX(Customers!$Q$22:$Q$25,MATCH(I277,Customers!$P$22:$P$25,1))</f>
        <v>Lost</v>
      </c>
    </row>
    <row r="278" customFormat="false" ht="15" hidden="false" customHeight="true" outlineLevel="0" collapsed="false">
      <c r="A278" s="11" t="str">
        <f aca="false">Customers!A181</f>
        <v>C177</v>
      </c>
      <c r="B278" s="11" t="n">
        <f aca="false">COUNTIF('Sales Data'!$D$2:$D$1201,A278)</f>
        <v>2</v>
      </c>
      <c r="C278" s="92" t="n">
        <f aca="false">_xlfn.MAXIFS('Sales Data'!$B$2:$B$1201,'Sales Data'!$D$2:$D$1201,A278)</f>
        <v>45984</v>
      </c>
      <c r="D278" s="11" t="n">
        <f aca="false">Customers!$Q$4-C278</f>
        <v>38</v>
      </c>
      <c r="E278" s="31" t="n">
        <f aca="false">SUMIFS('Sales Data'!$P$2:$P$1201,'Sales Data'!$D$2:$D$1201,A278)</f>
        <v>6140</v>
      </c>
      <c r="F278" s="11" t="n">
        <f aca="false">INDEX(Customers!$Q$7:$Q$9,MATCH(D278,Customers!$P$7:$P$9,1))</f>
        <v>3</v>
      </c>
      <c r="G278" s="11" t="n">
        <f aca="false">INDEX(Customers!$Q$12:$Q$14,MATCH(B278,Customers!$P$12:$P$14,1))</f>
        <v>1</v>
      </c>
      <c r="H278" s="11" t="n">
        <f aca="false">INDEX(Customers!$Q$17:$Q$19,MATCH(E278,Customers!$P$17:$P$19,1))</f>
        <v>1</v>
      </c>
      <c r="I278" s="11" t="n">
        <f aca="false">F278+G278+H278</f>
        <v>5</v>
      </c>
      <c r="J278" s="11" t="str">
        <f aca="false">INDEX(Customers!$Q$22:$Q$25,MATCH(I278,Customers!$P$22:$P$25,1))</f>
        <v>At Risk</v>
      </c>
    </row>
    <row r="279" customFormat="false" ht="15" hidden="false" customHeight="true" outlineLevel="0" collapsed="false">
      <c r="A279" s="11" t="str">
        <f aca="false">Customers!A182</f>
        <v>C178</v>
      </c>
      <c r="B279" s="11" t="n">
        <f aca="false">COUNTIF('Sales Data'!$D$2:$D$1201,A279)</f>
        <v>8</v>
      </c>
      <c r="C279" s="92" t="n">
        <f aca="false">_xlfn.MAXIFS('Sales Data'!$B$2:$B$1201,'Sales Data'!$D$2:$D$1201,A279)</f>
        <v>45993</v>
      </c>
      <c r="D279" s="11" t="n">
        <f aca="false">Customers!$Q$4-C279</f>
        <v>29</v>
      </c>
      <c r="E279" s="31" t="n">
        <f aca="false">SUMIFS('Sales Data'!$P$2:$P$1201,'Sales Data'!$D$2:$D$1201,A279)</f>
        <v>40682</v>
      </c>
      <c r="F279" s="11" t="n">
        <f aca="false">INDEX(Customers!$Q$7:$Q$9,MATCH(D279,Customers!$P$7:$P$9,1))</f>
        <v>3</v>
      </c>
      <c r="G279" s="11" t="n">
        <f aca="false">INDEX(Customers!$Q$12:$Q$14,MATCH(B279,Customers!$P$12:$P$14,1))</f>
        <v>3</v>
      </c>
      <c r="H279" s="11" t="n">
        <f aca="false">INDEX(Customers!$Q$17:$Q$19,MATCH(E279,Customers!$P$17:$P$19,1))</f>
        <v>2</v>
      </c>
      <c r="I279" s="11" t="n">
        <f aca="false">F279+G279+H279</f>
        <v>8</v>
      </c>
      <c r="J279" s="11" t="str">
        <f aca="false">INDEX(Customers!$Q$22:$Q$25,MATCH(I279,Customers!$P$22:$P$25,1))</f>
        <v>Champion</v>
      </c>
    </row>
    <row r="280" customFormat="false" ht="15" hidden="false" customHeight="true" outlineLevel="0" collapsed="false">
      <c r="A280" s="11" t="str">
        <f aca="false">Customers!A183</f>
        <v>C179</v>
      </c>
      <c r="B280" s="11" t="n">
        <f aca="false">COUNTIF('Sales Data'!$D$2:$D$1201,A280)</f>
        <v>1</v>
      </c>
      <c r="C280" s="92" t="n">
        <f aca="false">_xlfn.MAXIFS('Sales Data'!$B$2:$B$1201,'Sales Data'!$D$2:$D$1201,A280)</f>
        <v>45670</v>
      </c>
      <c r="D280" s="11" t="n">
        <f aca="false">Customers!$Q$4-C280</f>
        <v>352</v>
      </c>
      <c r="E280" s="31" t="n">
        <f aca="false">SUMIFS('Sales Data'!$P$2:$P$1201,'Sales Data'!$D$2:$D$1201,A280)</f>
        <v>3198</v>
      </c>
      <c r="F280" s="11" t="n">
        <f aca="false">INDEX(Customers!$Q$7:$Q$9,MATCH(D280,Customers!$P$7:$P$9,1))</f>
        <v>1</v>
      </c>
      <c r="G280" s="11" t="n">
        <f aca="false">INDEX(Customers!$Q$12:$Q$14,MATCH(B280,Customers!$P$12:$P$14,1))</f>
        <v>1</v>
      </c>
      <c r="H280" s="11" t="n">
        <f aca="false">INDEX(Customers!$Q$17:$Q$19,MATCH(E280,Customers!$P$17:$P$19,1))</f>
        <v>1</v>
      </c>
      <c r="I280" s="11" t="n">
        <f aca="false">F280+G280+H280</f>
        <v>3</v>
      </c>
      <c r="J280" s="11" t="str">
        <f aca="false">INDEX(Customers!$Q$22:$Q$25,MATCH(I280,Customers!$P$22:$P$25,1))</f>
        <v>Lost</v>
      </c>
    </row>
    <row r="281" customFormat="false" ht="15" hidden="false" customHeight="true" outlineLevel="0" collapsed="false">
      <c r="A281" s="11" t="str">
        <f aca="false">Customers!A184</f>
        <v>C180</v>
      </c>
      <c r="B281" s="11" t="n">
        <f aca="false">COUNTIF('Sales Data'!$D$2:$D$1201,A281)</f>
        <v>11</v>
      </c>
      <c r="C281" s="92" t="n">
        <f aca="false">_xlfn.MAXIFS('Sales Data'!$B$2:$B$1201,'Sales Data'!$D$2:$D$1201,A281)</f>
        <v>46020</v>
      </c>
      <c r="D281" s="11" t="n">
        <f aca="false">Customers!$Q$4-C281</f>
        <v>2</v>
      </c>
      <c r="E281" s="31" t="n">
        <f aca="false">SUMIFS('Sales Data'!$P$2:$P$1201,'Sales Data'!$D$2:$D$1201,A281)</f>
        <v>22110</v>
      </c>
      <c r="F281" s="11" t="n">
        <f aca="false">INDEX(Customers!$Q$7:$Q$9,MATCH(D281,Customers!$P$7:$P$9,1))</f>
        <v>3</v>
      </c>
      <c r="G281" s="11" t="n">
        <f aca="false">INDEX(Customers!$Q$12:$Q$14,MATCH(B281,Customers!$P$12:$P$14,1))</f>
        <v>3</v>
      </c>
      <c r="H281" s="11" t="n">
        <f aca="false">INDEX(Customers!$Q$17:$Q$19,MATCH(E281,Customers!$P$17:$P$19,1))</f>
        <v>2</v>
      </c>
      <c r="I281" s="11" t="n">
        <f aca="false">F281+G281+H281</f>
        <v>8</v>
      </c>
      <c r="J281" s="11" t="str">
        <f aca="false">INDEX(Customers!$Q$22:$Q$25,MATCH(I281,Customers!$P$22:$P$25,1))</f>
        <v>Champion</v>
      </c>
    </row>
    <row r="282" customFormat="false" ht="15" hidden="false" customHeight="true" outlineLevel="0" collapsed="false">
      <c r="A282" s="11" t="str">
        <f aca="false">Customers!A185</f>
        <v>C181</v>
      </c>
      <c r="B282" s="11" t="n">
        <f aca="false">COUNTIF('Sales Data'!$D$2:$D$1201,A282)</f>
        <v>3</v>
      </c>
      <c r="C282" s="92" t="n">
        <f aca="false">_xlfn.MAXIFS('Sales Data'!$B$2:$B$1201,'Sales Data'!$D$2:$D$1201,A282)</f>
        <v>46010</v>
      </c>
      <c r="D282" s="11" t="n">
        <f aca="false">Customers!$Q$4-C282</f>
        <v>12</v>
      </c>
      <c r="E282" s="31" t="n">
        <f aca="false">SUMIFS('Sales Data'!$P$2:$P$1201,'Sales Data'!$D$2:$D$1201,A282)</f>
        <v>43693</v>
      </c>
      <c r="F282" s="11" t="n">
        <f aca="false">INDEX(Customers!$Q$7:$Q$9,MATCH(D282,Customers!$P$7:$P$9,1))</f>
        <v>3</v>
      </c>
      <c r="G282" s="11" t="n">
        <f aca="false">INDEX(Customers!$Q$12:$Q$14,MATCH(B282,Customers!$P$12:$P$14,1))</f>
        <v>2</v>
      </c>
      <c r="H282" s="11" t="n">
        <f aca="false">INDEX(Customers!$Q$17:$Q$19,MATCH(E282,Customers!$P$17:$P$19,1))</f>
        <v>2</v>
      </c>
      <c r="I282" s="11" t="n">
        <f aca="false">F282+G282+H282</f>
        <v>7</v>
      </c>
      <c r="J282" s="11" t="str">
        <f aca="false">INDEX(Customers!$Q$22:$Q$25,MATCH(I282,Customers!$P$22:$P$25,1))</f>
        <v>Loyal</v>
      </c>
    </row>
    <row r="283" customFormat="false" ht="15" hidden="false" customHeight="true" outlineLevel="0" collapsed="false">
      <c r="A283" s="11" t="str">
        <f aca="false">Customers!A186</f>
        <v>C182</v>
      </c>
      <c r="B283" s="11" t="n">
        <f aca="false">COUNTIF('Sales Data'!$D$2:$D$1201,A283)</f>
        <v>1</v>
      </c>
      <c r="C283" s="92" t="n">
        <f aca="false">_xlfn.MAXIFS('Sales Data'!$B$2:$B$1201,'Sales Data'!$D$2:$D$1201,A283)</f>
        <v>45705</v>
      </c>
      <c r="D283" s="11" t="n">
        <f aca="false">Customers!$Q$4-C283</f>
        <v>317</v>
      </c>
      <c r="E283" s="31" t="n">
        <f aca="false">SUMIFS('Sales Data'!$P$2:$P$1201,'Sales Data'!$D$2:$D$1201,A283)</f>
        <v>3499</v>
      </c>
      <c r="F283" s="11" t="n">
        <f aca="false">INDEX(Customers!$Q$7:$Q$9,MATCH(D283,Customers!$P$7:$P$9,1))</f>
        <v>1</v>
      </c>
      <c r="G283" s="11" t="n">
        <f aca="false">INDEX(Customers!$Q$12:$Q$14,MATCH(B283,Customers!$P$12:$P$14,1))</f>
        <v>1</v>
      </c>
      <c r="H283" s="11" t="n">
        <f aca="false">INDEX(Customers!$Q$17:$Q$19,MATCH(E283,Customers!$P$17:$P$19,1))</f>
        <v>1</v>
      </c>
      <c r="I283" s="11" t="n">
        <f aca="false">F283+G283+H283</f>
        <v>3</v>
      </c>
      <c r="J283" s="11" t="str">
        <f aca="false">INDEX(Customers!$Q$22:$Q$25,MATCH(I283,Customers!$P$22:$P$25,1))</f>
        <v>Lost</v>
      </c>
    </row>
    <row r="284" customFormat="false" ht="15" hidden="false" customHeight="true" outlineLevel="0" collapsed="false">
      <c r="A284" s="11" t="str">
        <f aca="false">Customers!A187</f>
        <v>C183</v>
      </c>
      <c r="B284" s="11" t="n">
        <f aca="false">COUNTIF('Sales Data'!$D$2:$D$1201,A284)</f>
        <v>5</v>
      </c>
      <c r="C284" s="92" t="n">
        <f aca="false">_xlfn.MAXIFS('Sales Data'!$B$2:$B$1201,'Sales Data'!$D$2:$D$1201,A284)</f>
        <v>46010</v>
      </c>
      <c r="D284" s="11" t="n">
        <f aca="false">Customers!$Q$4-C284</f>
        <v>12</v>
      </c>
      <c r="E284" s="31" t="n">
        <f aca="false">SUMIFS('Sales Data'!$P$2:$P$1201,'Sales Data'!$D$2:$D$1201,A284)</f>
        <v>31772</v>
      </c>
      <c r="F284" s="11" t="n">
        <f aca="false">INDEX(Customers!$Q$7:$Q$9,MATCH(D284,Customers!$P$7:$P$9,1))</f>
        <v>3</v>
      </c>
      <c r="G284" s="11" t="n">
        <f aca="false">INDEX(Customers!$Q$12:$Q$14,MATCH(B284,Customers!$P$12:$P$14,1))</f>
        <v>2</v>
      </c>
      <c r="H284" s="11" t="n">
        <f aca="false">INDEX(Customers!$Q$17:$Q$19,MATCH(E284,Customers!$P$17:$P$19,1))</f>
        <v>2</v>
      </c>
      <c r="I284" s="11" t="n">
        <f aca="false">F284+G284+H284</f>
        <v>7</v>
      </c>
      <c r="J284" s="11" t="str">
        <f aca="false">INDEX(Customers!$Q$22:$Q$25,MATCH(I284,Customers!$P$22:$P$25,1))</f>
        <v>Loyal</v>
      </c>
    </row>
    <row r="285" customFormat="false" ht="15" hidden="false" customHeight="true" outlineLevel="0" collapsed="false">
      <c r="A285" s="11" t="str">
        <f aca="false">Customers!A188</f>
        <v>C184</v>
      </c>
      <c r="B285" s="11" t="n">
        <f aca="false">COUNTIF('Sales Data'!$D$2:$D$1201,A285)</f>
        <v>2</v>
      </c>
      <c r="C285" s="92" t="n">
        <f aca="false">_xlfn.MAXIFS('Sales Data'!$B$2:$B$1201,'Sales Data'!$D$2:$D$1201,A285)</f>
        <v>45933</v>
      </c>
      <c r="D285" s="11" t="n">
        <f aca="false">Customers!$Q$4-C285</f>
        <v>89</v>
      </c>
      <c r="E285" s="31" t="n">
        <f aca="false">SUMIFS('Sales Data'!$P$2:$P$1201,'Sales Data'!$D$2:$D$1201,A285)</f>
        <v>4661</v>
      </c>
      <c r="F285" s="11" t="n">
        <f aca="false">INDEX(Customers!$Q$7:$Q$9,MATCH(D285,Customers!$P$7:$P$9,1))</f>
        <v>2</v>
      </c>
      <c r="G285" s="11" t="n">
        <f aca="false">INDEX(Customers!$Q$12:$Q$14,MATCH(B285,Customers!$P$12:$P$14,1))</f>
        <v>1</v>
      </c>
      <c r="H285" s="11" t="n">
        <f aca="false">INDEX(Customers!$Q$17:$Q$19,MATCH(E285,Customers!$P$17:$P$19,1))</f>
        <v>1</v>
      </c>
      <c r="I285" s="11" t="n">
        <f aca="false">F285+G285+H285</f>
        <v>4</v>
      </c>
      <c r="J285" s="11" t="str">
        <f aca="false">INDEX(Customers!$Q$22:$Q$25,MATCH(I285,Customers!$P$22:$P$25,1))</f>
        <v>At Risk</v>
      </c>
    </row>
    <row r="286" customFormat="false" ht="15" hidden="false" customHeight="true" outlineLevel="0" collapsed="false">
      <c r="A286" s="11" t="str">
        <f aca="false">Customers!A189</f>
        <v>C185</v>
      </c>
      <c r="B286" s="11" t="n">
        <f aca="false">COUNTIF('Sales Data'!$D$2:$D$1201,A286)</f>
        <v>4</v>
      </c>
      <c r="C286" s="92" t="n">
        <f aca="false">_xlfn.MAXIFS('Sales Data'!$B$2:$B$1201,'Sales Data'!$D$2:$D$1201,A286)</f>
        <v>45869</v>
      </c>
      <c r="D286" s="11" t="n">
        <f aca="false">Customers!$Q$4-C286</f>
        <v>153</v>
      </c>
      <c r="E286" s="31" t="n">
        <f aca="false">SUMIFS('Sales Data'!$P$2:$P$1201,'Sales Data'!$D$2:$D$1201,A286)</f>
        <v>16092</v>
      </c>
      <c r="F286" s="11" t="n">
        <f aca="false">INDEX(Customers!$Q$7:$Q$9,MATCH(D286,Customers!$P$7:$P$9,1))</f>
        <v>1</v>
      </c>
      <c r="G286" s="11" t="n">
        <f aca="false">INDEX(Customers!$Q$12:$Q$14,MATCH(B286,Customers!$P$12:$P$14,1))</f>
        <v>2</v>
      </c>
      <c r="H286" s="11" t="n">
        <f aca="false">INDEX(Customers!$Q$17:$Q$19,MATCH(E286,Customers!$P$17:$P$19,1))</f>
        <v>2</v>
      </c>
      <c r="I286" s="11" t="n">
        <f aca="false">F286+G286+H286</f>
        <v>5</v>
      </c>
      <c r="J286" s="11" t="str">
        <f aca="false">INDEX(Customers!$Q$22:$Q$25,MATCH(I286,Customers!$P$22:$P$25,1))</f>
        <v>At Risk</v>
      </c>
    </row>
    <row r="287" customFormat="false" ht="15" hidden="false" customHeight="true" outlineLevel="0" collapsed="false">
      <c r="A287" s="11" t="str">
        <f aca="false">Customers!A190</f>
        <v>C186</v>
      </c>
      <c r="B287" s="11" t="n">
        <f aca="false">COUNTIF('Sales Data'!$D$2:$D$1201,A287)</f>
        <v>17</v>
      </c>
      <c r="C287" s="92" t="n">
        <f aca="false">_xlfn.MAXIFS('Sales Data'!$B$2:$B$1201,'Sales Data'!$D$2:$D$1201,A287)</f>
        <v>46021</v>
      </c>
      <c r="D287" s="11" t="n">
        <f aca="false">Customers!$Q$4-C287</f>
        <v>1</v>
      </c>
      <c r="E287" s="31" t="n">
        <f aca="false">SUMIFS('Sales Data'!$P$2:$P$1201,'Sales Data'!$D$2:$D$1201,A287)</f>
        <v>85741</v>
      </c>
      <c r="F287" s="11" t="n">
        <f aca="false">INDEX(Customers!$Q$7:$Q$9,MATCH(D287,Customers!$P$7:$P$9,1))</f>
        <v>3</v>
      </c>
      <c r="G287" s="11" t="n">
        <f aca="false">INDEX(Customers!$Q$12:$Q$14,MATCH(B287,Customers!$P$12:$P$14,1))</f>
        <v>3</v>
      </c>
      <c r="H287" s="11" t="n">
        <f aca="false">INDEX(Customers!$Q$17:$Q$19,MATCH(E287,Customers!$P$17:$P$19,1))</f>
        <v>3</v>
      </c>
      <c r="I287" s="11" t="n">
        <f aca="false">F287+G287+H287</f>
        <v>9</v>
      </c>
      <c r="J287" s="11" t="str">
        <f aca="false">INDEX(Customers!$Q$22:$Q$25,MATCH(I287,Customers!$P$22:$P$25,1))</f>
        <v>Champion</v>
      </c>
    </row>
    <row r="288" customFormat="false" ht="15" hidden="false" customHeight="true" outlineLevel="0" collapsed="false">
      <c r="A288" s="11" t="str">
        <f aca="false">Customers!A191</f>
        <v>C187</v>
      </c>
      <c r="B288" s="11" t="n">
        <f aca="false">COUNTIF('Sales Data'!$D$2:$D$1201,A288)</f>
        <v>5</v>
      </c>
      <c r="C288" s="92" t="n">
        <f aca="false">_xlfn.MAXIFS('Sales Data'!$B$2:$B$1201,'Sales Data'!$D$2:$D$1201,A288)</f>
        <v>45993</v>
      </c>
      <c r="D288" s="11" t="n">
        <f aca="false">Customers!$Q$4-C288</f>
        <v>29</v>
      </c>
      <c r="E288" s="31" t="n">
        <f aca="false">SUMIFS('Sales Data'!$P$2:$P$1201,'Sales Data'!$D$2:$D$1201,A288)</f>
        <v>42010</v>
      </c>
      <c r="F288" s="11" t="n">
        <f aca="false">INDEX(Customers!$Q$7:$Q$9,MATCH(D288,Customers!$P$7:$P$9,1))</f>
        <v>3</v>
      </c>
      <c r="G288" s="11" t="n">
        <f aca="false">INDEX(Customers!$Q$12:$Q$14,MATCH(B288,Customers!$P$12:$P$14,1))</f>
        <v>2</v>
      </c>
      <c r="H288" s="11" t="n">
        <f aca="false">INDEX(Customers!$Q$17:$Q$19,MATCH(E288,Customers!$P$17:$P$19,1))</f>
        <v>2</v>
      </c>
      <c r="I288" s="11" t="n">
        <f aca="false">F288+G288+H288</f>
        <v>7</v>
      </c>
      <c r="J288" s="11" t="str">
        <f aca="false">INDEX(Customers!$Q$22:$Q$25,MATCH(I288,Customers!$P$22:$P$25,1))</f>
        <v>Loyal</v>
      </c>
    </row>
    <row r="289" customFormat="false" ht="15" hidden="false" customHeight="true" outlineLevel="0" collapsed="false">
      <c r="A289" s="11" t="str">
        <f aca="false">Customers!A192</f>
        <v>C188</v>
      </c>
      <c r="B289" s="11" t="n">
        <f aca="false">COUNTIF('Sales Data'!$D$2:$D$1201,A289)</f>
        <v>6</v>
      </c>
      <c r="C289" s="92" t="n">
        <f aca="false">_xlfn.MAXIFS('Sales Data'!$B$2:$B$1201,'Sales Data'!$D$2:$D$1201,A289)</f>
        <v>46022</v>
      </c>
      <c r="D289" s="11" t="n">
        <f aca="false">Customers!$Q$4-C289</f>
        <v>0</v>
      </c>
      <c r="E289" s="31" t="n">
        <f aca="false">SUMIFS('Sales Data'!$P$2:$P$1201,'Sales Data'!$D$2:$D$1201,A289)</f>
        <v>31716</v>
      </c>
      <c r="F289" s="11" t="n">
        <f aca="false">INDEX(Customers!$Q$7:$Q$9,MATCH(D289,Customers!$P$7:$P$9,1))</f>
        <v>3</v>
      </c>
      <c r="G289" s="11" t="n">
        <f aca="false">INDEX(Customers!$Q$12:$Q$14,MATCH(B289,Customers!$P$12:$P$14,1))</f>
        <v>2</v>
      </c>
      <c r="H289" s="11" t="n">
        <f aca="false">INDEX(Customers!$Q$17:$Q$19,MATCH(E289,Customers!$P$17:$P$19,1))</f>
        <v>2</v>
      </c>
      <c r="I289" s="11" t="n">
        <f aca="false">F289+G289+H289</f>
        <v>7</v>
      </c>
      <c r="J289" s="11" t="str">
        <f aca="false">INDEX(Customers!$Q$22:$Q$25,MATCH(I289,Customers!$P$22:$P$25,1))</f>
        <v>Loyal</v>
      </c>
    </row>
    <row r="290" customFormat="false" ht="15" hidden="false" customHeight="true" outlineLevel="0" collapsed="false">
      <c r="A290" s="11" t="str">
        <f aca="false">Customers!A193</f>
        <v>C189</v>
      </c>
      <c r="B290" s="11" t="n">
        <f aca="false">COUNTIF('Sales Data'!$D$2:$D$1201,A290)</f>
        <v>1</v>
      </c>
      <c r="C290" s="92" t="n">
        <f aca="false">_xlfn.MAXIFS('Sales Data'!$B$2:$B$1201,'Sales Data'!$D$2:$D$1201,A290)</f>
        <v>45920</v>
      </c>
      <c r="D290" s="11" t="n">
        <f aca="false">Customers!$Q$4-C290</f>
        <v>102</v>
      </c>
      <c r="E290" s="31" t="n">
        <f aca="false">SUMIFS('Sales Data'!$P$2:$P$1201,'Sales Data'!$D$2:$D$1201,A290)</f>
        <v>1527</v>
      </c>
      <c r="F290" s="11" t="n">
        <f aca="false">INDEX(Customers!$Q$7:$Q$9,MATCH(D290,Customers!$P$7:$P$9,1))</f>
        <v>2</v>
      </c>
      <c r="G290" s="11" t="n">
        <f aca="false">INDEX(Customers!$Q$12:$Q$14,MATCH(B290,Customers!$P$12:$P$14,1))</f>
        <v>1</v>
      </c>
      <c r="H290" s="11" t="n">
        <f aca="false">INDEX(Customers!$Q$17:$Q$19,MATCH(E290,Customers!$P$17:$P$19,1))</f>
        <v>1</v>
      </c>
      <c r="I290" s="11" t="n">
        <f aca="false">F290+G290+H290</f>
        <v>4</v>
      </c>
      <c r="J290" s="11" t="str">
        <f aca="false">INDEX(Customers!$Q$22:$Q$25,MATCH(I290,Customers!$P$22:$P$25,1))</f>
        <v>At Risk</v>
      </c>
    </row>
    <row r="291" customFormat="false" ht="15" hidden="false" customHeight="true" outlineLevel="0" collapsed="false">
      <c r="A291" s="11" t="str">
        <f aca="false">Customers!A194</f>
        <v>C190</v>
      </c>
      <c r="B291" s="11" t="n">
        <f aca="false">COUNTIF('Sales Data'!$D$2:$D$1201,A291)</f>
        <v>2</v>
      </c>
      <c r="C291" s="92" t="n">
        <f aca="false">_xlfn.MAXIFS('Sales Data'!$B$2:$B$1201,'Sales Data'!$D$2:$D$1201,A291)</f>
        <v>45949</v>
      </c>
      <c r="D291" s="11" t="n">
        <f aca="false">Customers!$Q$4-C291</f>
        <v>73</v>
      </c>
      <c r="E291" s="31" t="n">
        <f aca="false">SUMIFS('Sales Data'!$P$2:$P$1201,'Sales Data'!$D$2:$D$1201,A291)</f>
        <v>8998</v>
      </c>
      <c r="F291" s="11" t="n">
        <f aca="false">INDEX(Customers!$Q$7:$Q$9,MATCH(D291,Customers!$P$7:$P$9,1))</f>
        <v>2</v>
      </c>
      <c r="G291" s="11" t="n">
        <f aca="false">INDEX(Customers!$Q$12:$Q$14,MATCH(B291,Customers!$P$12:$P$14,1))</f>
        <v>1</v>
      </c>
      <c r="H291" s="11" t="n">
        <f aca="false">INDEX(Customers!$Q$17:$Q$19,MATCH(E291,Customers!$P$17:$P$19,1))</f>
        <v>1</v>
      </c>
      <c r="I291" s="11" t="n">
        <f aca="false">F291+G291+H291</f>
        <v>4</v>
      </c>
      <c r="J291" s="11" t="str">
        <f aca="false">INDEX(Customers!$Q$22:$Q$25,MATCH(I291,Customers!$P$22:$P$25,1))</f>
        <v>At Risk</v>
      </c>
    </row>
    <row r="292" customFormat="false" ht="15" hidden="false" customHeight="true" outlineLevel="0" collapsed="false">
      <c r="A292" s="11" t="str">
        <f aca="false">Customers!A195</f>
        <v>C191</v>
      </c>
      <c r="B292" s="11" t="n">
        <f aca="false">COUNTIF('Sales Data'!$D$2:$D$1201,A292)</f>
        <v>1</v>
      </c>
      <c r="C292" s="92" t="n">
        <f aca="false">_xlfn.MAXIFS('Sales Data'!$B$2:$B$1201,'Sales Data'!$D$2:$D$1201,A292)</f>
        <v>45805</v>
      </c>
      <c r="D292" s="11" t="n">
        <f aca="false">Customers!$Q$4-C292</f>
        <v>217</v>
      </c>
      <c r="E292" s="31" t="n">
        <f aca="false">SUMIFS('Sales Data'!$P$2:$P$1201,'Sales Data'!$D$2:$D$1201,A292)</f>
        <v>474</v>
      </c>
      <c r="F292" s="11" t="n">
        <f aca="false">INDEX(Customers!$Q$7:$Q$9,MATCH(D292,Customers!$P$7:$P$9,1))</f>
        <v>1</v>
      </c>
      <c r="G292" s="11" t="n">
        <f aca="false">INDEX(Customers!$Q$12:$Q$14,MATCH(B292,Customers!$P$12:$P$14,1))</f>
        <v>1</v>
      </c>
      <c r="H292" s="11" t="n">
        <f aca="false">INDEX(Customers!$Q$17:$Q$19,MATCH(E292,Customers!$P$17:$P$19,1))</f>
        <v>1</v>
      </c>
      <c r="I292" s="11" t="n">
        <f aca="false">F292+G292+H292</f>
        <v>3</v>
      </c>
      <c r="J292" s="11" t="str">
        <f aca="false">INDEX(Customers!$Q$22:$Q$25,MATCH(I292,Customers!$P$22:$P$25,1))</f>
        <v>Lost</v>
      </c>
    </row>
    <row r="293" customFormat="false" ht="15" hidden="false" customHeight="true" outlineLevel="0" collapsed="false">
      <c r="A293" s="11" t="str">
        <f aca="false">Customers!A196</f>
        <v>C192</v>
      </c>
      <c r="B293" s="11" t="n">
        <f aca="false">COUNTIF('Sales Data'!$D$2:$D$1201,A293)</f>
        <v>2</v>
      </c>
      <c r="C293" s="92" t="n">
        <f aca="false">_xlfn.MAXIFS('Sales Data'!$B$2:$B$1201,'Sales Data'!$D$2:$D$1201,A293)</f>
        <v>46006</v>
      </c>
      <c r="D293" s="11" t="n">
        <f aca="false">Customers!$Q$4-C293</f>
        <v>16</v>
      </c>
      <c r="E293" s="31" t="n">
        <f aca="false">SUMIFS('Sales Data'!$P$2:$P$1201,'Sales Data'!$D$2:$D$1201,A293)</f>
        <v>9897</v>
      </c>
      <c r="F293" s="11" t="n">
        <f aca="false">INDEX(Customers!$Q$7:$Q$9,MATCH(D293,Customers!$P$7:$P$9,1))</f>
        <v>3</v>
      </c>
      <c r="G293" s="11" t="n">
        <f aca="false">INDEX(Customers!$Q$12:$Q$14,MATCH(B293,Customers!$P$12:$P$14,1))</f>
        <v>1</v>
      </c>
      <c r="H293" s="11" t="n">
        <f aca="false">INDEX(Customers!$Q$17:$Q$19,MATCH(E293,Customers!$P$17:$P$19,1))</f>
        <v>1</v>
      </c>
      <c r="I293" s="11" t="n">
        <f aca="false">F293+G293+H293</f>
        <v>5</v>
      </c>
      <c r="J293" s="11" t="str">
        <f aca="false">INDEX(Customers!$Q$22:$Q$25,MATCH(I293,Customers!$P$22:$P$25,1))</f>
        <v>At Risk</v>
      </c>
    </row>
    <row r="294" customFormat="false" ht="15" hidden="false" customHeight="true" outlineLevel="0" collapsed="false">
      <c r="A294" s="11" t="str">
        <f aca="false">Customers!A197</f>
        <v>C193</v>
      </c>
      <c r="B294" s="11" t="n">
        <f aca="false">COUNTIF('Sales Data'!$D$2:$D$1201,A294)</f>
        <v>7</v>
      </c>
      <c r="C294" s="92" t="n">
        <f aca="false">_xlfn.MAXIFS('Sales Data'!$B$2:$B$1201,'Sales Data'!$D$2:$D$1201,A294)</f>
        <v>46010</v>
      </c>
      <c r="D294" s="11" t="n">
        <f aca="false">Customers!$Q$4-C294</f>
        <v>12</v>
      </c>
      <c r="E294" s="31" t="n">
        <f aca="false">SUMIFS('Sales Data'!$P$2:$P$1201,'Sales Data'!$D$2:$D$1201,A294)</f>
        <v>26644</v>
      </c>
      <c r="F294" s="11" t="n">
        <f aca="false">INDEX(Customers!$Q$7:$Q$9,MATCH(D294,Customers!$P$7:$P$9,1))</f>
        <v>3</v>
      </c>
      <c r="G294" s="11" t="n">
        <f aca="false">INDEX(Customers!$Q$12:$Q$14,MATCH(B294,Customers!$P$12:$P$14,1))</f>
        <v>3</v>
      </c>
      <c r="H294" s="11" t="n">
        <f aca="false">INDEX(Customers!$Q$17:$Q$19,MATCH(E294,Customers!$P$17:$P$19,1))</f>
        <v>2</v>
      </c>
      <c r="I294" s="11" t="n">
        <f aca="false">F294+G294+H294</f>
        <v>8</v>
      </c>
      <c r="J294" s="11" t="str">
        <f aca="false">INDEX(Customers!$Q$22:$Q$25,MATCH(I294,Customers!$P$22:$P$25,1))</f>
        <v>Champion</v>
      </c>
    </row>
    <row r="295" customFormat="false" ht="15" hidden="false" customHeight="true" outlineLevel="0" collapsed="false">
      <c r="A295" s="11" t="str">
        <f aca="false">Customers!A198</f>
        <v>C194</v>
      </c>
      <c r="B295" s="11" t="n">
        <f aca="false">COUNTIF('Sales Data'!$D$2:$D$1201,A295)</f>
        <v>10</v>
      </c>
      <c r="C295" s="92" t="n">
        <f aca="false">_xlfn.MAXIFS('Sales Data'!$B$2:$B$1201,'Sales Data'!$D$2:$D$1201,A295)</f>
        <v>45964</v>
      </c>
      <c r="D295" s="11" t="n">
        <f aca="false">Customers!$Q$4-C295</f>
        <v>58</v>
      </c>
      <c r="E295" s="31" t="n">
        <f aca="false">SUMIFS('Sales Data'!$P$2:$P$1201,'Sales Data'!$D$2:$D$1201,A295)</f>
        <v>48385</v>
      </c>
      <c r="F295" s="11" t="n">
        <f aca="false">INDEX(Customers!$Q$7:$Q$9,MATCH(D295,Customers!$P$7:$P$9,1))</f>
        <v>2</v>
      </c>
      <c r="G295" s="11" t="n">
        <f aca="false">INDEX(Customers!$Q$12:$Q$14,MATCH(B295,Customers!$P$12:$P$14,1))</f>
        <v>3</v>
      </c>
      <c r="H295" s="11" t="n">
        <f aca="false">INDEX(Customers!$Q$17:$Q$19,MATCH(E295,Customers!$P$17:$P$19,1))</f>
        <v>3</v>
      </c>
      <c r="I295" s="11" t="n">
        <f aca="false">F295+G295+H295</f>
        <v>8</v>
      </c>
      <c r="J295" s="11" t="str">
        <f aca="false">INDEX(Customers!$Q$22:$Q$25,MATCH(I295,Customers!$P$22:$P$25,1))</f>
        <v>Champion</v>
      </c>
    </row>
    <row r="296" customFormat="false" ht="15" hidden="false" customHeight="true" outlineLevel="0" collapsed="false">
      <c r="A296" s="11" t="str">
        <f aca="false">Customers!A199</f>
        <v>C195</v>
      </c>
      <c r="B296" s="11" t="n">
        <f aca="false">COUNTIF('Sales Data'!$D$2:$D$1201,A296)</f>
        <v>4</v>
      </c>
      <c r="C296" s="92" t="n">
        <f aca="false">_xlfn.MAXIFS('Sales Data'!$B$2:$B$1201,'Sales Data'!$D$2:$D$1201,A296)</f>
        <v>45968</v>
      </c>
      <c r="D296" s="11" t="n">
        <f aca="false">Customers!$Q$4-C296</f>
        <v>54</v>
      </c>
      <c r="E296" s="31" t="n">
        <f aca="false">SUMIFS('Sales Data'!$P$2:$P$1201,'Sales Data'!$D$2:$D$1201,A296)</f>
        <v>11044</v>
      </c>
      <c r="F296" s="11" t="n">
        <f aca="false">INDEX(Customers!$Q$7:$Q$9,MATCH(D296,Customers!$P$7:$P$9,1))</f>
        <v>2</v>
      </c>
      <c r="G296" s="11" t="n">
        <f aca="false">INDEX(Customers!$Q$12:$Q$14,MATCH(B296,Customers!$P$12:$P$14,1))</f>
        <v>2</v>
      </c>
      <c r="H296" s="11" t="n">
        <f aca="false">INDEX(Customers!$Q$17:$Q$19,MATCH(E296,Customers!$P$17:$P$19,1))</f>
        <v>1</v>
      </c>
      <c r="I296" s="11" t="n">
        <f aca="false">F296+G296+H296</f>
        <v>5</v>
      </c>
      <c r="J296" s="11" t="str">
        <f aca="false">INDEX(Customers!$Q$22:$Q$25,MATCH(I296,Customers!$P$22:$P$25,1))</f>
        <v>At Risk</v>
      </c>
    </row>
    <row r="297" customFormat="false" ht="15" hidden="false" customHeight="true" outlineLevel="0" collapsed="false">
      <c r="A297" s="11" t="str">
        <f aca="false">Customers!A200</f>
        <v>C196</v>
      </c>
      <c r="B297" s="11" t="n">
        <f aca="false">COUNTIF('Sales Data'!$D$2:$D$1201,A297)</f>
        <v>1</v>
      </c>
      <c r="C297" s="92" t="n">
        <f aca="false">_xlfn.MAXIFS('Sales Data'!$B$2:$B$1201,'Sales Data'!$D$2:$D$1201,A297)</f>
        <v>45748</v>
      </c>
      <c r="D297" s="11" t="n">
        <f aca="false">Customers!$Q$4-C297</f>
        <v>274</v>
      </c>
      <c r="E297" s="31" t="n">
        <f aca="false">SUMIFS('Sales Data'!$P$2:$P$1201,'Sales Data'!$D$2:$D$1201,A297)</f>
        <v>2799</v>
      </c>
      <c r="F297" s="11" t="n">
        <f aca="false">INDEX(Customers!$Q$7:$Q$9,MATCH(D297,Customers!$P$7:$P$9,1))</f>
        <v>1</v>
      </c>
      <c r="G297" s="11" t="n">
        <f aca="false">INDEX(Customers!$Q$12:$Q$14,MATCH(B297,Customers!$P$12:$P$14,1))</f>
        <v>1</v>
      </c>
      <c r="H297" s="11" t="n">
        <f aca="false">INDEX(Customers!$Q$17:$Q$19,MATCH(E297,Customers!$P$17:$P$19,1))</f>
        <v>1</v>
      </c>
      <c r="I297" s="11" t="n">
        <f aca="false">F297+G297+H297</f>
        <v>3</v>
      </c>
      <c r="J297" s="11" t="str">
        <f aca="false">INDEX(Customers!$Q$22:$Q$25,MATCH(I297,Customers!$P$22:$P$25,1))</f>
        <v>Lost</v>
      </c>
    </row>
    <row r="298" customFormat="false" ht="15" hidden="false" customHeight="true" outlineLevel="0" collapsed="false">
      <c r="A298" s="11" t="str">
        <f aca="false">Customers!A201</f>
        <v>C197</v>
      </c>
      <c r="B298" s="11" t="n">
        <f aca="false">COUNTIF('Sales Data'!$D$2:$D$1201,A298)</f>
        <v>11</v>
      </c>
      <c r="C298" s="92" t="n">
        <f aca="false">_xlfn.MAXIFS('Sales Data'!$B$2:$B$1201,'Sales Data'!$D$2:$D$1201,A298)</f>
        <v>46014</v>
      </c>
      <c r="D298" s="11" t="n">
        <f aca="false">Customers!$Q$4-C298</f>
        <v>8</v>
      </c>
      <c r="E298" s="31" t="n">
        <f aca="false">SUMIFS('Sales Data'!$P$2:$P$1201,'Sales Data'!$D$2:$D$1201,A298)</f>
        <v>53756</v>
      </c>
      <c r="F298" s="11" t="n">
        <f aca="false">INDEX(Customers!$Q$7:$Q$9,MATCH(D298,Customers!$P$7:$P$9,1))</f>
        <v>3</v>
      </c>
      <c r="G298" s="11" t="n">
        <f aca="false">INDEX(Customers!$Q$12:$Q$14,MATCH(B298,Customers!$P$12:$P$14,1))</f>
        <v>3</v>
      </c>
      <c r="H298" s="11" t="n">
        <f aca="false">INDEX(Customers!$Q$17:$Q$19,MATCH(E298,Customers!$P$17:$P$19,1))</f>
        <v>3</v>
      </c>
      <c r="I298" s="11" t="n">
        <f aca="false">F298+G298+H298</f>
        <v>9</v>
      </c>
      <c r="J298" s="11" t="str">
        <f aca="false">INDEX(Customers!$Q$22:$Q$25,MATCH(I298,Customers!$P$22:$P$25,1))</f>
        <v>Champion</v>
      </c>
    </row>
    <row r="299" customFormat="false" ht="15" hidden="false" customHeight="true" outlineLevel="0" collapsed="false">
      <c r="A299" s="11" t="str">
        <f aca="false">Customers!A202</f>
        <v>C198</v>
      </c>
      <c r="B299" s="11" t="n">
        <f aca="false">COUNTIF('Sales Data'!$D$2:$D$1201,A299)</f>
        <v>3</v>
      </c>
      <c r="C299" s="92" t="n">
        <f aca="false">_xlfn.MAXIFS('Sales Data'!$B$2:$B$1201,'Sales Data'!$D$2:$D$1201,A299)</f>
        <v>45987</v>
      </c>
      <c r="D299" s="11" t="n">
        <f aca="false">Customers!$Q$4-C299</f>
        <v>35</v>
      </c>
      <c r="E299" s="31" t="n">
        <f aca="false">SUMIFS('Sales Data'!$P$2:$P$1201,'Sales Data'!$D$2:$D$1201,A299)</f>
        <v>10576</v>
      </c>
      <c r="F299" s="11" t="n">
        <f aca="false">INDEX(Customers!$Q$7:$Q$9,MATCH(D299,Customers!$P$7:$P$9,1))</f>
        <v>3</v>
      </c>
      <c r="G299" s="11" t="n">
        <f aca="false">INDEX(Customers!$Q$12:$Q$14,MATCH(B299,Customers!$P$12:$P$14,1))</f>
        <v>2</v>
      </c>
      <c r="H299" s="11" t="n">
        <f aca="false">INDEX(Customers!$Q$17:$Q$19,MATCH(E299,Customers!$P$17:$P$19,1))</f>
        <v>1</v>
      </c>
      <c r="I299" s="11" t="n">
        <f aca="false">F299+G299+H299</f>
        <v>6</v>
      </c>
      <c r="J299" s="11" t="str">
        <f aca="false">INDEX(Customers!$Q$22:$Q$25,MATCH(I299,Customers!$P$22:$P$25,1))</f>
        <v>Loyal</v>
      </c>
    </row>
    <row r="300" customFormat="false" ht="15" hidden="false" customHeight="true" outlineLevel="0" collapsed="false">
      <c r="A300" s="11" t="str">
        <f aca="false">Customers!A203</f>
        <v>C199</v>
      </c>
      <c r="B300" s="11" t="n">
        <f aca="false">COUNTIF('Sales Data'!$D$2:$D$1201,A300)</f>
        <v>5</v>
      </c>
      <c r="C300" s="92" t="n">
        <f aca="false">_xlfn.MAXIFS('Sales Data'!$B$2:$B$1201,'Sales Data'!$D$2:$D$1201,A300)</f>
        <v>45982</v>
      </c>
      <c r="D300" s="11" t="n">
        <f aca="false">Customers!$Q$4-C300</f>
        <v>40</v>
      </c>
      <c r="E300" s="31" t="n">
        <f aca="false">SUMIFS('Sales Data'!$P$2:$P$1201,'Sales Data'!$D$2:$D$1201,A300)</f>
        <v>11788</v>
      </c>
      <c r="F300" s="11" t="n">
        <f aca="false">INDEX(Customers!$Q$7:$Q$9,MATCH(D300,Customers!$P$7:$P$9,1))</f>
        <v>3</v>
      </c>
      <c r="G300" s="11" t="n">
        <f aca="false">INDEX(Customers!$Q$12:$Q$14,MATCH(B300,Customers!$P$12:$P$14,1))</f>
        <v>2</v>
      </c>
      <c r="H300" s="11" t="n">
        <f aca="false">INDEX(Customers!$Q$17:$Q$19,MATCH(E300,Customers!$P$17:$P$19,1))</f>
        <v>1</v>
      </c>
      <c r="I300" s="11" t="n">
        <f aca="false">F300+G300+H300</f>
        <v>6</v>
      </c>
      <c r="J300" s="11" t="str">
        <f aca="false">INDEX(Customers!$Q$22:$Q$25,MATCH(I300,Customers!$P$22:$P$25,1))</f>
        <v>Loyal</v>
      </c>
    </row>
    <row r="301" customFormat="false" ht="15" hidden="false" customHeight="true" outlineLevel="0" collapsed="false">
      <c r="A301" s="11" t="str">
        <f aca="false">Customers!A204</f>
        <v>C200</v>
      </c>
      <c r="B301" s="11" t="n">
        <f aca="false">COUNTIF('Sales Data'!$D$2:$D$1201,A301)</f>
        <v>9</v>
      </c>
      <c r="C301" s="92" t="n">
        <f aca="false">_xlfn.MAXIFS('Sales Data'!$B$2:$B$1201,'Sales Data'!$D$2:$D$1201,A301)</f>
        <v>46008</v>
      </c>
      <c r="D301" s="11" t="n">
        <f aca="false">Customers!$Q$4-C301</f>
        <v>14</v>
      </c>
      <c r="E301" s="31" t="n">
        <f aca="false">SUMIFS('Sales Data'!$P$2:$P$1201,'Sales Data'!$D$2:$D$1201,A301)</f>
        <v>44444</v>
      </c>
      <c r="F301" s="11" t="n">
        <f aca="false">INDEX(Customers!$Q$7:$Q$9,MATCH(D301,Customers!$P$7:$P$9,1))</f>
        <v>3</v>
      </c>
      <c r="G301" s="11" t="n">
        <f aca="false">INDEX(Customers!$Q$12:$Q$14,MATCH(B301,Customers!$P$12:$P$14,1))</f>
        <v>3</v>
      </c>
      <c r="H301" s="11" t="n">
        <f aca="false">INDEX(Customers!$Q$17:$Q$19,MATCH(E301,Customers!$P$17:$P$19,1))</f>
        <v>2</v>
      </c>
      <c r="I301" s="11" t="n">
        <f aca="false">F301+G301+H301</f>
        <v>8</v>
      </c>
      <c r="J301" s="11" t="str">
        <f aca="false">INDEX(Customers!$Q$22:$Q$25,MATCH(I301,Customers!$P$22:$P$25,1))</f>
        <v>Champion</v>
      </c>
    </row>
    <row r="302" customFormat="false" ht="15" hidden="false" customHeight="true" outlineLevel="0" collapsed="false">
      <c r="A302" s="11" t="str">
        <f aca="false">Customers!A205</f>
        <v>C201</v>
      </c>
      <c r="B302" s="11" t="n">
        <f aca="false">COUNTIF('Sales Data'!$D$2:$D$1201,A302)</f>
        <v>4</v>
      </c>
      <c r="C302" s="92" t="n">
        <f aca="false">_xlfn.MAXIFS('Sales Data'!$B$2:$B$1201,'Sales Data'!$D$2:$D$1201,A302)</f>
        <v>45967</v>
      </c>
      <c r="D302" s="11" t="n">
        <f aca="false">Customers!$Q$4-C302</f>
        <v>55</v>
      </c>
      <c r="E302" s="31" t="n">
        <f aca="false">SUMIFS('Sales Data'!$P$2:$P$1201,'Sales Data'!$D$2:$D$1201,A302)</f>
        <v>19440</v>
      </c>
      <c r="F302" s="11" t="n">
        <f aca="false">INDEX(Customers!$Q$7:$Q$9,MATCH(D302,Customers!$P$7:$P$9,1))</f>
        <v>2</v>
      </c>
      <c r="G302" s="11" t="n">
        <f aca="false">INDEX(Customers!$Q$12:$Q$14,MATCH(B302,Customers!$P$12:$P$14,1))</f>
        <v>2</v>
      </c>
      <c r="H302" s="11" t="n">
        <f aca="false">INDEX(Customers!$Q$17:$Q$19,MATCH(E302,Customers!$P$17:$P$19,1))</f>
        <v>2</v>
      </c>
      <c r="I302" s="11" t="n">
        <f aca="false">F302+G302+H302</f>
        <v>6</v>
      </c>
      <c r="J302" s="11" t="str">
        <f aca="false">INDEX(Customers!$Q$22:$Q$25,MATCH(I302,Customers!$P$22:$P$25,1))</f>
        <v>Loyal</v>
      </c>
    </row>
    <row r="303" customFormat="false" ht="15" hidden="false" customHeight="true" outlineLevel="0" collapsed="false">
      <c r="A303" s="11" t="str">
        <f aca="false">Customers!A206</f>
        <v>C202</v>
      </c>
      <c r="B303" s="11" t="n">
        <f aca="false">COUNTIF('Sales Data'!$D$2:$D$1201,A303)</f>
        <v>1</v>
      </c>
      <c r="C303" s="92" t="n">
        <f aca="false">_xlfn.MAXIFS('Sales Data'!$B$2:$B$1201,'Sales Data'!$D$2:$D$1201,A303)</f>
        <v>45803</v>
      </c>
      <c r="D303" s="11" t="n">
        <f aca="false">Customers!$Q$4-C303</f>
        <v>219</v>
      </c>
      <c r="E303" s="31" t="n">
        <f aca="false">SUMIFS('Sales Data'!$P$2:$P$1201,'Sales Data'!$D$2:$D$1201,A303)</f>
        <v>14398</v>
      </c>
      <c r="F303" s="11" t="n">
        <f aca="false">INDEX(Customers!$Q$7:$Q$9,MATCH(D303,Customers!$P$7:$P$9,1))</f>
        <v>1</v>
      </c>
      <c r="G303" s="11" t="n">
        <f aca="false">INDEX(Customers!$Q$12:$Q$14,MATCH(B303,Customers!$P$12:$P$14,1))</f>
        <v>1</v>
      </c>
      <c r="H303" s="11" t="n">
        <f aca="false">INDEX(Customers!$Q$17:$Q$19,MATCH(E303,Customers!$P$17:$P$19,1))</f>
        <v>2</v>
      </c>
      <c r="I303" s="11" t="n">
        <f aca="false">F303+G303+H303</f>
        <v>4</v>
      </c>
      <c r="J303" s="11" t="str">
        <f aca="false">INDEX(Customers!$Q$22:$Q$25,MATCH(I303,Customers!$P$22:$P$25,1))</f>
        <v>At Risk</v>
      </c>
    </row>
    <row r="304" customFormat="false" ht="15" hidden="false" customHeight="true" outlineLevel="0" collapsed="false">
      <c r="A304" s="11" t="str">
        <f aca="false">Customers!A207</f>
        <v>C203</v>
      </c>
      <c r="B304" s="11" t="n">
        <f aca="false">COUNTIF('Sales Data'!$D$2:$D$1201,A304)</f>
        <v>4</v>
      </c>
      <c r="C304" s="92" t="n">
        <f aca="false">_xlfn.MAXIFS('Sales Data'!$B$2:$B$1201,'Sales Data'!$D$2:$D$1201,A304)</f>
        <v>45987</v>
      </c>
      <c r="D304" s="11" t="n">
        <f aca="false">Customers!$Q$4-C304</f>
        <v>35</v>
      </c>
      <c r="E304" s="31" t="n">
        <f aca="false">SUMIFS('Sales Data'!$P$2:$P$1201,'Sales Data'!$D$2:$D$1201,A304)</f>
        <v>15915</v>
      </c>
      <c r="F304" s="11" t="n">
        <f aca="false">INDEX(Customers!$Q$7:$Q$9,MATCH(D304,Customers!$P$7:$P$9,1))</f>
        <v>3</v>
      </c>
      <c r="G304" s="11" t="n">
        <f aca="false">INDEX(Customers!$Q$12:$Q$14,MATCH(B304,Customers!$P$12:$P$14,1))</f>
        <v>2</v>
      </c>
      <c r="H304" s="11" t="n">
        <f aca="false">INDEX(Customers!$Q$17:$Q$19,MATCH(E304,Customers!$P$17:$P$19,1))</f>
        <v>2</v>
      </c>
      <c r="I304" s="11" t="n">
        <f aca="false">F304+G304+H304</f>
        <v>7</v>
      </c>
      <c r="J304" s="11" t="str">
        <f aca="false">INDEX(Customers!$Q$22:$Q$25,MATCH(I304,Customers!$P$22:$P$25,1))</f>
        <v>Loyal</v>
      </c>
    </row>
    <row r="305" customFormat="false" ht="15" hidden="false" customHeight="true" outlineLevel="0" collapsed="false">
      <c r="A305" s="11" t="str">
        <f aca="false">Customers!A208</f>
        <v>C204</v>
      </c>
      <c r="B305" s="11" t="n">
        <f aca="false">COUNTIF('Sales Data'!$D$2:$D$1201,A305)</f>
        <v>1</v>
      </c>
      <c r="C305" s="92" t="n">
        <f aca="false">_xlfn.MAXIFS('Sales Data'!$B$2:$B$1201,'Sales Data'!$D$2:$D$1201,A305)</f>
        <v>45709</v>
      </c>
      <c r="D305" s="11" t="n">
        <f aca="false">Customers!$Q$4-C305</f>
        <v>313</v>
      </c>
      <c r="E305" s="31" t="n">
        <f aca="false">SUMIFS('Sales Data'!$P$2:$P$1201,'Sales Data'!$D$2:$D$1201,A305)</f>
        <v>1799</v>
      </c>
      <c r="F305" s="11" t="n">
        <f aca="false">INDEX(Customers!$Q$7:$Q$9,MATCH(D305,Customers!$P$7:$P$9,1))</f>
        <v>1</v>
      </c>
      <c r="G305" s="11" t="n">
        <f aca="false">INDEX(Customers!$Q$12:$Q$14,MATCH(B305,Customers!$P$12:$P$14,1))</f>
        <v>1</v>
      </c>
      <c r="H305" s="11" t="n">
        <f aca="false">INDEX(Customers!$Q$17:$Q$19,MATCH(E305,Customers!$P$17:$P$19,1))</f>
        <v>1</v>
      </c>
      <c r="I305" s="11" t="n">
        <f aca="false">F305+G305+H305</f>
        <v>3</v>
      </c>
      <c r="J305" s="11" t="str">
        <f aca="false">INDEX(Customers!$Q$22:$Q$25,MATCH(I305,Customers!$P$22:$P$25,1))</f>
        <v>Lost</v>
      </c>
    </row>
    <row r="306" customFormat="false" ht="15" hidden="false" customHeight="true" outlineLevel="0" collapsed="false">
      <c r="A306" s="11" t="str">
        <f aca="false">Customers!A209</f>
        <v>C205</v>
      </c>
      <c r="B306" s="11" t="n">
        <f aca="false">COUNTIF('Sales Data'!$D$2:$D$1201,A306)</f>
        <v>1</v>
      </c>
      <c r="C306" s="92" t="n">
        <f aca="false">_xlfn.MAXIFS('Sales Data'!$B$2:$B$1201,'Sales Data'!$D$2:$D$1201,A306)</f>
        <v>45780</v>
      </c>
      <c r="D306" s="11" t="n">
        <f aca="false">Customers!$Q$4-C306</f>
        <v>242</v>
      </c>
      <c r="E306" s="31" t="n">
        <f aca="false">SUMIFS('Sales Data'!$P$2:$P$1201,'Sales Data'!$D$2:$D$1201,A306)</f>
        <v>2278</v>
      </c>
      <c r="F306" s="11" t="n">
        <f aca="false">INDEX(Customers!$Q$7:$Q$9,MATCH(D306,Customers!$P$7:$P$9,1))</f>
        <v>1</v>
      </c>
      <c r="G306" s="11" t="n">
        <f aca="false">INDEX(Customers!$Q$12:$Q$14,MATCH(B306,Customers!$P$12:$P$14,1))</f>
        <v>1</v>
      </c>
      <c r="H306" s="11" t="n">
        <f aca="false">INDEX(Customers!$Q$17:$Q$19,MATCH(E306,Customers!$P$17:$P$19,1))</f>
        <v>1</v>
      </c>
      <c r="I306" s="11" t="n">
        <f aca="false">F306+G306+H306</f>
        <v>3</v>
      </c>
      <c r="J306" s="11" t="str">
        <f aca="false">INDEX(Customers!$Q$22:$Q$25,MATCH(I306,Customers!$P$22:$P$25,1))</f>
        <v>Lost</v>
      </c>
    </row>
    <row r="307" customFormat="false" ht="15" hidden="false" customHeight="true" outlineLevel="0" collapsed="false">
      <c r="A307" s="11" t="str">
        <f aca="false">Customers!A210</f>
        <v>C206</v>
      </c>
      <c r="B307" s="11" t="n">
        <f aca="false">COUNTIF('Sales Data'!$D$2:$D$1201,A307)</f>
        <v>2</v>
      </c>
      <c r="C307" s="92" t="n">
        <f aca="false">_xlfn.MAXIFS('Sales Data'!$B$2:$B$1201,'Sales Data'!$D$2:$D$1201,A307)</f>
        <v>45991</v>
      </c>
      <c r="D307" s="11" t="n">
        <f aca="false">Customers!$Q$4-C307</f>
        <v>31</v>
      </c>
      <c r="E307" s="31" t="n">
        <f aca="false">SUMIFS('Sales Data'!$P$2:$P$1201,'Sales Data'!$D$2:$D$1201,A307)</f>
        <v>1811</v>
      </c>
      <c r="F307" s="11" t="n">
        <f aca="false">INDEX(Customers!$Q$7:$Q$9,MATCH(D307,Customers!$P$7:$P$9,1))</f>
        <v>3</v>
      </c>
      <c r="G307" s="11" t="n">
        <f aca="false">INDEX(Customers!$Q$12:$Q$14,MATCH(B307,Customers!$P$12:$P$14,1))</f>
        <v>1</v>
      </c>
      <c r="H307" s="11" t="n">
        <f aca="false">INDEX(Customers!$Q$17:$Q$19,MATCH(E307,Customers!$P$17:$P$19,1))</f>
        <v>1</v>
      </c>
      <c r="I307" s="11" t="n">
        <f aca="false">F307+G307+H307</f>
        <v>5</v>
      </c>
      <c r="J307" s="11" t="str">
        <f aca="false">INDEX(Customers!$Q$22:$Q$25,MATCH(I307,Customers!$P$22:$P$25,1))</f>
        <v>At Risk</v>
      </c>
    </row>
    <row r="308" customFormat="false" ht="15" hidden="false" customHeight="true" outlineLevel="0" collapsed="false">
      <c r="A308" s="11" t="str">
        <f aca="false">Customers!A211</f>
        <v>C207</v>
      </c>
      <c r="B308" s="11" t="n">
        <f aca="false">COUNTIF('Sales Data'!$D$2:$D$1201,A308)</f>
        <v>3</v>
      </c>
      <c r="C308" s="92" t="n">
        <f aca="false">_xlfn.MAXIFS('Sales Data'!$B$2:$B$1201,'Sales Data'!$D$2:$D$1201,A308)</f>
        <v>45896</v>
      </c>
      <c r="D308" s="11" t="n">
        <f aca="false">Customers!$Q$4-C308</f>
        <v>126</v>
      </c>
      <c r="E308" s="31" t="n">
        <f aca="false">SUMIFS('Sales Data'!$P$2:$P$1201,'Sales Data'!$D$2:$D$1201,A308)</f>
        <v>5371</v>
      </c>
      <c r="F308" s="11" t="n">
        <f aca="false">INDEX(Customers!$Q$7:$Q$9,MATCH(D308,Customers!$P$7:$P$9,1))</f>
        <v>2</v>
      </c>
      <c r="G308" s="11" t="n">
        <f aca="false">INDEX(Customers!$Q$12:$Q$14,MATCH(B308,Customers!$P$12:$P$14,1))</f>
        <v>2</v>
      </c>
      <c r="H308" s="11" t="n">
        <f aca="false">INDEX(Customers!$Q$17:$Q$19,MATCH(E308,Customers!$P$17:$P$19,1))</f>
        <v>1</v>
      </c>
      <c r="I308" s="11" t="n">
        <f aca="false">F308+G308+H308</f>
        <v>5</v>
      </c>
      <c r="J308" s="11" t="str">
        <f aca="false">INDEX(Customers!$Q$22:$Q$25,MATCH(I308,Customers!$P$22:$P$25,1))</f>
        <v>At Risk</v>
      </c>
    </row>
    <row r="309" customFormat="false" ht="15" hidden="false" customHeight="true" outlineLevel="0" collapsed="false">
      <c r="A309" s="11" t="str">
        <f aca="false">Customers!A212</f>
        <v>C208</v>
      </c>
      <c r="B309" s="11" t="n">
        <f aca="false">COUNTIF('Sales Data'!$D$2:$D$1201,A309)</f>
        <v>1</v>
      </c>
      <c r="C309" s="92" t="n">
        <f aca="false">_xlfn.MAXIFS('Sales Data'!$B$2:$B$1201,'Sales Data'!$D$2:$D$1201,A309)</f>
        <v>45970</v>
      </c>
      <c r="D309" s="11" t="n">
        <f aca="false">Customers!$Q$4-C309</f>
        <v>52</v>
      </c>
      <c r="E309" s="31" t="n">
        <f aca="false">SUMIFS('Sales Data'!$P$2:$P$1201,'Sales Data'!$D$2:$D$1201,A309)</f>
        <v>447</v>
      </c>
      <c r="F309" s="11" t="n">
        <f aca="false">INDEX(Customers!$Q$7:$Q$9,MATCH(D309,Customers!$P$7:$P$9,1))</f>
        <v>2</v>
      </c>
      <c r="G309" s="11" t="n">
        <f aca="false">INDEX(Customers!$Q$12:$Q$14,MATCH(B309,Customers!$P$12:$P$14,1))</f>
        <v>1</v>
      </c>
      <c r="H309" s="11" t="n">
        <f aca="false">INDEX(Customers!$Q$17:$Q$19,MATCH(E309,Customers!$P$17:$P$19,1))</f>
        <v>1</v>
      </c>
      <c r="I309" s="11" t="n">
        <f aca="false">F309+G309+H309</f>
        <v>4</v>
      </c>
      <c r="J309" s="11" t="str">
        <f aca="false">INDEX(Customers!$Q$22:$Q$25,MATCH(I309,Customers!$P$22:$P$25,1))</f>
        <v>At Risk</v>
      </c>
    </row>
    <row r="310" customFormat="false" ht="15" hidden="false" customHeight="true" outlineLevel="0" collapsed="false">
      <c r="A310" s="11" t="str">
        <f aca="false">Customers!A213</f>
        <v>C209</v>
      </c>
      <c r="B310" s="11" t="n">
        <f aca="false">COUNTIF('Sales Data'!$D$2:$D$1201,A310)</f>
        <v>3</v>
      </c>
      <c r="C310" s="92" t="n">
        <f aca="false">_xlfn.MAXIFS('Sales Data'!$B$2:$B$1201,'Sales Data'!$D$2:$D$1201,A310)</f>
        <v>45995</v>
      </c>
      <c r="D310" s="11" t="n">
        <f aca="false">Customers!$Q$4-C310</f>
        <v>27</v>
      </c>
      <c r="E310" s="31" t="n">
        <f aca="false">SUMIFS('Sales Data'!$P$2:$P$1201,'Sales Data'!$D$2:$D$1201,A310)</f>
        <v>16116</v>
      </c>
      <c r="F310" s="11" t="n">
        <f aca="false">INDEX(Customers!$Q$7:$Q$9,MATCH(D310,Customers!$P$7:$P$9,1))</f>
        <v>3</v>
      </c>
      <c r="G310" s="11" t="n">
        <f aca="false">INDEX(Customers!$Q$12:$Q$14,MATCH(B310,Customers!$P$12:$P$14,1))</f>
        <v>2</v>
      </c>
      <c r="H310" s="11" t="n">
        <f aca="false">INDEX(Customers!$Q$17:$Q$19,MATCH(E310,Customers!$P$17:$P$19,1))</f>
        <v>2</v>
      </c>
      <c r="I310" s="11" t="n">
        <f aca="false">F310+G310+H310</f>
        <v>7</v>
      </c>
      <c r="J310" s="11" t="str">
        <f aca="false">INDEX(Customers!$Q$22:$Q$25,MATCH(I310,Customers!$P$22:$P$25,1))</f>
        <v>Loyal</v>
      </c>
    </row>
    <row r="311" customFormat="false" ht="15" hidden="false" customHeight="true" outlineLevel="0" collapsed="false">
      <c r="A311" s="11" t="str">
        <f aca="false">Customers!A214</f>
        <v>C210</v>
      </c>
      <c r="B311" s="11" t="n">
        <f aca="false">COUNTIF('Sales Data'!$D$2:$D$1201,A311)</f>
        <v>3</v>
      </c>
      <c r="C311" s="92" t="n">
        <f aca="false">_xlfn.MAXIFS('Sales Data'!$B$2:$B$1201,'Sales Data'!$D$2:$D$1201,A311)</f>
        <v>45933</v>
      </c>
      <c r="D311" s="11" t="n">
        <f aca="false">Customers!$Q$4-C311</f>
        <v>89</v>
      </c>
      <c r="E311" s="31" t="n">
        <f aca="false">SUMIFS('Sales Data'!$P$2:$P$1201,'Sales Data'!$D$2:$D$1201,A311)</f>
        <v>8569</v>
      </c>
      <c r="F311" s="11" t="n">
        <f aca="false">INDEX(Customers!$Q$7:$Q$9,MATCH(D311,Customers!$P$7:$P$9,1))</f>
        <v>2</v>
      </c>
      <c r="G311" s="11" t="n">
        <f aca="false">INDEX(Customers!$Q$12:$Q$14,MATCH(B311,Customers!$P$12:$P$14,1))</f>
        <v>2</v>
      </c>
      <c r="H311" s="11" t="n">
        <f aca="false">INDEX(Customers!$Q$17:$Q$19,MATCH(E311,Customers!$P$17:$P$19,1))</f>
        <v>1</v>
      </c>
      <c r="I311" s="11" t="n">
        <f aca="false">F311+G311+H311</f>
        <v>5</v>
      </c>
      <c r="J311" s="11" t="str">
        <f aca="false">INDEX(Customers!$Q$22:$Q$25,MATCH(I311,Customers!$P$22:$P$25,1))</f>
        <v>At Risk</v>
      </c>
    </row>
    <row r="312" customFormat="false" ht="15" hidden="false" customHeight="true" outlineLevel="0" collapsed="false">
      <c r="A312" s="11" t="str">
        <f aca="false">Customers!A215</f>
        <v>C211</v>
      </c>
      <c r="B312" s="11" t="n">
        <f aca="false">COUNTIF('Sales Data'!$D$2:$D$1201,A312)</f>
        <v>8</v>
      </c>
      <c r="C312" s="92" t="n">
        <f aca="false">_xlfn.MAXIFS('Sales Data'!$B$2:$B$1201,'Sales Data'!$D$2:$D$1201,A312)</f>
        <v>45977</v>
      </c>
      <c r="D312" s="11" t="n">
        <f aca="false">Customers!$Q$4-C312</f>
        <v>45</v>
      </c>
      <c r="E312" s="31" t="n">
        <f aca="false">SUMIFS('Sales Data'!$P$2:$P$1201,'Sales Data'!$D$2:$D$1201,A312)</f>
        <v>31233</v>
      </c>
      <c r="F312" s="11" t="n">
        <f aca="false">INDEX(Customers!$Q$7:$Q$9,MATCH(D312,Customers!$P$7:$P$9,1))</f>
        <v>3</v>
      </c>
      <c r="G312" s="11" t="n">
        <f aca="false">INDEX(Customers!$Q$12:$Q$14,MATCH(B312,Customers!$P$12:$P$14,1))</f>
        <v>3</v>
      </c>
      <c r="H312" s="11" t="n">
        <f aca="false">INDEX(Customers!$Q$17:$Q$19,MATCH(E312,Customers!$P$17:$P$19,1))</f>
        <v>2</v>
      </c>
      <c r="I312" s="11" t="n">
        <f aca="false">F312+G312+H312</f>
        <v>8</v>
      </c>
      <c r="J312" s="11" t="str">
        <f aca="false">INDEX(Customers!$Q$22:$Q$25,MATCH(I312,Customers!$P$22:$P$25,1))</f>
        <v>Champion</v>
      </c>
    </row>
    <row r="313" customFormat="false" ht="15" hidden="false" customHeight="true" outlineLevel="0" collapsed="false">
      <c r="A313" s="11" t="str">
        <f aca="false">Customers!A216</f>
        <v>C212</v>
      </c>
      <c r="B313" s="11" t="n">
        <f aca="false">COUNTIF('Sales Data'!$D$2:$D$1201,A313)</f>
        <v>20</v>
      </c>
      <c r="C313" s="92" t="n">
        <f aca="false">_xlfn.MAXIFS('Sales Data'!$B$2:$B$1201,'Sales Data'!$D$2:$D$1201,A313)</f>
        <v>46020</v>
      </c>
      <c r="D313" s="11" t="n">
        <f aca="false">Customers!$Q$4-C313</f>
        <v>2</v>
      </c>
      <c r="E313" s="31" t="n">
        <f aca="false">SUMIFS('Sales Data'!$P$2:$P$1201,'Sales Data'!$D$2:$D$1201,A313)</f>
        <v>92565</v>
      </c>
      <c r="F313" s="11" t="n">
        <f aca="false">INDEX(Customers!$Q$7:$Q$9,MATCH(D313,Customers!$P$7:$P$9,1))</f>
        <v>3</v>
      </c>
      <c r="G313" s="11" t="n">
        <f aca="false">INDEX(Customers!$Q$12:$Q$14,MATCH(B313,Customers!$P$12:$P$14,1))</f>
        <v>3</v>
      </c>
      <c r="H313" s="11" t="n">
        <f aca="false">INDEX(Customers!$Q$17:$Q$19,MATCH(E313,Customers!$P$17:$P$19,1))</f>
        <v>3</v>
      </c>
      <c r="I313" s="11" t="n">
        <f aca="false">F313+G313+H313</f>
        <v>9</v>
      </c>
      <c r="J313" s="11" t="str">
        <f aca="false">INDEX(Customers!$Q$22:$Q$25,MATCH(I313,Customers!$P$22:$P$25,1))</f>
        <v>Champion</v>
      </c>
    </row>
    <row r="314" customFormat="false" ht="15" hidden="false" customHeight="true" outlineLevel="0" collapsed="false">
      <c r="A314" s="11" t="str">
        <f aca="false">Customers!A217</f>
        <v>C213</v>
      </c>
      <c r="B314" s="11" t="n">
        <f aca="false">COUNTIF('Sales Data'!$D$2:$D$1201,A314)</f>
        <v>2</v>
      </c>
      <c r="C314" s="92" t="n">
        <f aca="false">_xlfn.MAXIFS('Sales Data'!$B$2:$B$1201,'Sales Data'!$D$2:$D$1201,A314)</f>
        <v>45916</v>
      </c>
      <c r="D314" s="11" t="n">
        <f aca="false">Customers!$Q$4-C314</f>
        <v>106</v>
      </c>
      <c r="E314" s="31" t="n">
        <f aca="false">SUMIFS('Sales Data'!$P$2:$P$1201,'Sales Data'!$D$2:$D$1201,A314)</f>
        <v>42475</v>
      </c>
      <c r="F314" s="11" t="n">
        <f aca="false">INDEX(Customers!$Q$7:$Q$9,MATCH(D314,Customers!$P$7:$P$9,1))</f>
        <v>2</v>
      </c>
      <c r="G314" s="11" t="n">
        <f aca="false">INDEX(Customers!$Q$12:$Q$14,MATCH(B314,Customers!$P$12:$P$14,1))</f>
        <v>1</v>
      </c>
      <c r="H314" s="11" t="n">
        <f aca="false">INDEX(Customers!$Q$17:$Q$19,MATCH(E314,Customers!$P$17:$P$19,1))</f>
        <v>2</v>
      </c>
      <c r="I314" s="11" t="n">
        <f aca="false">F314+G314+H314</f>
        <v>5</v>
      </c>
      <c r="J314" s="11" t="str">
        <f aca="false">INDEX(Customers!$Q$22:$Q$25,MATCH(I314,Customers!$P$22:$P$25,1))</f>
        <v>At Risk</v>
      </c>
    </row>
    <row r="315" customFormat="false" ht="15" hidden="false" customHeight="true" outlineLevel="0" collapsed="false">
      <c r="A315" s="11" t="str">
        <f aca="false">Customers!A218</f>
        <v>C214</v>
      </c>
      <c r="B315" s="11" t="n">
        <f aca="false">COUNTIF('Sales Data'!$D$2:$D$1201,A315)</f>
        <v>5</v>
      </c>
      <c r="C315" s="92" t="n">
        <f aca="false">_xlfn.MAXIFS('Sales Data'!$B$2:$B$1201,'Sales Data'!$D$2:$D$1201,A315)</f>
        <v>46015</v>
      </c>
      <c r="D315" s="11" t="n">
        <f aca="false">Customers!$Q$4-C315</f>
        <v>7</v>
      </c>
      <c r="E315" s="31" t="n">
        <f aca="false">SUMIFS('Sales Data'!$P$2:$P$1201,'Sales Data'!$D$2:$D$1201,A315)</f>
        <v>6914</v>
      </c>
      <c r="F315" s="11" t="n">
        <f aca="false">INDEX(Customers!$Q$7:$Q$9,MATCH(D315,Customers!$P$7:$P$9,1))</f>
        <v>3</v>
      </c>
      <c r="G315" s="11" t="n">
        <f aca="false">INDEX(Customers!$Q$12:$Q$14,MATCH(B315,Customers!$P$12:$P$14,1))</f>
        <v>2</v>
      </c>
      <c r="H315" s="11" t="n">
        <f aca="false">INDEX(Customers!$Q$17:$Q$19,MATCH(E315,Customers!$P$17:$P$19,1))</f>
        <v>1</v>
      </c>
      <c r="I315" s="11" t="n">
        <f aca="false">F315+G315+H315</f>
        <v>6</v>
      </c>
      <c r="J315" s="11" t="str">
        <f aca="false">INDEX(Customers!$Q$22:$Q$25,MATCH(I315,Customers!$P$22:$P$25,1))</f>
        <v>Loyal</v>
      </c>
    </row>
    <row r="316" customFormat="false" ht="15" hidden="false" customHeight="true" outlineLevel="0" collapsed="false">
      <c r="A316" s="11" t="str">
        <f aca="false">Customers!A219</f>
        <v>C215</v>
      </c>
      <c r="B316" s="11" t="n">
        <f aca="false">COUNTIF('Sales Data'!$D$2:$D$1201,A316)</f>
        <v>6</v>
      </c>
      <c r="C316" s="92" t="n">
        <f aca="false">_xlfn.MAXIFS('Sales Data'!$B$2:$B$1201,'Sales Data'!$D$2:$D$1201,A316)</f>
        <v>45986</v>
      </c>
      <c r="D316" s="11" t="n">
        <f aca="false">Customers!$Q$4-C316</f>
        <v>36</v>
      </c>
      <c r="E316" s="31" t="n">
        <f aca="false">SUMIFS('Sales Data'!$P$2:$P$1201,'Sales Data'!$D$2:$D$1201,A316)</f>
        <v>12642</v>
      </c>
      <c r="F316" s="11" t="n">
        <f aca="false">INDEX(Customers!$Q$7:$Q$9,MATCH(D316,Customers!$P$7:$P$9,1))</f>
        <v>3</v>
      </c>
      <c r="G316" s="11" t="n">
        <f aca="false">INDEX(Customers!$Q$12:$Q$14,MATCH(B316,Customers!$P$12:$P$14,1))</f>
        <v>2</v>
      </c>
      <c r="H316" s="11" t="n">
        <f aca="false">INDEX(Customers!$Q$17:$Q$19,MATCH(E316,Customers!$P$17:$P$19,1))</f>
        <v>2</v>
      </c>
      <c r="I316" s="11" t="n">
        <f aca="false">F316+G316+H316</f>
        <v>7</v>
      </c>
      <c r="J316" s="11" t="str">
        <f aca="false">INDEX(Customers!$Q$22:$Q$25,MATCH(I316,Customers!$P$22:$P$25,1))</f>
        <v>Loyal</v>
      </c>
    </row>
    <row r="317" customFormat="false" ht="15" hidden="false" customHeight="true" outlineLevel="0" collapsed="false">
      <c r="A317" s="11" t="str">
        <f aca="false">Customers!A220</f>
        <v>C216</v>
      </c>
      <c r="B317" s="11" t="n">
        <f aca="false">COUNTIF('Sales Data'!$D$2:$D$1201,A317)</f>
        <v>7</v>
      </c>
      <c r="C317" s="92" t="n">
        <f aca="false">_xlfn.MAXIFS('Sales Data'!$B$2:$B$1201,'Sales Data'!$D$2:$D$1201,A317)</f>
        <v>45983</v>
      </c>
      <c r="D317" s="11" t="n">
        <f aca="false">Customers!$Q$4-C317</f>
        <v>39</v>
      </c>
      <c r="E317" s="31" t="n">
        <f aca="false">SUMIFS('Sales Data'!$P$2:$P$1201,'Sales Data'!$D$2:$D$1201,A317)</f>
        <v>46928</v>
      </c>
      <c r="F317" s="11" t="n">
        <f aca="false">INDEX(Customers!$Q$7:$Q$9,MATCH(D317,Customers!$P$7:$P$9,1))</f>
        <v>3</v>
      </c>
      <c r="G317" s="11" t="n">
        <f aca="false">INDEX(Customers!$Q$12:$Q$14,MATCH(B317,Customers!$P$12:$P$14,1))</f>
        <v>3</v>
      </c>
      <c r="H317" s="11" t="n">
        <f aca="false">INDEX(Customers!$Q$17:$Q$19,MATCH(E317,Customers!$P$17:$P$19,1))</f>
        <v>3</v>
      </c>
      <c r="I317" s="11" t="n">
        <f aca="false">F317+G317+H317</f>
        <v>9</v>
      </c>
      <c r="J317" s="11" t="str">
        <f aca="false">INDEX(Customers!$Q$22:$Q$25,MATCH(I317,Customers!$P$22:$P$25,1))</f>
        <v>Champion</v>
      </c>
    </row>
    <row r="318" customFormat="false" ht="15" hidden="false" customHeight="true" outlineLevel="0" collapsed="false">
      <c r="A318" s="11" t="str">
        <f aca="false">Customers!A221</f>
        <v>C217</v>
      </c>
      <c r="B318" s="11" t="n">
        <f aca="false">COUNTIF('Sales Data'!$D$2:$D$1201,A318)</f>
        <v>1</v>
      </c>
      <c r="C318" s="92" t="n">
        <f aca="false">_xlfn.MAXIFS('Sales Data'!$B$2:$B$1201,'Sales Data'!$D$2:$D$1201,A318)</f>
        <v>45931</v>
      </c>
      <c r="D318" s="11" t="n">
        <f aca="false">Customers!$Q$4-C318</f>
        <v>91</v>
      </c>
      <c r="E318" s="31" t="n">
        <f aca="false">SUMIFS('Sales Data'!$P$2:$P$1201,'Sales Data'!$D$2:$D$1201,A318)</f>
        <v>15198</v>
      </c>
      <c r="F318" s="11" t="n">
        <f aca="false">INDEX(Customers!$Q$7:$Q$9,MATCH(D318,Customers!$P$7:$P$9,1))</f>
        <v>2</v>
      </c>
      <c r="G318" s="11" t="n">
        <f aca="false">INDEX(Customers!$Q$12:$Q$14,MATCH(B318,Customers!$P$12:$P$14,1))</f>
        <v>1</v>
      </c>
      <c r="H318" s="11" t="n">
        <f aca="false">INDEX(Customers!$Q$17:$Q$19,MATCH(E318,Customers!$P$17:$P$19,1))</f>
        <v>2</v>
      </c>
      <c r="I318" s="11" t="n">
        <f aca="false">F318+G318+H318</f>
        <v>5</v>
      </c>
      <c r="J318" s="11" t="str">
        <f aca="false">INDEX(Customers!$Q$22:$Q$25,MATCH(I318,Customers!$P$22:$P$25,1))</f>
        <v>At Risk</v>
      </c>
    </row>
    <row r="319" customFormat="false" ht="15" hidden="false" customHeight="true" outlineLevel="0" collapsed="false">
      <c r="A319" s="11" t="str">
        <f aca="false">Customers!A222</f>
        <v>C218</v>
      </c>
      <c r="B319" s="11" t="n">
        <f aca="false">COUNTIF('Sales Data'!$D$2:$D$1201,A319)</f>
        <v>5</v>
      </c>
      <c r="C319" s="92" t="n">
        <f aca="false">_xlfn.MAXIFS('Sales Data'!$B$2:$B$1201,'Sales Data'!$D$2:$D$1201,A319)</f>
        <v>45986</v>
      </c>
      <c r="D319" s="11" t="n">
        <f aca="false">Customers!$Q$4-C319</f>
        <v>36</v>
      </c>
      <c r="E319" s="31" t="n">
        <f aca="false">SUMIFS('Sales Data'!$P$2:$P$1201,'Sales Data'!$D$2:$D$1201,A319)</f>
        <v>20680</v>
      </c>
      <c r="F319" s="11" t="n">
        <f aca="false">INDEX(Customers!$Q$7:$Q$9,MATCH(D319,Customers!$P$7:$P$9,1))</f>
        <v>3</v>
      </c>
      <c r="G319" s="11" t="n">
        <f aca="false">INDEX(Customers!$Q$12:$Q$14,MATCH(B319,Customers!$P$12:$P$14,1))</f>
        <v>2</v>
      </c>
      <c r="H319" s="11" t="n">
        <f aca="false">INDEX(Customers!$Q$17:$Q$19,MATCH(E319,Customers!$P$17:$P$19,1))</f>
        <v>2</v>
      </c>
      <c r="I319" s="11" t="n">
        <f aca="false">F319+G319+H319</f>
        <v>7</v>
      </c>
      <c r="J319" s="11" t="str">
        <f aca="false">INDEX(Customers!$Q$22:$Q$25,MATCH(I319,Customers!$P$22:$P$25,1))</f>
        <v>Loyal</v>
      </c>
    </row>
    <row r="320" customFormat="false" ht="15" hidden="false" customHeight="true" outlineLevel="0" collapsed="false">
      <c r="A320" s="11" t="str">
        <f aca="false">Customers!A223</f>
        <v>C219</v>
      </c>
      <c r="B320" s="11" t="n">
        <f aca="false">COUNTIF('Sales Data'!$D$2:$D$1201,A320)</f>
        <v>4</v>
      </c>
      <c r="C320" s="92" t="n">
        <f aca="false">_xlfn.MAXIFS('Sales Data'!$B$2:$B$1201,'Sales Data'!$D$2:$D$1201,A320)</f>
        <v>46006</v>
      </c>
      <c r="D320" s="11" t="n">
        <f aca="false">Customers!$Q$4-C320</f>
        <v>16</v>
      </c>
      <c r="E320" s="31" t="n">
        <f aca="false">SUMIFS('Sales Data'!$P$2:$P$1201,'Sales Data'!$D$2:$D$1201,A320)</f>
        <v>24943</v>
      </c>
      <c r="F320" s="11" t="n">
        <f aca="false">INDEX(Customers!$Q$7:$Q$9,MATCH(D320,Customers!$P$7:$P$9,1))</f>
        <v>3</v>
      </c>
      <c r="G320" s="11" t="n">
        <f aca="false">INDEX(Customers!$Q$12:$Q$14,MATCH(B320,Customers!$P$12:$P$14,1))</f>
        <v>2</v>
      </c>
      <c r="H320" s="11" t="n">
        <f aca="false">INDEX(Customers!$Q$17:$Q$19,MATCH(E320,Customers!$P$17:$P$19,1))</f>
        <v>2</v>
      </c>
      <c r="I320" s="11" t="n">
        <f aca="false">F320+G320+H320</f>
        <v>7</v>
      </c>
      <c r="J320" s="11" t="str">
        <f aca="false">INDEX(Customers!$Q$22:$Q$25,MATCH(I320,Customers!$P$22:$P$25,1))</f>
        <v>Loyal</v>
      </c>
    </row>
    <row r="321" customFormat="false" ht="15" hidden="false" customHeight="true" outlineLevel="0" collapsed="false">
      <c r="A321" s="11" t="str">
        <f aca="false">Customers!A224</f>
        <v>C220</v>
      </c>
      <c r="B321" s="11" t="n">
        <f aca="false">COUNTIF('Sales Data'!$D$2:$D$1201,A321)</f>
        <v>2</v>
      </c>
      <c r="C321" s="92" t="n">
        <f aca="false">_xlfn.MAXIFS('Sales Data'!$B$2:$B$1201,'Sales Data'!$D$2:$D$1201,A321)</f>
        <v>45891</v>
      </c>
      <c r="D321" s="11" t="n">
        <f aca="false">Customers!$Q$4-C321</f>
        <v>131</v>
      </c>
      <c r="E321" s="31" t="n">
        <f aca="false">SUMIFS('Sales Data'!$P$2:$P$1201,'Sales Data'!$D$2:$D$1201,A321)</f>
        <v>2846</v>
      </c>
      <c r="F321" s="11" t="n">
        <f aca="false">INDEX(Customers!$Q$7:$Q$9,MATCH(D321,Customers!$P$7:$P$9,1))</f>
        <v>2</v>
      </c>
      <c r="G321" s="11" t="n">
        <f aca="false">INDEX(Customers!$Q$12:$Q$14,MATCH(B321,Customers!$P$12:$P$14,1))</f>
        <v>1</v>
      </c>
      <c r="H321" s="11" t="n">
        <f aca="false">INDEX(Customers!$Q$17:$Q$19,MATCH(E321,Customers!$P$17:$P$19,1))</f>
        <v>1</v>
      </c>
      <c r="I321" s="11" t="n">
        <f aca="false">F321+G321+H321</f>
        <v>4</v>
      </c>
      <c r="J321" s="11" t="str">
        <f aca="false">INDEX(Customers!$Q$22:$Q$25,MATCH(I321,Customers!$P$22:$P$25,1))</f>
        <v>At Risk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20" t="s">
        <v>2172</v>
      </c>
    </row>
    <row r="3" customFormat="false" ht="15" hidden="false" customHeight="false" outlineLevel="0" collapsed="false">
      <c r="A3" s="93" t="s">
        <v>2173</v>
      </c>
      <c r="B3" s="83" t="str">
        <f aca="false">IF(Dashboard!$C$5="All","*",Dashboard!$C$5)</f>
        <v>*</v>
      </c>
    </row>
    <row r="4" customFormat="false" ht="15" hidden="false" customHeight="false" outlineLevel="0" collapsed="false">
      <c r="A4" s="93" t="s">
        <v>2174</v>
      </c>
      <c r="B4" s="83" t="str">
        <f aca="false">IF(Dashboard!$E$5="All","*",Dashboard!$E$5)</f>
        <v>*</v>
      </c>
    </row>
    <row r="5" customFormat="false" ht="15" hidden="false" customHeight="false" outlineLevel="0" collapsed="false">
      <c r="A5" s="93" t="s">
        <v>2175</v>
      </c>
      <c r="B5" s="94" t="n">
        <f aca="false">Dashboard!$G$5</f>
        <v>45658</v>
      </c>
    </row>
    <row r="6" customFormat="false" ht="15" hidden="false" customHeight="false" outlineLevel="0" collapsed="false">
      <c r="A6" s="93" t="s">
        <v>2176</v>
      </c>
      <c r="B6" s="94" t="n">
        <f aca="false">Dashboard!$I$5</f>
        <v>46022</v>
      </c>
    </row>
    <row r="9" customFormat="false" ht="15" hidden="false" customHeight="false" outlineLevel="0" collapsed="false">
      <c r="A9" s="17" t="s">
        <v>2177</v>
      </c>
      <c r="B9" s="17" t="s">
        <v>2023</v>
      </c>
      <c r="C9" s="17" t="s">
        <v>151</v>
      </c>
      <c r="D9" s="17" t="s">
        <v>153</v>
      </c>
    </row>
    <row r="10" customFormat="false" ht="15" hidden="false" customHeight="false" outlineLevel="0" collapsed="false">
      <c r="A10" s="95" t="n">
        <f aca="false">DATE(2025,1,1)</f>
        <v>45658</v>
      </c>
      <c r="B10" s="21" t="str">
        <f aca="false">TEXT(A10,"mmm")</f>
        <v>Jan</v>
      </c>
      <c r="C10" s="66" t="n">
        <f aca="false">SUMIFS('Sales Data'!$P$2:$P$1201,'Sales Data'!$G$2:$G$1201,$B$3,'Sales Data'!$I$2:$I$1201,$B$4,'Sales Data'!$B$2:$B$1201,"&gt;="&amp;MAX(A10,$B$5),'Sales Data'!$B$2:$B$1201,"&lt;="&amp;MIN(EOMONTH(A10,0),$B$6))</f>
        <v>305327</v>
      </c>
      <c r="D10" s="66" t="n">
        <f aca="false">SUMIFS('Sales Data'!$R$2:$R$1201,'Sales Data'!$G$2:$G$1201,$B$3,'Sales Data'!$I$2:$I$1201,$B$4,'Sales Data'!$B$2:$B$1201,"&gt;="&amp;MAX(A10,$B$5),'Sales Data'!$B$2:$B$1201,"&lt;="&amp;MIN(EOMONTH(A10,0),$B$6))</f>
        <v>78507</v>
      </c>
    </row>
    <row r="11" customFormat="false" ht="15" hidden="false" customHeight="false" outlineLevel="0" collapsed="false">
      <c r="A11" s="95" t="n">
        <f aca="false">DATE(2025,2,1)</f>
        <v>45689</v>
      </c>
      <c r="B11" s="21" t="str">
        <f aca="false">TEXT(A11,"mmm")</f>
        <v>Feb</v>
      </c>
      <c r="C11" s="66" t="n">
        <f aca="false">SUMIFS('Sales Data'!$P$2:$P$1201,'Sales Data'!$G$2:$G$1201,$B$3,'Sales Data'!$I$2:$I$1201,$B$4,'Sales Data'!$B$2:$B$1201,"&gt;="&amp;MAX(A11,$B$5),'Sales Data'!$B$2:$B$1201,"&lt;="&amp;MIN(EOMONTH(A11,0),$B$6))</f>
        <v>310888</v>
      </c>
      <c r="D11" s="66" t="n">
        <f aca="false">SUMIFS('Sales Data'!$R$2:$R$1201,'Sales Data'!$G$2:$G$1201,$B$3,'Sales Data'!$I$2:$I$1201,$B$4,'Sales Data'!$B$2:$B$1201,"&gt;="&amp;MAX(A11,$B$5),'Sales Data'!$B$2:$B$1201,"&lt;="&amp;MIN(EOMONTH(A11,0),$B$6))</f>
        <v>47508</v>
      </c>
    </row>
    <row r="12" customFormat="false" ht="15" hidden="false" customHeight="false" outlineLevel="0" collapsed="false">
      <c r="A12" s="95" t="n">
        <f aca="false">DATE(2025,3,1)</f>
        <v>45717</v>
      </c>
      <c r="B12" s="21" t="str">
        <f aca="false">TEXT(A12,"mmm")</f>
        <v>Mar</v>
      </c>
      <c r="C12" s="66" t="n">
        <f aca="false">SUMIFS('Sales Data'!$P$2:$P$1201,'Sales Data'!$G$2:$G$1201,$B$3,'Sales Data'!$I$2:$I$1201,$B$4,'Sales Data'!$B$2:$B$1201,"&gt;="&amp;MAX(A12,$B$5),'Sales Data'!$B$2:$B$1201,"&lt;="&amp;MIN(EOMONTH(A12,0),$B$6))</f>
        <v>299213</v>
      </c>
      <c r="D12" s="66" t="n">
        <f aca="false">SUMIFS('Sales Data'!$R$2:$R$1201,'Sales Data'!$G$2:$G$1201,$B$3,'Sales Data'!$I$2:$I$1201,$B$4,'Sales Data'!$B$2:$B$1201,"&gt;="&amp;MAX(A12,$B$5),'Sales Data'!$B$2:$B$1201,"&lt;="&amp;MIN(EOMONTH(A12,0),$B$6))</f>
        <v>54393</v>
      </c>
    </row>
    <row r="13" customFormat="false" ht="15" hidden="false" customHeight="false" outlineLevel="0" collapsed="false">
      <c r="A13" s="95" t="n">
        <f aca="false">DATE(2025,4,1)</f>
        <v>45748</v>
      </c>
      <c r="B13" s="21" t="str">
        <f aca="false">TEXT(A13,"mmm")</f>
        <v>Apr</v>
      </c>
      <c r="C13" s="66" t="n">
        <f aca="false">SUMIFS('Sales Data'!$P$2:$P$1201,'Sales Data'!$G$2:$G$1201,$B$3,'Sales Data'!$I$2:$I$1201,$B$4,'Sales Data'!$B$2:$B$1201,"&gt;="&amp;MAX(A13,$B$5),'Sales Data'!$B$2:$B$1201,"&lt;="&amp;MIN(EOMONTH(A13,0),$B$6))</f>
        <v>424765</v>
      </c>
      <c r="D13" s="66" t="n">
        <f aca="false">SUMIFS('Sales Data'!$R$2:$R$1201,'Sales Data'!$G$2:$G$1201,$B$3,'Sales Data'!$I$2:$I$1201,$B$4,'Sales Data'!$B$2:$B$1201,"&gt;="&amp;MAX(A13,$B$5),'Sales Data'!$B$2:$B$1201,"&lt;="&amp;MIN(EOMONTH(A13,0),$B$6))</f>
        <v>90505</v>
      </c>
    </row>
    <row r="14" customFormat="false" ht="15" hidden="false" customHeight="false" outlineLevel="0" collapsed="false">
      <c r="A14" s="95" t="n">
        <f aca="false">DATE(2025,5,1)</f>
        <v>45778</v>
      </c>
      <c r="B14" s="21" t="str">
        <f aca="false">TEXT(A14,"mmm")</f>
        <v>May</v>
      </c>
      <c r="C14" s="66" t="n">
        <f aca="false">SUMIFS('Sales Data'!$P$2:$P$1201,'Sales Data'!$G$2:$G$1201,$B$3,'Sales Data'!$I$2:$I$1201,$B$4,'Sales Data'!$B$2:$B$1201,"&gt;="&amp;MAX(A14,$B$5),'Sales Data'!$B$2:$B$1201,"&lt;="&amp;MIN(EOMONTH(A14,0),$B$6))</f>
        <v>444324</v>
      </c>
      <c r="D14" s="66" t="n">
        <f aca="false">SUMIFS('Sales Data'!$R$2:$R$1201,'Sales Data'!$G$2:$G$1201,$B$3,'Sales Data'!$I$2:$I$1201,$B$4,'Sales Data'!$B$2:$B$1201,"&gt;="&amp;MAX(A14,$B$5),'Sales Data'!$B$2:$B$1201,"&lt;="&amp;MIN(EOMONTH(A14,0),$B$6))</f>
        <v>89104</v>
      </c>
    </row>
    <row r="15" customFormat="false" ht="15" hidden="false" customHeight="false" outlineLevel="0" collapsed="false">
      <c r="A15" s="95" t="n">
        <f aca="false">DATE(2025,6,1)</f>
        <v>45809</v>
      </c>
      <c r="B15" s="21" t="str">
        <f aca="false">TEXT(A15,"mmm")</f>
        <v>Jun</v>
      </c>
      <c r="C15" s="66" t="n">
        <f aca="false">SUMIFS('Sales Data'!$P$2:$P$1201,'Sales Data'!$G$2:$G$1201,$B$3,'Sales Data'!$I$2:$I$1201,$B$4,'Sales Data'!$B$2:$B$1201,"&gt;="&amp;MAX(A15,$B$5),'Sales Data'!$B$2:$B$1201,"&lt;="&amp;MIN(EOMONTH(A15,0),$B$6))</f>
        <v>498900</v>
      </c>
      <c r="D15" s="66" t="n">
        <f aca="false">SUMIFS('Sales Data'!$R$2:$R$1201,'Sales Data'!$G$2:$G$1201,$B$3,'Sales Data'!$I$2:$I$1201,$B$4,'Sales Data'!$B$2:$B$1201,"&gt;="&amp;MAX(A15,$B$5),'Sales Data'!$B$2:$B$1201,"&lt;="&amp;MIN(EOMONTH(A15,0),$B$6))</f>
        <v>115750</v>
      </c>
    </row>
    <row r="16" customFormat="false" ht="15" hidden="false" customHeight="false" outlineLevel="0" collapsed="false">
      <c r="A16" s="95" t="n">
        <f aca="false">DATE(2025,7,1)</f>
        <v>45839</v>
      </c>
      <c r="B16" s="21" t="str">
        <f aca="false">TEXT(A16,"mmm")</f>
        <v>Jul</v>
      </c>
      <c r="C16" s="66" t="n">
        <f aca="false">SUMIFS('Sales Data'!$P$2:$P$1201,'Sales Data'!$G$2:$G$1201,$B$3,'Sales Data'!$I$2:$I$1201,$B$4,'Sales Data'!$B$2:$B$1201,"&gt;="&amp;MAX(A16,$B$5),'Sales Data'!$B$2:$B$1201,"&lt;="&amp;MIN(EOMONTH(A16,0),$B$6))</f>
        <v>418685</v>
      </c>
      <c r="D16" s="66" t="n">
        <f aca="false">SUMIFS('Sales Data'!$R$2:$R$1201,'Sales Data'!$G$2:$G$1201,$B$3,'Sales Data'!$I$2:$I$1201,$B$4,'Sales Data'!$B$2:$B$1201,"&gt;="&amp;MAX(A16,$B$5),'Sales Data'!$B$2:$B$1201,"&lt;="&amp;MIN(EOMONTH(A16,0),$B$6))</f>
        <v>92285</v>
      </c>
    </row>
    <row r="17" customFormat="false" ht="15" hidden="false" customHeight="false" outlineLevel="0" collapsed="false">
      <c r="A17" s="95" t="n">
        <f aca="false">DATE(2025,8,1)</f>
        <v>45870</v>
      </c>
      <c r="B17" s="21" t="str">
        <f aca="false">TEXT(A17,"mmm")</f>
        <v>Aug</v>
      </c>
      <c r="C17" s="66" t="n">
        <f aca="false">SUMIFS('Sales Data'!$P$2:$P$1201,'Sales Data'!$G$2:$G$1201,$B$3,'Sales Data'!$I$2:$I$1201,$B$4,'Sales Data'!$B$2:$B$1201,"&gt;="&amp;MAX(A17,$B$5),'Sales Data'!$B$2:$B$1201,"&lt;="&amp;MIN(EOMONTH(A17,0),$B$6))</f>
        <v>379426</v>
      </c>
      <c r="D17" s="66" t="n">
        <f aca="false">SUMIFS('Sales Data'!$R$2:$R$1201,'Sales Data'!$G$2:$G$1201,$B$3,'Sales Data'!$I$2:$I$1201,$B$4,'Sales Data'!$B$2:$B$1201,"&gt;="&amp;MAX(A17,$B$5),'Sales Data'!$B$2:$B$1201,"&lt;="&amp;MIN(EOMONTH(A17,0),$B$6))</f>
        <v>90066</v>
      </c>
    </row>
    <row r="18" customFormat="false" ht="15" hidden="false" customHeight="false" outlineLevel="0" collapsed="false">
      <c r="A18" s="95" t="n">
        <f aca="false">DATE(2025,9,1)</f>
        <v>45901</v>
      </c>
      <c r="B18" s="21" t="str">
        <f aca="false">TEXT(A18,"mmm")</f>
        <v>Sep</v>
      </c>
      <c r="C18" s="66" t="n">
        <f aca="false">SUMIFS('Sales Data'!$P$2:$P$1201,'Sales Data'!$G$2:$G$1201,$B$3,'Sales Data'!$I$2:$I$1201,$B$4,'Sales Data'!$B$2:$B$1201,"&gt;="&amp;MAX(A18,$B$5),'Sales Data'!$B$2:$B$1201,"&lt;="&amp;MIN(EOMONTH(A18,0),$B$6))</f>
        <v>366784</v>
      </c>
      <c r="D18" s="66" t="n">
        <f aca="false">SUMIFS('Sales Data'!$R$2:$R$1201,'Sales Data'!$G$2:$G$1201,$B$3,'Sales Data'!$I$2:$I$1201,$B$4,'Sales Data'!$B$2:$B$1201,"&gt;="&amp;MAX(A18,$B$5),'Sales Data'!$B$2:$B$1201,"&lt;="&amp;MIN(EOMONTH(A18,0),$B$6))</f>
        <v>93744</v>
      </c>
    </row>
    <row r="19" customFormat="false" ht="15" hidden="false" customHeight="false" outlineLevel="0" collapsed="false">
      <c r="A19" s="95" t="n">
        <f aca="false">DATE(2025,10,1)</f>
        <v>45931</v>
      </c>
      <c r="B19" s="21" t="str">
        <f aca="false">TEXT(A19,"mmm")</f>
        <v>Oct</v>
      </c>
      <c r="C19" s="66" t="n">
        <f aca="false">SUMIFS('Sales Data'!$P$2:$P$1201,'Sales Data'!$G$2:$G$1201,$B$3,'Sales Data'!$I$2:$I$1201,$B$4,'Sales Data'!$B$2:$B$1201,"&gt;="&amp;MAX(A19,$B$5),'Sales Data'!$B$2:$B$1201,"&lt;="&amp;MIN(EOMONTH(A19,0),$B$6))</f>
        <v>668213</v>
      </c>
      <c r="D19" s="66" t="n">
        <f aca="false">SUMIFS('Sales Data'!$R$2:$R$1201,'Sales Data'!$G$2:$G$1201,$B$3,'Sales Data'!$I$2:$I$1201,$B$4,'Sales Data'!$B$2:$B$1201,"&gt;="&amp;MAX(A19,$B$5),'Sales Data'!$B$2:$B$1201,"&lt;="&amp;MIN(EOMONTH(A19,0),$B$6))</f>
        <v>169513</v>
      </c>
    </row>
    <row r="20" customFormat="false" ht="15" hidden="false" customHeight="false" outlineLevel="0" collapsed="false">
      <c r="A20" s="95" t="n">
        <f aca="false">DATE(2025,11,1)</f>
        <v>45962</v>
      </c>
      <c r="B20" s="21" t="str">
        <f aca="false">TEXT(A20,"mmm")</f>
        <v>Nov</v>
      </c>
      <c r="C20" s="66" t="n">
        <f aca="false">SUMIFS('Sales Data'!$P$2:$P$1201,'Sales Data'!$G$2:$G$1201,$B$3,'Sales Data'!$I$2:$I$1201,$B$4,'Sales Data'!$B$2:$B$1201,"&gt;="&amp;MAX(A20,$B$5),'Sales Data'!$B$2:$B$1201,"&lt;="&amp;MIN(EOMONTH(A20,0),$B$6))</f>
        <v>776952</v>
      </c>
      <c r="D20" s="66" t="n">
        <f aca="false">SUMIFS('Sales Data'!$R$2:$R$1201,'Sales Data'!$G$2:$G$1201,$B$3,'Sales Data'!$I$2:$I$1201,$B$4,'Sales Data'!$B$2:$B$1201,"&gt;="&amp;MAX(A20,$B$5),'Sales Data'!$B$2:$B$1201,"&lt;="&amp;MIN(EOMONTH(A20,0),$B$6))</f>
        <v>176062</v>
      </c>
    </row>
    <row r="21" customFormat="false" ht="15" hidden="false" customHeight="false" outlineLevel="0" collapsed="false">
      <c r="A21" s="95" t="n">
        <f aca="false">DATE(2025,12,1)</f>
        <v>45992</v>
      </c>
      <c r="B21" s="21" t="str">
        <f aca="false">TEXT(A21,"mmm")</f>
        <v>Dec</v>
      </c>
      <c r="C21" s="66" t="n">
        <f aca="false">SUMIFS('Sales Data'!$P$2:$P$1201,'Sales Data'!$G$2:$G$1201,$B$3,'Sales Data'!$I$2:$I$1201,$B$4,'Sales Data'!$B$2:$B$1201,"&gt;="&amp;MAX(A21,$B$5),'Sales Data'!$B$2:$B$1201,"&lt;="&amp;MIN(EOMONTH(A21,0),$B$6))</f>
        <v>533194</v>
      </c>
      <c r="D21" s="66" t="n">
        <f aca="false">SUMIFS('Sales Data'!$R$2:$R$1201,'Sales Data'!$G$2:$G$1201,$B$3,'Sales Data'!$I$2:$I$1201,$B$4,'Sales Data'!$B$2:$B$1201,"&gt;="&amp;MAX(A21,$B$5),'Sales Data'!$B$2:$B$1201,"&lt;="&amp;MIN(EOMONTH(A21,0),$B$6))</f>
        <v>115004</v>
      </c>
    </row>
    <row r="24" customFormat="false" ht="15" hidden="false" customHeight="false" outlineLevel="0" collapsed="false">
      <c r="A24" s="17" t="s">
        <v>142</v>
      </c>
      <c r="B24" s="17" t="s">
        <v>151</v>
      </c>
    </row>
    <row r="25" customFormat="false" ht="15" hidden="false" customHeight="false" outlineLevel="0" collapsed="false">
      <c r="A25" s="21" t="s">
        <v>323</v>
      </c>
      <c r="B25" s="66" t="n">
        <f aca="false">SUMIFS('Sales Data'!$P$2:$P$1201,'Sales Data'!$G$2:$G$1201,A25,'Sales Data'!$G$2:$G$1201,$B$3,'Sales Data'!$I$2:$I$1201,$B$4,'Sales Data'!$B$2:$B$1201,"&gt;="&amp;$B$5,'Sales Data'!$B$2:$B$1201,"&lt;="&amp;$B$6)</f>
        <v>333766</v>
      </c>
    </row>
    <row r="26" customFormat="false" ht="15" hidden="false" customHeight="false" outlineLevel="0" collapsed="false">
      <c r="A26" s="21" t="s">
        <v>206</v>
      </c>
      <c r="B26" s="66" t="n">
        <f aca="false">SUMIFS('Sales Data'!$P$2:$P$1201,'Sales Data'!$G$2:$G$1201,A26,'Sales Data'!$G$2:$G$1201,$B$3,'Sales Data'!$I$2:$I$1201,$B$4,'Sales Data'!$B$2:$B$1201,"&gt;="&amp;$B$5,'Sales Data'!$B$2:$B$1201,"&lt;="&amp;$B$6)</f>
        <v>1155087</v>
      </c>
    </row>
    <row r="27" customFormat="false" ht="15" hidden="false" customHeight="false" outlineLevel="0" collapsed="false">
      <c r="A27" s="21" t="s">
        <v>169</v>
      </c>
      <c r="B27" s="66" t="n">
        <f aca="false">SUMIFS('Sales Data'!$P$2:$P$1201,'Sales Data'!$G$2:$G$1201,A27,'Sales Data'!$G$2:$G$1201,$B$3,'Sales Data'!$I$2:$I$1201,$B$4,'Sales Data'!$B$2:$B$1201,"&gt;="&amp;$B$5,'Sales Data'!$B$2:$B$1201,"&lt;="&amp;$B$6)</f>
        <v>1747516</v>
      </c>
    </row>
    <row r="28" customFormat="false" ht="15" hidden="false" customHeight="false" outlineLevel="0" collapsed="false">
      <c r="A28" s="21" t="s">
        <v>160</v>
      </c>
      <c r="B28" s="66" t="n">
        <f aca="false">SUMIFS('Sales Data'!$P$2:$P$1201,'Sales Data'!$G$2:$G$1201,A28,'Sales Data'!$G$2:$G$1201,$B$3,'Sales Data'!$I$2:$I$1201,$B$4,'Sales Data'!$B$2:$B$1201,"&gt;="&amp;$B$5,'Sales Data'!$B$2:$B$1201,"&lt;="&amp;$B$6)</f>
        <v>2190302</v>
      </c>
    </row>
    <row r="31" customFormat="false" ht="15" hidden="false" customHeight="false" outlineLevel="0" collapsed="false">
      <c r="A31" s="17" t="s">
        <v>144</v>
      </c>
      <c r="B31" s="17" t="s">
        <v>153</v>
      </c>
    </row>
    <row r="32" customFormat="false" ht="15" hidden="false" customHeight="false" outlineLevel="0" collapsed="false">
      <c r="A32" s="21" t="s">
        <v>162</v>
      </c>
      <c r="B32" s="74" t="n">
        <f aca="false">SUMIFS('Sales Data'!$R$2:$R$1201,'Sales Data'!$I$2:$I$1201,A32,'Sales Data'!$I$2:$I$1201,$B$4,'Sales Data'!$G$2:$G$1201,$B$3,'Sales Data'!$B$2:$B$1201,"&gt;="&amp;$B$5,'Sales Data'!$B$2:$B$1201,"&lt;="&amp;$B$6)</f>
        <v>200041</v>
      </c>
    </row>
    <row r="33" customFormat="false" ht="15" hidden="false" customHeight="false" outlineLevel="0" collapsed="false">
      <c r="A33" s="21" t="s">
        <v>199</v>
      </c>
      <c r="B33" s="74" t="n">
        <f aca="false">SUMIFS('Sales Data'!$R$2:$R$1201,'Sales Data'!$I$2:$I$1201,A33,'Sales Data'!$I$2:$I$1201,$B$4,'Sales Data'!$G$2:$G$1201,$B$3,'Sales Data'!$B$2:$B$1201,"&gt;="&amp;$B$5,'Sales Data'!$B$2:$B$1201,"&lt;="&amp;$B$6)</f>
        <v>154704</v>
      </c>
    </row>
    <row r="34" customFormat="false" ht="15" hidden="false" customHeight="false" outlineLevel="0" collapsed="false">
      <c r="A34" s="21" t="s">
        <v>208</v>
      </c>
      <c r="B34" s="74" t="n">
        <f aca="false">SUMIFS('Sales Data'!$R$2:$R$1201,'Sales Data'!$I$2:$I$1201,A34,'Sales Data'!$I$2:$I$1201,$B$4,'Sales Data'!$G$2:$G$1201,$B$3,'Sales Data'!$B$2:$B$1201,"&gt;="&amp;$B$5,'Sales Data'!$B$2:$B$1201,"&lt;="&amp;$B$6)</f>
        <v>447735</v>
      </c>
    </row>
    <row r="35" customFormat="false" ht="15" hidden="false" customHeight="false" outlineLevel="0" collapsed="false">
      <c r="A35" s="21" t="s">
        <v>192</v>
      </c>
      <c r="B35" s="74" t="n">
        <f aca="false">SUMIFS('Sales Data'!$R$2:$R$1201,'Sales Data'!$I$2:$I$1201,A35,'Sales Data'!$I$2:$I$1201,$B$4,'Sales Data'!$G$2:$G$1201,$B$3,'Sales Data'!$B$2:$B$1201,"&gt;="&amp;$B$5,'Sales Data'!$B$2:$B$1201,"&lt;="&amp;$B$6)</f>
        <v>56785</v>
      </c>
    </row>
    <row r="36" customFormat="false" ht="15" hidden="false" customHeight="false" outlineLevel="0" collapsed="false">
      <c r="A36" s="21" t="s">
        <v>171</v>
      </c>
      <c r="B36" s="74" t="n">
        <f aca="false">SUMIFS('Sales Data'!$R$2:$R$1201,'Sales Data'!$I$2:$I$1201,A36,'Sales Data'!$I$2:$I$1201,$B$4,'Sales Data'!$G$2:$G$1201,$B$3,'Sales Data'!$B$2:$B$1201,"&gt;="&amp;$B$5,'Sales Data'!$B$2:$B$1201,"&lt;="&amp;$B$6)</f>
        <v>256160</v>
      </c>
    </row>
    <row r="37" customFormat="false" ht="15" hidden="false" customHeight="false" outlineLevel="0" collapsed="false">
      <c r="A37" s="21" t="s">
        <v>282</v>
      </c>
      <c r="B37" s="74" t="n">
        <f aca="false">SUMIFS('Sales Data'!$R$2:$R$1201,'Sales Data'!$I$2:$I$1201,A37,'Sales Data'!$I$2:$I$1201,$B$4,'Sales Data'!$G$2:$G$1201,$B$3,'Sales Data'!$B$2:$B$1201,"&gt;="&amp;$B$5,'Sales Data'!$B$2:$B$1201,"&lt;="&amp;$B$6)</f>
        <v>97016</v>
      </c>
    </row>
    <row r="40" customFormat="false" ht="15" hidden="false" customHeight="false" outlineLevel="0" collapsed="false">
      <c r="A40" s="17" t="s">
        <v>155</v>
      </c>
      <c r="B40" s="17" t="s">
        <v>1951</v>
      </c>
      <c r="C40" s="17" t="s">
        <v>151</v>
      </c>
      <c r="D40" s="17" t="s">
        <v>153</v>
      </c>
      <c r="E40" s="17" t="s">
        <v>2013</v>
      </c>
    </row>
    <row r="41" customFormat="false" ht="15" hidden="false" customHeight="false" outlineLevel="0" collapsed="false">
      <c r="A41" s="21" t="s">
        <v>2034</v>
      </c>
      <c r="B41" s="69" t="n">
        <f aca="false">COUNTIFS('Sales Data'!$T$2:$T$1201,A41,'Sales Data'!$G$2:$G$1201,$B$3,'Sales Data'!$I$2:$I$1201,$B$4,'Sales Data'!$B$2:$B$1201,"&gt;="&amp;$B$5,'Sales Data'!$B$2:$B$1201,"&lt;="&amp;$B$6)</f>
        <v>367</v>
      </c>
      <c r="C41" s="66" t="n">
        <f aca="false">SUMIFS('Sales Data'!$P$2:$P$1201,'Sales Data'!$T$2:$T$1201,A41,'Sales Data'!$G$2:$G$1201,$B$3,'Sales Data'!$I$2:$I$1201,$B$4,'Sales Data'!$B$2:$B$1201,"&gt;="&amp;$B$5,'Sales Data'!$B$2:$B$1201,"&lt;="&amp;$B$6)</f>
        <v>1494101</v>
      </c>
      <c r="D41" s="74" t="n">
        <f aca="false">SUMIFS('Sales Data'!$R$2:$R$1201,'Sales Data'!$T$2:$T$1201,A41,'Sales Data'!$G$2:$G$1201,$B$3,'Sales Data'!$I$2:$I$1201,$B$4,'Sales Data'!$B$2:$B$1201,"&gt;="&amp;$B$5,'Sales Data'!$B$2:$B$1201,"&lt;="&amp;$B$6)</f>
        <v>541151</v>
      </c>
      <c r="E41" s="76" t="n">
        <f aca="false">IF(C41=0,0,D41/C41)</f>
        <v>0.362191712608452</v>
      </c>
    </row>
    <row r="42" customFormat="false" ht="15" hidden="false" customHeight="false" outlineLevel="0" collapsed="false">
      <c r="A42" s="21" t="s">
        <v>2035</v>
      </c>
      <c r="B42" s="69" t="n">
        <f aca="false">COUNTIFS('Sales Data'!$T$2:$T$1201,A42,'Sales Data'!$G$2:$G$1201,$B$3,'Sales Data'!$I$2:$I$1201,$B$4,'Sales Data'!$B$2:$B$1201,"&gt;="&amp;$B$5,'Sales Data'!$B$2:$B$1201,"&lt;="&amp;$B$6)</f>
        <v>643</v>
      </c>
      <c r="C42" s="66" t="n">
        <f aca="false">SUMIFS('Sales Data'!$P$2:$P$1201,'Sales Data'!$T$2:$T$1201,A42,'Sales Data'!$G$2:$G$1201,$B$3,'Sales Data'!$I$2:$I$1201,$B$4,'Sales Data'!$B$2:$B$1201,"&gt;="&amp;$B$5,'Sales Data'!$B$2:$B$1201,"&lt;="&amp;$B$6)</f>
        <v>3062479</v>
      </c>
      <c r="D42" s="74" t="n">
        <f aca="false">SUMIFS('Sales Data'!$R$2:$R$1201,'Sales Data'!$T$2:$T$1201,A42,'Sales Data'!$G$2:$G$1201,$B$3,'Sales Data'!$I$2:$I$1201,$B$4,'Sales Data'!$B$2:$B$1201,"&gt;="&amp;$B$5,'Sales Data'!$B$2:$B$1201,"&lt;="&amp;$B$6)</f>
        <v>718399</v>
      </c>
      <c r="E42" s="76" t="n">
        <f aca="false">IF(C42=0,0,D42/C42)</f>
        <v>0.234580873860686</v>
      </c>
    </row>
    <row r="43" customFormat="false" ht="15" hidden="false" customHeight="false" outlineLevel="0" collapsed="false">
      <c r="A43" s="21" t="s">
        <v>2036</v>
      </c>
      <c r="B43" s="69" t="n">
        <f aca="false">COUNTIFS('Sales Data'!$T$2:$T$1201,A43,'Sales Data'!$G$2:$G$1201,$B$3,'Sales Data'!$I$2:$I$1201,$B$4,'Sales Data'!$B$2:$B$1201,"&gt;="&amp;$B$5,'Sales Data'!$B$2:$B$1201,"&lt;="&amp;$B$6)</f>
        <v>190</v>
      </c>
      <c r="C43" s="66" t="n">
        <f aca="false">SUMIFS('Sales Data'!$P$2:$P$1201,'Sales Data'!$T$2:$T$1201,A43,'Sales Data'!$G$2:$G$1201,$B$3,'Sales Data'!$I$2:$I$1201,$B$4,'Sales Data'!$B$2:$B$1201,"&gt;="&amp;$B$5,'Sales Data'!$B$2:$B$1201,"&lt;="&amp;$B$6)</f>
        <v>870091</v>
      </c>
      <c r="D43" s="74" t="n">
        <f aca="false">SUMIFS('Sales Data'!$R$2:$R$1201,'Sales Data'!$T$2:$T$1201,A43,'Sales Data'!$G$2:$G$1201,$B$3,'Sales Data'!$I$2:$I$1201,$B$4,'Sales Data'!$B$2:$B$1201,"&gt;="&amp;$B$5,'Sales Data'!$B$2:$B$1201,"&lt;="&amp;$B$6)</f>
        <v>-47109</v>
      </c>
      <c r="E43" s="76" t="n">
        <f aca="false">IF(C43=0,0,D43/C43)</f>
        <v>-0.0541426126692495</v>
      </c>
    </row>
    <row r="46" customFormat="false" ht="15" hidden="false" customHeight="false" outlineLevel="0" collapsed="false">
      <c r="A46" s="17" t="s">
        <v>2178</v>
      </c>
      <c r="B46" s="17" t="s">
        <v>130</v>
      </c>
    </row>
    <row r="47" customFormat="false" ht="15" hidden="false" customHeight="false" outlineLevel="0" collapsed="false">
      <c r="A47" s="21" t="s">
        <v>151</v>
      </c>
      <c r="B47" s="66" t="n">
        <f aca="false">SUMIFS('Sales Data'!$P$2:$P$1201,'Sales Data'!$G$2:$G$1201,$B$3,'Sales Data'!$I$2:$I$1201,$B$4,'Sales Data'!$B$2:$B$1201,"&gt;="&amp;$B$5,'Sales Data'!$B$2:$B$1201,"&lt;="&amp;$B$6)</f>
        <v>5426671</v>
      </c>
    </row>
    <row r="48" customFormat="false" ht="15" hidden="false" customHeight="false" outlineLevel="0" collapsed="false">
      <c r="A48" s="21" t="s">
        <v>153</v>
      </c>
      <c r="B48" s="66" t="n">
        <f aca="false">SUMIFS('Sales Data'!$R$2:$R$1201,'Sales Data'!$G$2:$G$1201,$B$3,'Sales Data'!$I$2:$I$1201,$B$4,'Sales Data'!$B$2:$B$1201,"&gt;="&amp;$B$5,'Sales Data'!$B$2:$B$1201,"&lt;="&amp;$B$6)</f>
        <v>1212441</v>
      </c>
    </row>
    <row r="49" customFormat="false" ht="15" hidden="false" customHeight="false" outlineLevel="0" collapsed="false">
      <c r="A49" s="21" t="s">
        <v>2179</v>
      </c>
      <c r="B49" s="70" t="n">
        <f aca="false">IF(B47=0,0,B48/B47)</f>
        <v>0.22342261028907</v>
      </c>
    </row>
    <row r="50" customFormat="false" ht="15" hidden="false" customHeight="false" outlineLevel="0" collapsed="false">
      <c r="A50" s="21" t="s">
        <v>1951</v>
      </c>
      <c r="B50" s="69" t="n">
        <f aca="false">COUNTIFS('Sales Data'!$G$2:$G$1201,$B$3,'Sales Data'!$I$2:$I$1201,$B$4,'Sales Data'!$B$2:$B$1201,"&gt;="&amp;$B$5,'Sales Data'!$B$2:$B$1201,"&lt;="&amp;$B$6)</f>
        <v>1200</v>
      </c>
    </row>
    <row r="51" customFormat="false" ht="15" hidden="false" customHeight="false" outlineLevel="0" collapsed="false">
      <c r="A51" s="21" t="s">
        <v>2180</v>
      </c>
      <c r="B51" s="66" t="n">
        <f aca="false">IF(B50=0,0,B47/B50)</f>
        <v>4522.22583333333</v>
      </c>
    </row>
    <row r="52" customFormat="false" ht="15" hidden="false" customHeight="false" outlineLevel="0" collapsed="false">
      <c r="A52" s="21" t="s">
        <v>2181</v>
      </c>
      <c r="B52" s="70" t="n">
        <f aca="false">B47/SUM('Sales Data'!$P$2:$P$1201)</f>
        <v>1</v>
      </c>
    </row>
    <row r="53" customFormat="false" ht="15" hidden="false" customHeight="false" outlineLevel="0" collapsed="false">
      <c r="A53" s="21" t="s">
        <v>2182</v>
      </c>
      <c r="B53" s="70" t="n">
        <f aca="false">B48/SUM('Sales Data'!$R$2:$R$1201)</f>
        <v>1</v>
      </c>
    </row>
    <row r="54" customFormat="false" ht="15" hidden="false" customHeight="false" outlineLevel="0" collapsed="false">
      <c r="A54" s="21" t="s">
        <v>2183</v>
      </c>
      <c r="B54" s="70" t="n">
        <f aca="false">SUM('Sales Data'!$R$2:$R$1201)/SUM('Sales Data'!$P$2:$P$1201)</f>
        <v>0.22342261028907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2026-09-30T08:33:58Z</dcterms:created>
  <dc:creator>openpyxl</dc:creator>
  <dc:description/>
  <dc:language>en-US</dc:language>
  <cp:lastModifiedBy/>
  <dcterms:modified xsi:type="dcterms:W3CDTF">2026-10-01T05:59:58Z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